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randonchang/Desktop/falcon-lnp-optimization/suggested_LNPs/"/>
    </mc:Choice>
  </mc:AlternateContent>
  <xr:revisionPtr revIDLastSave="0" documentId="13_ncr:1_{63C607F0-52E5-5A4B-BED7-63C66078DB2B}" xr6:coauthVersionLast="47" xr6:coauthVersionMax="47" xr10:uidLastSave="{00000000-0000-0000-0000-000000000000}"/>
  <bookViews>
    <workbookView xWindow="3420" yWindow="6800" windowWidth="25820" windowHeight="13900" activeTab="1" xr2:uid="{00000000-000D-0000-FFFF-FFFF00000000}"/>
  </bookViews>
  <sheets>
    <sheet name="Lipid_Params " sheetId="1" r:id="rId1"/>
    <sheet name="Formu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39" i="2" l="1"/>
  <c r="EI39" i="2"/>
  <c r="EH39" i="2"/>
  <c r="EG39" i="2"/>
  <c r="EF39" i="2"/>
  <c r="EE39" i="2"/>
  <c r="EE74" i="2" s="1"/>
  <c r="ED39" i="2"/>
  <c r="ED74" i="2" s="1"/>
  <c r="EC39" i="2"/>
  <c r="EC74" i="2" s="1"/>
  <c r="EB39" i="2"/>
  <c r="EB74" i="2" s="1"/>
  <c r="EA39" i="2"/>
  <c r="DZ39" i="2"/>
  <c r="DY39" i="2"/>
  <c r="DX39" i="2"/>
  <c r="DX74" i="2" s="1"/>
  <c r="DW39" i="2"/>
  <c r="DV39" i="2"/>
  <c r="DU39" i="2"/>
  <c r="DT39" i="2"/>
  <c r="DS39" i="2"/>
  <c r="DR39" i="2"/>
  <c r="DQ39" i="2"/>
  <c r="DP39" i="2"/>
  <c r="DO39" i="2"/>
  <c r="DO74" i="2" s="1"/>
  <c r="DN39" i="2"/>
  <c r="DN74" i="2" s="1"/>
  <c r="DM39" i="2"/>
  <c r="DM74" i="2" s="1"/>
  <c r="DL39" i="2"/>
  <c r="DL74" i="2" s="1"/>
  <c r="DK39" i="2"/>
  <c r="DJ39" i="2"/>
  <c r="DI39" i="2"/>
  <c r="DI74" i="2" s="1"/>
  <c r="DH39" i="2"/>
  <c r="DH74" i="2" s="1"/>
  <c r="DG39" i="2"/>
  <c r="DF39" i="2"/>
  <c r="DE39" i="2"/>
  <c r="DD39" i="2"/>
  <c r="DC39" i="2"/>
  <c r="DB39" i="2"/>
  <c r="DA39" i="2"/>
  <c r="CZ39" i="2"/>
  <c r="CY39" i="2"/>
  <c r="CY74" i="2" s="1"/>
  <c r="CX39" i="2"/>
  <c r="CX74" i="2" s="1"/>
  <c r="CW39" i="2"/>
  <c r="CW74" i="2" s="1"/>
  <c r="CV39" i="2"/>
  <c r="CV74" i="2" s="1"/>
  <c r="CU39" i="2"/>
  <c r="CT39" i="2"/>
  <c r="CS39" i="2"/>
  <c r="CR39" i="2"/>
  <c r="CQ39" i="2"/>
  <c r="CP39" i="2"/>
  <c r="CO39" i="2"/>
  <c r="CN39" i="2"/>
  <c r="CM39" i="2"/>
  <c r="CL39" i="2"/>
  <c r="CK39" i="2"/>
  <c r="CJ39" i="2"/>
  <c r="CI39" i="2"/>
  <c r="CH39" i="2"/>
  <c r="CH74" i="2" s="1"/>
  <c r="CG39" i="2"/>
  <c r="CG74" i="2" s="1"/>
  <c r="CF39" i="2"/>
  <c r="CF74" i="2" s="1"/>
  <c r="CE39" i="2"/>
  <c r="CD39" i="2"/>
  <c r="CC39" i="2"/>
  <c r="CC74" i="2" s="1"/>
  <c r="CB39" i="2"/>
  <c r="CA39" i="2"/>
  <c r="BZ39" i="2"/>
  <c r="BY39" i="2"/>
  <c r="BX39" i="2"/>
  <c r="BW39" i="2"/>
  <c r="BV39" i="2"/>
  <c r="BU39" i="2"/>
  <c r="BT39" i="2"/>
  <c r="BS39" i="2"/>
  <c r="BS74" i="2" s="1"/>
  <c r="BR39" i="2"/>
  <c r="BR74" i="2" s="1"/>
  <c r="BQ39" i="2"/>
  <c r="BQ74" i="2" s="1"/>
  <c r="BP39" i="2"/>
  <c r="BP74" i="2" s="1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C74" i="2" s="1"/>
  <c r="BB39" i="2"/>
  <c r="BB74" i="2" s="1"/>
  <c r="BA39" i="2"/>
  <c r="BA74" i="2" s="1"/>
  <c r="AZ39" i="2"/>
  <c r="AZ74" i="2" s="1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M74" i="2" s="1"/>
  <c r="AL39" i="2"/>
  <c r="AL74" i="2" s="1"/>
  <c r="AK39" i="2"/>
  <c r="AK74" i="2" s="1"/>
  <c r="AJ39" i="2"/>
  <c r="AJ74" i="2" s="1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W74" i="2" s="1"/>
  <c r="V39" i="2"/>
  <c r="V74" i="2" s="1"/>
  <c r="U39" i="2"/>
  <c r="T39" i="2"/>
  <c r="T74" i="2" s="1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G74" i="2" s="1"/>
  <c r="F39" i="2"/>
  <c r="F74" i="2" s="1"/>
  <c r="E39" i="2"/>
  <c r="E74" i="2" s="1"/>
  <c r="D39" i="2"/>
  <c r="D74" i="2" s="1"/>
  <c r="C39" i="2"/>
  <c r="EJ38" i="2"/>
  <c r="EI38" i="2"/>
  <c r="EH38" i="2"/>
  <c r="EG38" i="2"/>
  <c r="EF38" i="2"/>
  <c r="EE38" i="2"/>
  <c r="ED38" i="2"/>
  <c r="EC38" i="2"/>
  <c r="EB38" i="2"/>
  <c r="EA38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J38" i="2"/>
  <c r="DI38" i="2"/>
  <c r="DH38" i="2"/>
  <c r="DG38" i="2"/>
  <c r="DF38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EJ37" i="2"/>
  <c r="EJ73" i="2" s="1"/>
  <c r="EI37" i="2"/>
  <c r="EH37" i="2"/>
  <c r="EG37" i="2"/>
  <c r="EG73" i="2" s="1"/>
  <c r="EF37" i="2"/>
  <c r="EE37" i="2"/>
  <c r="EE73" i="2" s="1"/>
  <c r="ED37" i="2"/>
  <c r="ED73" i="2" s="1"/>
  <c r="EC37" i="2"/>
  <c r="EC73" i="2" s="1"/>
  <c r="EB37" i="2"/>
  <c r="EB73" i="2" s="1"/>
  <c r="EA37" i="2"/>
  <c r="EA73" i="2" s="1"/>
  <c r="DZ37" i="2"/>
  <c r="DZ73" i="2" s="1"/>
  <c r="DY37" i="2"/>
  <c r="DY73" i="2" s="1"/>
  <c r="DX37" i="2"/>
  <c r="DX73" i="2" s="1"/>
  <c r="DW37" i="2"/>
  <c r="DW73" i="2" s="1"/>
  <c r="DV37" i="2"/>
  <c r="DV73" i="2" s="1"/>
  <c r="DU37" i="2"/>
  <c r="DU73" i="2" s="1"/>
  <c r="DT37" i="2"/>
  <c r="DT73" i="2" s="1"/>
  <c r="DS37" i="2"/>
  <c r="DR37" i="2"/>
  <c r="DQ37" i="2"/>
  <c r="DQ73" i="2" s="1"/>
  <c r="DP37" i="2"/>
  <c r="DO37" i="2"/>
  <c r="DO73" i="2" s="1"/>
  <c r="DN37" i="2"/>
  <c r="DN73" i="2" s="1"/>
  <c r="DM37" i="2"/>
  <c r="DM73" i="2" s="1"/>
  <c r="DL37" i="2"/>
  <c r="DL73" i="2" s="1"/>
  <c r="DK37" i="2"/>
  <c r="DK73" i="2" s="1"/>
  <c r="DJ37" i="2"/>
  <c r="DJ73" i="2" s="1"/>
  <c r="DI37" i="2"/>
  <c r="DI73" i="2" s="1"/>
  <c r="DH37" i="2"/>
  <c r="DH73" i="2" s="1"/>
  <c r="DG37" i="2"/>
  <c r="DG73" i="2" s="1"/>
  <c r="DF37" i="2"/>
  <c r="DF73" i="2" s="1"/>
  <c r="DE37" i="2"/>
  <c r="DE73" i="2" s="1"/>
  <c r="DD37" i="2"/>
  <c r="DD73" i="2" s="1"/>
  <c r="DC37" i="2"/>
  <c r="DB37" i="2"/>
  <c r="DA37" i="2"/>
  <c r="DA73" i="2" s="1"/>
  <c r="CZ37" i="2"/>
  <c r="CY37" i="2"/>
  <c r="CY73" i="2" s="1"/>
  <c r="CX37" i="2"/>
  <c r="CX73" i="2" s="1"/>
  <c r="CW37" i="2"/>
  <c r="CW73" i="2" s="1"/>
  <c r="CV37" i="2"/>
  <c r="CV73" i="2" s="1"/>
  <c r="CU37" i="2"/>
  <c r="CU73" i="2" s="1"/>
  <c r="CT37" i="2"/>
  <c r="CT73" i="2" s="1"/>
  <c r="CS37" i="2"/>
  <c r="CS73" i="2" s="1"/>
  <c r="CR37" i="2"/>
  <c r="CR73" i="2" s="1"/>
  <c r="CQ37" i="2"/>
  <c r="CQ73" i="2" s="1"/>
  <c r="CP37" i="2"/>
  <c r="CP73" i="2" s="1"/>
  <c r="CO37" i="2"/>
  <c r="CO73" i="2" s="1"/>
  <c r="CN37" i="2"/>
  <c r="CN73" i="2" s="1"/>
  <c r="CM37" i="2"/>
  <c r="CL37" i="2"/>
  <c r="CK37" i="2"/>
  <c r="CK73" i="2" s="1"/>
  <c r="CJ37" i="2"/>
  <c r="CI37" i="2"/>
  <c r="CI73" i="2" s="1"/>
  <c r="CH37" i="2"/>
  <c r="CH73" i="2" s="1"/>
  <c r="CG37" i="2"/>
  <c r="CG73" i="2" s="1"/>
  <c r="CF37" i="2"/>
  <c r="CF73" i="2" s="1"/>
  <c r="CE37" i="2"/>
  <c r="CE73" i="2" s="1"/>
  <c r="CD37" i="2"/>
  <c r="CD73" i="2" s="1"/>
  <c r="CC37" i="2"/>
  <c r="CC73" i="2" s="1"/>
  <c r="CB37" i="2"/>
  <c r="CB73" i="2" s="1"/>
  <c r="CA37" i="2"/>
  <c r="CA73" i="2" s="1"/>
  <c r="BZ37" i="2"/>
  <c r="BZ73" i="2" s="1"/>
  <c r="BY37" i="2"/>
  <c r="BY73" i="2" s="1"/>
  <c r="BX37" i="2"/>
  <c r="BX73" i="2" s="1"/>
  <c r="BW37" i="2"/>
  <c r="BV37" i="2"/>
  <c r="BU37" i="2"/>
  <c r="BU73" i="2" s="1"/>
  <c r="BT37" i="2"/>
  <c r="BS37" i="2"/>
  <c r="BS73" i="2" s="1"/>
  <c r="BR37" i="2"/>
  <c r="BR73" i="2" s="1"/>
  <c r="BQ37" i="2"/>
  <c r="BQ73" i="2" s="1"/>
  <c r="BP37" i="2"/>
  <c r="BP73" i="2" s="1"/>
  <c r="BO37" i="2"/>
  <c r="BO73" i="2" s="1"/>
  <c r="BN37" i="2"/>
  <c r="BN73" i="2" s="1"/>
  <c r="BM37" i="2"/>
  <c r="BM73" i="2" s="1"/>
  <c r="BL37" i="2"/>
  <c r="BL73" i="2" s="1"/>
  <c r="BK37" i="2"/>
  <c r="BK73" i="2" s="1"/>
  <c r="BJ37" i="2"/>
  <c r="BJ73" i="2" s="1"/>
  <c r="BI37" i="2"/>
  <c r="BI73" i="2" s="1"/>
  <c r="BH37" i="2"/>
  <c r="BH73" i="2" s="1"/>
  <c r="BG37" i="2"/>
  <c r="BF37" i="2"/>
  <c r="BE37" i="2"/>
  <c r="BE73" i="2" s="1"/>
  <c r="BD37" i="2"/>
  <c r="BD73" i="2" s="1"/>
  <c r="BC37" i="2"/>
  <c r="BC73" i="2" s="1"/>
  <c r="BB37" i="2"/>
  <c r="BB73" i="2" s="1"/>
  <c r="BA37" i="2"/>
  <c r="BA73" i="2" s="1"/>
  <c r="AZ37" i="2"/>
  <c r="AZ73" i="2" s="1"/>
  <c r="AY37" i="2"/>
  <c r="AY73" i="2" s="1"/>
  <c r="AX37" i="2"/>
  <c r="AX73" i="2" s="1"/>
  <c r="AW37" i="2"/>
  <c r="AW73" i="2" s="1"/>
  <c r="AV37" i="2"/>
  <c r="AV73" i="2" s="1"/>
  <c r="AU37" i="2"/>
  <c r="AU73" i="2" s="1"/>
  <c r="AT37" i="2"/>
  <c r="AT73" i="2" s="1"/>
  <c r="AS37" i="2"/>
  <c r="AR37" i="2"/>
  <c r="AR73" i="2" s="1"/>
  <c r="AQ37" i="2"/>
  <c r="AP37" i="2"/>
  <c r="AO37" i="2"/>
  <c r="AN37" i="2"/>
  <c r="AN73" i="2" s="1"/>
  <c r="AM37" i="2"/>
  <c r="AM73" i="2" s="1"/>
  <c r="AL37" i="2"/>
  <c r="AL73" i="2" s="1"/>
  <c r="AK37" i="2"/>
  <c r="AK73" i="2" s="1"/>
  <c r="AJ37" i="2"/>
  <c r="AJ73" i="2" s="1"/>
  <c r="AI37" i="2"/>
  <c r="AI73" i="2" s="1"/>
  <c r="AH37" i="2"/>
  <c r="AH73" i="2" s="1"/>
  <c r="AG37" i="2"/>
  <c r="AG73" i="2" s="1"/>
  <c r="AF37" i="2"/>
  <c r="AF73" i="2" s="1"/>
  <c r="AE37" i="2"/>
  <c r="AE73" i="2" s="1"/>
  <c r="AD37" i="2"/>
  <c r="AD73" i="2" s="1"/>
  <c r="AC37" i="2"/>
  <c r="AB37" i="2"/>
  <c r="AB73" i="2" s="1"/>
  <c r="AA37" i="2"/>
  <c r="Z37" i="2"/>
  <c r="Y37" i="2"/>
  <c r="X37" i="2"/>
  <c r="X73" i="2" s="1"/>
  <c r="W37" i="2"/>
  <c r="W73" i="2" s="1"/>
  <c r="V37" i="2"/>
  <c r="V73" i="2" s="1"/>
  <c r="U37" i="2"/>
  <c r="U73" i="2" s="1"/>
  <c r="T37" i="2"/>
  <c r="T73" i="2" s="1"/>
  <c r="S37" i="2"/>
  <c r="S73" i="2" s="1"/>
  <c r="R37" i="2"/>
  <c r="R73" i="2" s="1"/>
  <c r="Q37" i="2"/>
  <c r="Q73" i="2" s="1"/>
  <c r="P37" i="2"/>
  <c r="P73" i="2" s="1"/>
  <c r="O37" i="2"/>
  <c r="O73" i="2" s="1"/>
  <c r="N37" i="2"/>
  <c r="N73" i="2" s="1"/>
  <c r="M37" i="2"/>
  <c r="L37" i="2"/>
  <c r="L73" i="2" s="1"/>
  <c r="K37" i="2"/>
  <c r="J37" i="2"/>
  <c r="I37" i="2"/>
  <c r="H37" i="2"/>
  <c r="H73" i="2" s="1"/>
  <c r="G37" i="2"/>
  <c r="G73" i="2" s="1"/>
  <c r="F37" i="2"/>
  <c r="F73" i="2" s="1"/>
  <c r="E37" i="2"/>
  <c r="E73" i="2" s="1"/>
  <c r="D37" i="2"/>
  <c r="D73" i="2" s="1"/>
  <c r="C37" i="2"/>
  <c r="C73" i="2" s="1"/>
  <c r="EJ28" i="2"/>
  <c r="EI28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EJ27" i="2"/>
  <c r="EI27" i="2"/>
  <c r="EH27" i="2"/>
  <c r="EG27" i="2"/>
  <c r="EF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DG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EJ25" i="2"/>
  <c r="EJ34" i="2" s="1"/>
  <c r="EI25" i="2"/>
  <c r="EI34" i="2" s="1"/>
  <c r="EH25" i="2"/>
  <c r="EH34" i="2" s="1"/>
  <c r="EG25" i="2"/>
  <c r="EG34" i="2" s="1"/>
  <c r="EF25" i="2"/>
  <c r="EF34" i="2" s="1"/>
  <c r="EE25" i="2"/>
  <c r="EE34" i="2" s="1"/>
  <c r="ED25" i="2"/>
  <c r="ED34" i="2" s="1"/>
  <c r="EC25" i="2"/>
  <c r="EC34" i="2" s="1"/>
  <c r="EB25" i="2"/>
  <c r="EB34" i="2" s="1"/>
  <c r="EA25" i="2"/>
  <c r="EA34" i="2" s="1"/>
  <c r="DZ25" i="2"/>
  <c r="DZ34" i="2" s="1"/>
  <c r="DY25" i="2"/>
  <c r="DY34" i="2" s="1"/>
  <c r="DX25" i="2"/>
  <c r="DX34" i="2" s="1"/>
  <c r="DW25" i="2"/>
  <c r="DW34" i="2" s="1"/>
  <c r="DV25" i="2"/>
  <c r="DV34" i="2" s="1"/>
  <c r="DU25" i="2"/>
  <c r="DU34" i="2" s="1"/>
  <c r="DT25" i="2"/>
  <c r="DT34" i="2" s="1"/>
  <c r="DS25" i="2"/>
  <c r="DS34" i="2" s="1"/>
  <c r="DR25" i="2"/>
  <c r="DR34" i="2" s="1"/>
  <c r="DQ25" i="2"/>
  <c r="DQ34" i="2" s="1"/>
  <c r="DP25" i="2"/>
  <c r="DP34" i="2" s="1"/>
  <c r="DO25" i="2"/>
  <c r="DO34" i="2" s="1"/>
  <c r="DN25" i="2"/>
  <c r="DN34" i="2" s="1"/>
  <c r="DM25" i="2"/>
  <c r="DM34" i="2" s="1"/>
  <c r="DL25" i="2"/>
  <c r="DL34" i="2" s="1"/>
  <c r="DK25" i="2"/>
  <c r="DK34" i="2" s="1"/>
  <c r="DJ25" i="2"/>
  <c r="DJ34" i="2" s="1"/>
  <c r="DI25" i="2"/>
  <c r="DI34" i="2" s="1"/>
  <c r="DH25" i="2"/>
  <c r="DH34" i="2" s="1"/>
  <c r="DG25" i="2"/>
  <c r="DG34" i="2" s="1"/>
  <c r="DF25" i="2"/>
  <c r="DF34" i="2" s="1"/>
  <c r="DE25" i="2"/>
  <c r="DE34" i="2" s="1"/>
  <c r="DD25" i="2"/>
  <c r="DD34" i="2" s="1"/>
  <c r="DC25" i="2"/>
  <c r="DC34" i="2" s="1"/>
  <c r="DB25" i="2"/>
  <c r="DB34" i="2" s="1"/>
  <c r="DA25" i="2"/>
  <c r="DA34" i="2" s="1"/>
  <c r="CZ25" i="2"/>
  <c r="CZ34" i="2" s="1"/>
  <c r="CY25" i="2"/>
  <c r="CY34" i="2" s="1"/>
  <c r="CX25" i="2"/>
  <c r="CX34" i="2" s="1"/>
  <c r="CW25" i="2"/>
  <c r="CW34" i="2" s="1"/>
  <c r="CV25" i="2"/>
  <c r="CV34" i="2" s="1"/>
  <c r="CU25" i="2"/>
  <c r="CU34" i="2" s="1"/>
  <c r="CT25" i="2"/>
  <c r="CT34" i="2" s="1"/>
  <c r="CS25" i="2"/>
  <c r="CS34" i="2" s="1"/>
  <c r="CR25" i="2"/>
  <c r="CR34" i="2" s="1"/>
  <c r="CQ25" i="2"/>
  <c r="CQ34" i="2" s="1"/>
  <c r="CP25" i="2"/>
  <c r="CP34" i="2" s="1"/>
  <c r="CO25" i="2"/>
  <c r="CO34" i="2" s="1"/>
  <c r="CN25" i="2"/>
  <c r="CN34" i="2" s="1"/>
  <c r="CM25" i="2"/>
  <c r="CM34" i="2" s="1"/>
  <c r="CL25" i="2"/>
  <c r="CL34" i="2" s="1"/>
  <c r="CK25" i="2"/>
  <c r="CK34" i="2" s="1"/>
  <c r="CJ25" i="2"/>
  <c r="CJ34" i="2" s="1"/>
  <c r="CI25" i="2"/>
  <c r="CI34" i="2" s="1"/>
  <c r="CH25" i="2"/>
  <c r="CH34" i="2" s="1"/>
  <c r="CG25" i="2"/>
  <c r="CG34" i="2" s="1"/>
  <c r="CF25" i="2"/>
  <c r="CF34" i="2" s="1"/>
  <c r="CE25" i="2"/>
  <c r="CE34" i="2" s="1"/>
  <c r="CD25" i="2"/>
  <c r="CD34" i="2" s="1"/>
  <c r="CC25" i="2"/>
  <c r="CC34" i="2" s="1"/>
  <c r="CB25" i="2"/>
  <c r="CB34" i="2" s="1"/>
  <c r="CA25" i="2"/>
  <c r="CA34" i="2" s="1"/>
  <c r="BZ25" i="2"/>
  <c r="BZ34" i="2" s="1"/>
  <c r="BY25" i="2"/>
  <c r="BY34" i="2" s="1"/>
  <c r="BX25" i="2"/>
  <c r="BX34" i="2" s="1"/>
  <c r="BW25" i="2"/>
  <c r="BW34" i="2" s="1"/>
  <c r="BV25" i="2"/>
  <c r="BV34" i="2" s="1"/>
  <c r="BU25" i="2"/>
  <c r="BU34" i="2" s="1"/>
  <c r="BT25" i="2"/>
  <c r="BT34" i="2" s="1"/>
  <c r="BS25" i="2"/>
  <c r="BS34" i="2" s="1"/>
  <c r="BR25" i="2"/>
  <c r="BR34" i="2" s="1"/>
  <c r="BQ25" i="2"/>
  <c r="BQ34" i="2" s="1"/>
  <c r="BP25" i="2"/>
  <c r="BP34" i="2" s="1"/>
  <c r="BO25" i="2"/>
  <c r="BO34" i="2" s="1"/>
  <c r="BN25" i="2"/>
  <c r="BN34" i="2" s="1"/>
  <c r="BM25" i="2"/>
  <c r="BM34" i="2" s="1"/>
  <c r="BL25" i="2"/>
  <c r="BL34" i="2" s="1"/>
  <c r="BK25" i="2"/>
  <c r="BK34" i="2" s="1"/>
  <c r="BJ25" i="2"/>
  <c r="BJ34" i="2" s="1"/>
  <c r="BI25" i="2"/>
  <c r="BI34" i="2" s="1"/>
  <c r="BH25" i="2"/>
  <c r="BH34" i="2" s="1"/>
  <c r="BG25" i="2"/>
  <c r="BG34" i="2" s="1"/>
  <c r="BF25" i="2"/>
  <c r="BF34" i="2" s="1"/>
  <c r="BE25" i="2"/>
  <c r="BE34" i="2" s="1"/>
  <c r="BD25" i="2"/>
  <c r="BD34" i="2" s="1"/>
  <c r="BC25" i="2"/>
  <c r="BC34" i="2" s="1"/>
  <c r="BB25" i="2"/>
  <c r="BB34" i="2" s="1"/>
  <c r="BA25" i="2"/>
  <c r="BA34" i="2" s="1"/>
  <c r="AZ25" i="2"/>
  <c r="AZ34" i="2" s="1"/>
  <c r="AY25" i="2"/>
  <c r="AY34" i="2" s="1"/>
  <c r="AX25" i="2"/>
  <c r="AX34" i="2" s="1"/>
  <c r="AW25" i="2"/>
  <c r="AW34" i="2" s="1"/>
  <c r="AV25" i="2"/>
  <c r="AV34" i="2" s="1"/>
  <c r="AU25" i="2"/>
  <c r="AU34" i="2" s="1"/>
  <c r="AT25" i="2"/>
  <c r="AT34" i="2" s="1"/>
  <c r="AS25" i="2"/>
  <c r="AS34" i="2" s="1"/>
  <c r="AR25" i="2"/>
  <c r="AR34" i="2" s="1"/>
  <c r="AQ25" i="2"/>
  <c r="AQ34" i="2" s="1"/>
  <c r="AP25" i="2"/>
  <c r="AP34" i="2" s="1"/>
  <c r="AO25" i="2"/>
  <c r="AO34" i="2" s="1"/>
  <c r="AN25" i="2"/>
  <c r="AN34" i="2" s="1"/>
  <c r="AM25" i="2"/>
  <c r="AM34" i="2" s="1"/>
  <c r="AL25" i="2"/>
  <c r="AL34" i="2" s="1"/>
  <c r="AK25" i="2"/>
  <c r="AK34" i="2" s="1"/>
  <c r="AJ25" i="2"/>
  <c r="AJ34" i="2" s="1"/>
  <c r="AI25" i="2"/>
  <c r="AI34" i="2" s="1"/>
  <c r="AH25" i="2"/>
  <c r="AH34" i="2" s="1"/>
  <c r="AG25" i="2"/>
  <c r="AG34" i="2" s="1"/>
  <c r="AF25" i="2"/>
  <c r="AF34" i="2" s="1"/>
  <c r="AE25" i="2"/>
  <c r="AE34" i="2" s="1"/>
  <c r="AD25" i="2"/>
  <c r="AD34" i="2" s="1"/>
  <c r="AC25" i="2"/>
  <c r="AC34" i="2" s="1"/>
  <c r="AB25" i="2"/>
  <c r="AB34" i="2" s="1"/>
  <c r="AA25" i="2"/>
  <c r="AA34" i="2" s="1"/>
  <c r="Z25" i="2"/>
  <c r="Z34" i="2" s="1"/>
  <c r="Y25" i="2"/>
  <c r="Y34" i="2" s="1"/>
  <c r="X25" i="2"/>
  <c r="X34" i="2" s="1"/>
  <c r="W25" i="2"/>
  <c r="W34" i="2" s="1"/>
  <c r="V25" i="2"/>
  <c r="V34" i="2" s="1"/>
  <c r="U25" i="2"/>
  <c r="U34" i="2" s="1"/>
  <c r="T25" i="2"/>
  <c r="T34" i="2" s="1"/>
  <c r="S25" i="2"/>
  <c r="S34" i="2" s="1"/>
  <c r="R25" i="2"/>
  <c r="R34" i="2" s="1"/>
  <c r="Q25" i="2"/>
  <c r="Q34" i="2" s="1"/>
  <c r="P25" i="2"/>
  <c r="P34" i="2" s="1"/>
  <c r="O25" i="2"/>
  <c r="O34" i="2" s="1"/>
  <c r="N25" i="2"/>
  <c r="N34" i="2" s="1"/>
  <c r="M25" i="2"/>
  <c r="M34" i="2" s="1"/>
  <c r="L25" i="2"/>
  <c r="L34" i="2" s="1"/>
  <c r="K25" i="2"/>
  <c r="K34" i="2" s="1"/>
  <c r="J25" i="2"/>
  <c r="J34" i="2" s="1"/>
  <c r="I25" i="2"/>
  <c r="I34" i="2" s="1"/>
  <c r="H25" i="2"/>
  <c r="H34" i="2" s="1"/>
  <c r="G25" i="2"/>
  <c r="G34" i="2" s="1"/>
  <c r="F25" i="2"/>
  <c r="F34" i="2" s="1"/>
  <c r="E25" i="2"/>
  <c r="E34" i="2" s="1"/>
  <c r="D25" i="2"/>
  <c r="D34" i="2" s="1"/>
  <c r="C25" i="2"/>
  <c r="C34" i="2" s="1"/>
  <c r="EJ24" i="2"/>
  <c r="EJ33" i="2" s="1"/>
  <c r="EI24" i="2"/>
  <c r="EI33" i="2" s="1"/>
  <c r="EH24" i="2"/>
  <c r="EH33" i="2" s="1"/>
  <c r="EG24" i="2"/>
  <c r="EG33" i="2" s="1"/>
  <c r="EF24" i="2"/>
  <c r="EF33" i="2" s="1"/>
  <c r="EE24" i="2"/>
  <c r="EE33" i="2" s="1"/>
  <c r="ED24" i="2"/>
  <c r="ED33" i="2" s="1"/>
  <c r="EC24" i="2"/>
  <c r="EC33" i="2" s="1"/>
  <c r="EB24" i="2"/>
  <c r="EB33" i="2" s="1"/>
  <c r="EA24" i="2"/>
  <c r="EA33" i="2" s="1"/>
  <c r="DZ24" i="2"/>
  <c r="DZ33" i="2" s="1"/>
  <c r="DY24" i="2"/>
  <c r="DY33" i="2" s="1"/>
  <c r="DX24" i="2"/>
  <c r="DX33" i="2" s="1"/>
  <c r="DW24" i="2"/>
  <c r="DW33" i="2" s="1"/>
  <c r="DV24" i="2"/>
  <c r="DV33" i="2" s="1"/>
  <c r="DU24" i="2"/>
  <c r="DU33" i="2" s="1"/>
  <c r="DT24" i="2"/>
  <c r="DT33" i="2" s="1"/>
  <c r="DS24" i="2"/>
  <c r="DS33" i="2" s="1"/>
  <c r="DR24" i="2"/>
  <c r="DR33" i="2" s="1"/>
  <c r="DQ24" i="2"/>
  <c r="DQ33" i="2" s="1"/>
  <c r="DP24" i="2"/>
  <c r="DP33" i="2" s="1"/>
  <c r="DO24" i="2"/>
  <c r="DO33" i="2" s="1"/>
  <c r="DN24" i="2"/>
  <c r="DN33" i="2" s="1"/>
  <c r="DM24" i="2"/>
  <c r="DM33" i="2" s="1"/>
  <c r="DL24" i="2"/>
  <c r="DL33" i="2" s="1"/>
  <c r="DK24" i="2"/>
  <c r="DK33" i="2" s="1"/>
  <c r="DJ24" i="2"/>
  <c r="DJ33" i="2" s="1"/>
  <c r="DI24" i="2"/>
  <c r="DI33" i="2" s="1"/>
  <c r="DH24" i="2"/>
  <c r="DH33" i="2" s="1"/>
  <c r="DG24" i="2"/>
  <c r="DG33" i="2" s="1"/>
  <c r="DF24" i="2"/>
  <c r="DF33" i="2" s="1"/>
  <c r="DE24" i="2"/>
  <c r="DE33" i="2" s="1"/>
  <c r="DD24" i="2"/>
  <c r="DD33" i="2" s="1"/>
  <c r="DC24" i="2"/>
  <c r="DC33" i="2" s="1"/>
  <c r="DB24" i="2"/>
  <c r="DB33" i="2" s="1"/>
  <c r="DA24" i="2"/>
  <c r="DA33" i="2" s="1"/>
  <c r="CZ24" i="2"/>
  <c r="CZ33" i="2" s="1"/>
  <c r="CY24" i="2"/>
  <c r="CY33" i="2" s="1"/>
  <c r="CX24" i="2"/>
  <c r="CX33" i="2" s="1"/>
  <c r="CW24" i="2"/>
  <c r="CW33" i="2" s="1"/>
  <c r="CV24" i="2"/>
  <c r="CV33" i="2" s="1"/>
  <c r="CU24" i="2"/>
  <c r="CU33" i="2" s="1"/>
  <c r="CT24" i="2"/>
  <c r="CT33" i="2" s="1"/>
  <c r="CS24" i="2"/>
  <c r="CS33" i="2" s="1"/>
  <c r="CR24" i="2"/>
  <c r="CR33" i="2" s="1"/>
  <c r="CQ24" i="2"/>
  <c r="CQ33" i="2" s="1"/>
  <c r="CP24" i="2"/>
  <c r="CP33" i="2" s="1"/>
  <c r="CO24" i="2"/>
  <c r="CO33" i="2" s="1"/>
  <c r="CN24" i="2"/>
  <c r="CN33" i="2" s="1"/>
  <c r="CM24" i="2"/>
  <c r="CM33" i="2" s="1"/>
  <c r="CL24" i="2"/>
  <c r="CL33" i="2" s="1"/>
  <c r="CK24" i="2"/>
  <c r="CK33" i="2" s="1"/>
  <c r="CJ24" i="2"/>
  <c r="CJ33" i="2" s="1"/>
  <c r="CI24" i="2"/>
  <c r="CI33" i="2" s="1"/>
  <c r="CH24" i="2"/>
  <c r="CH33" i="2" s="1"/>
  <c r="CG24" i="2"/>
  <c r="CG33" i="2" s="1"/>
  <c r="CF24" i="2"/>
  <c r="CF33" i="2" s="1"/>
  <c r="CE24" i="2"/>
  <c r="CE33" i="2" s="1"/>
  <c r="CD24" i="2"/>
  <c r="CD33" i="2" s="1"/>
  <c r="CC24" i="2"/>
  <c r="CC33" i="2" s="1"/>
  <c r="CB24" i="2"/>
  <c r="CB33" i="2" s="1"/>
  <c r="CA24" i="2"/>
  <c r="CA33" i="2" s="1"/>
  <c r="BZ24" i="2"/>
  <c r="BZ33" i="2" s="1"/>
  <c r="BY24" i="2"/>
  <c r="BY33" i="2" s="1"/>
  <c r="BX24" i="2"/>
  <c r="BX33" i="2" s="1"/>
  <c r="BW24" i="2"/>
  <c r="BW33" i="2" s="1"/>
  <c r="BV24" i="2"/>
  <c r="BV33" i="2" s="1"/>
  <c r="BU24" i="2"/>
  <c r="BU33" i="2" s="1"/>
  <c r="BT24" i="2"/>
  <c r="BT33" i="2" s="1"/>
  <c r="BS24" i="2"/>
  <c r="BS33" i="2" s="1"/>
  <c r="BR24" i="2"/>
  <c r="BR33" i="2" s="1"/>
  <c r="BQ24" i="2"/>
  <c r="BQ33" i="2" s="1"/>
  <c r="BP24" i="2"/>
  <c r="BP33" i="2" s="1"/>
  <c r="BO24" i="2"/>
  <c r="BO33" i="2" s="1"/>
  <c r="BN24" i="2"/>
  <c r="BN33" i="2" s="1"/>
  <c r="BM24" i="2"/>
  <c r="BM33" i="2" s="1"/>
  <c r="BL24" i="2"/>
  <c r="BL33" i="2" s="1"/>
  <c r="BK24" i="2"/>
  <c r="BK33" i="2" s="1"/>
  <c r="BJ24" i="2"/>
  <c r="BJ33" i="2" s="1"/>
  <c r="BI24" i="2"/>
  <c r="BI33" i="2" s="1"/>
  <c r="BH24" i="2"/>
  <c r="BH33" i="2" s="1"/>
  <c r="BG24" i="2"/>
  <c r="BG33" i="2" s="1"/>
  <c r="BF24" i="2"/>
  <c r="BF33" i="2" s="1"/>
  <c r="BE24" i="2"/>
  <c r="BE33" i="2" s="1"/>
  <c r="BD24" i="2"/>
  <c r="BD33" i="2" s="1"/>
  <c r="BC24" i="2"/>
  <c r="BC33" i="2" s="1"/>
  <c r="BB24" i="2"/>
  <c r="BB33" i="2" s="1"/>
  <c r="BA24" i="2"/>
  <c r="BA33" i="2" s="1"/>
  <c r="AZ24" i="2"/>
  <c r="AZ33" i="2" s="1"/>
  <c r="AY24" i="2"/>
  <c r="AY33" i="2" s="1"/>
  <c r="AX24" i="2"/>
  <c r="AX33" i="2" s="1"/>
  <c r="AW24" i="2"/>
  <c r="AW33" i="2" s="1"/>
  <c r="AV24" i="2"/>
  <c r="AV33" i="2" s="1"/>
  <c r="AU24" i="2"/>
  <c r="AU33" i="2" s="1"/>
  <c r="AT24" i="2"/>
  <c r="AT33" i="2" s="1"/>
  <c r="AS24" i="2"/>
  <c r="AS33" i="2" s="1"/>
  <c r="AR24" i="2"/>
  <c r="AR33" i="2" s="1"/>
  <c r="AQ24" i="2"/>
  <c r="AQ33" i="2" s="1"/>
  <c r="AP24" i="2"/>
  <c r="AP33" i="2" s="1"/>
  <c r="AO24" i="2"/>
  <c r="AO33" i="2" s="1"/>
  <c r="AN24" i="2"/>
  <c r="AN33" i="2" s="1"/>
  <c r="AM24" i="2"/>
  <c r="AM33" i="2" s="1"/>
  <c r="AL24" i="2"/>
  <c r="AL33" i="2" s="1"/>
  <c r="AK24" i="2"/>
  <c r="AK33" i="2" s="1"/>
  <c r="AJ24" i="2"/>
  <c r="AJ33" i="2" s="1"/>
  <c r="AI24" i="2"/>
  <c r="AI33" i="2" s="1"/>
  <c r="AH24" i="2"/>
  <c r="AH33" i="2" s="1"/>
  <c r="AG24" i="2"/>
  <c r="AG33" i="2" s="1"/>
  <c r="AF24" i="2"/>
  <c r="AF33" i="2" s="1"/>
  <c r="AE24" i="2"/>
  <c r="AE33" i="2" s="1"/>
  <c r="AD24" i="2"/>
  <c r="AD33" i="2" s="1"/>
  <c r="AC24" i="2"/>
  <c r="AC33" i="2" s="1"/>
  <c r="AB24" i="2"/>
  <c r="AB33" i="2" s="1"/>
  <c r="AA24" i="2"/>
  <c r="AA33" i="2" s="1"/>
  <c r="Z24" i="2"/>
  <c r="Z33" i="2" s="1"/>
  <c r="Y24" i="2"/>
  <c r="Y33" i="2" s="1"/>
  <c r="X24" i="2"/>
  <c r="X33" i="2" s="1"/>
  <c r="W24" i="2"/>
  <c r="W33" i="2" s="1"/>
  <c r="V24" i="2"/>
  <c r="V33" i="2" s="1"/>
  <c r="U24" i="2"/>
  <c r="U33" i="2" s="1"/>
  <c r="T24" i="2"/>
  <c r="T33" i="2" s="1"/>
  <c r="S24" i="2"/>
  <c r="S33" i="2" s="1"/>
  <c r="R24" i="2"/>
  <c r="R33" i="2" s="1"/>
  <c r="Q24" i="2"/>
  <c r="Q33" i="2" s="1"/>
  <c r="P24" i="2"/>
  <c r="P33" i="2" s="1"/>
  <c r="O24" i="2"/>
  <c r="O33" i="2" s="1"/>
  <c r="N24" i="2"/>
  <c r="N33" i="2" s="1"/>
  <c r="M24" i="2"/>
  <c r="M33" i="2" s="1"/>
  <c r="L24" i="2"/>
  <c r="L33" i="2" s="1"/>
  <c r="K24" i="2"/>
  <c r="K33" i="2" s="1"/>
  <c r="J24" i="2"/>
  <c r="J33" i="2" s="1"/>
  <c r="I24" i="2"/>
  <c r="I33" i="2" s="1"/>
  <c r="H24" i="2"/>
  <c r="H33" i="2" s="1"/>
  <c r="G24" i="2"/>
  <c r="G33" i="2" s="1"/>
  <c r="F24" i="2"/>
  <c r="F33" i="2" s="1"/>
  <c r="E24" i="2"/>
  <c r="E33" i="2" s="1"/>
  <c r="D24" i="2"/>
  <c r="D33" i="2" s="1"/>
  <c r="C24" i="2"/>
  <c r="C33" i="2" s="1"/>
  <c r="EJ23" i="2"/>
  <c r="EJ31" i="2" s="1"/>
  <c r="EI23" i="2"/>
  <c r="EI31" i="2" s="1"/>
  <c r="EH23" i="2"/>
  <c r="EH31" i="2" s="1"/>
  <c r="EG23" i="2"/>
  <c r="EG31" i="2" s="1"/>
  <c r="EF23" i="2"/>
  <c r="EF31" i="2" s="1"/>
  <c r="EE23" i="2"/>
  <c r="EE31" i="2" s="1"/>
  <c r="ED23" i="2"/>
  <c r="ED31" i="2" s="1"/>
  <c r="EC23" i="2"/>
  <c r="EC31" i="2" s="1"/>
  <c r="EB23" i="2"/>
  <c r="EB31" i="2" s="1"/>
  <c r="EA23" i="2"/>
  <c r="EA31" i="2" s="1"/>
  <c r="DZ23" i="2"/>
  <c r="DZ31" i="2" s="1"/>
  <c r="DY23" i="2"/>
  <c r="DY31" i="2" s="1"/>
  <c r="DX23" i="2"/>
  <c r="DX31" i="2" s="1"/>
  <c r="DW23" i="2"/>
  <c r="DW31" i="2" s="1"/>
  <c r="DV23" i="2"/>
  <c r="DV31" i="2" s="1"/>
  <c r="DU23" i="2"/>
  <c r="DU31" i="2" s="1"/>
  <c r="DT23" i="2"/>
  <c r="DT31" i="2" s="1"/>
  <c r="DS23" i="2"/>
  <c r="DS31" i="2" s="1"/>
  <c r="DR23" i="2"/>
  <c r="DR31" i="2" s="1"/>
  <c r="DQ23" i="2"/>
  <c r="DQ31" i="2" s="1"/>
  <c r="DP23" i="2"/>
  <c r="DP31" i="2" s="1"/>
  <c r="DO23" i="2"/>
  <c r="DO31" i="2" s="1"/>
  <c r="DN23" i="2"/>
  <c r="DN31" i="2" s="1"/>
  <c r="DM23" i="2"/>
  <c r="DM31" i="2" s="1"/>
  <c r="DL23" i="2"/>
  <c r="DL31" i="2" s="1"/>
  <c r="DK23" i="2"/>
  <c r="DK31" i="2" s="1"/>
  <c r="DJ23" i="2"/>
  <c r="DJ31" i="2" s="1"/>
  <c r="DI23" i="2"/>
  <c r="DI31" i="2" s="1"/>
  <c r="DH23" i="2"/>
  <c r="DH31" i="2" s="1"/>
  <c r="DG23" i="2"/>
  <c r="DG31" i="2" s="1"/>
  <c r="DF23" i="2"/>
  <c r="DF31" i="2" s="1"/>
  <c r="DE23" i="2"/>
  <c r="DE31" i="2" s="1"/>
  <c r="DD23" i="2"/>
  <c r="DD31" i="2" s="1"/>
  <c r="DC23" i="2"/>
  <c r="DC31" i="2" s="1"/>
  <c r="DB23" i="2"/>
  <c r="DB31" i="2" s="1"/>
  <c r="DA23" i="2"/>
  <c r="DA31" i="2" s="1"/>
  <c r="CZ23" i="2"/>
  <c r="CZ31" i="2" s="1"/>
  <c r="CY23" i="2"/>
  <c r="CY31" i="2" s="1"/>
  <c r="CX23" i="2"/>
  <c r="CX31" i="2" s="1"/>
  <c r="CW23" i="2"/>
  <c r="CW31" i="2" s="1"/>
  <c r="CV23" i="2"/>
  <c r="CV31" i="2" s="1"/>
  <c r="CU23" i="2"/>
  <c r="CU31" i="2" s="1"/>
  <c r="CT23" i="2"/>
  <c r="CT31" i="2" s="1"/>
  <c r="CS23" i="2"/>
  <c r="CS31" i="2" s="1"/>
  <c r="CR23" i="2"/>
  <c r="CR31" i="2" s="1"/>
  <c r="CQ23" i="2"/>
  <c r="CQ31" i="2" s="1"/>
  <c r="CP23" i="2"/>
  <c r="CP31" i="2" s="1"/>
  <c r="CO23" i="2"/>
  <c r="CO31" i="2" s="1"/>
  <c r="CN23" i="2"/>
  <c r="CN31" i="2" s="1"/>
  <c r="CM23" i="2"/>
  <c r="CM31" i="2" s="1"/>
  <c r="CL23" i="2"/>
  <c r="CL31" i="2" s="1"/>
  <c r="CK23" i="2"/>
  <c r="CK31" i="2" s="1"/>
  <c r="CJ23" i="2"/>
  <c r="CJ31" i="2" s="1"/>
  <c r="CI23" i="2"/>
  <c r="CI31" i="2" s="1"/>
  <c r="CH23" i="2"/>
  <c r="CH31" i="2" s="1"/>
  <c r="CG23" i="2"/>
  <c r="CG31" i="2" s="1"/>
  <c r="CF23" i="2"/>
  <c r="CF31" i="2" s="1"/>
  <c r="CE23" i="2"/>
  <c r="CE31" i="2" s="1"/>
  <c r="CD23" i="2"/>
  <c r="CD31" i="2" s="1"/>
  <c r="CC23" i="2"/>
  <c r="CC31" i="2" s="1"/>
  <c r="CB23" i="2"/>
  <c r="CB31" i="2" s="1"/>
  <c r="CA23" i="2"/>
  <c r="CA31" i="2" s="1"/>
  <c r="BZ23" i="2"/>
  <c r="BZ31" i="2" s="1"/>
  <c r="BY23" i="2"/>
  <c r="BY31" i="2" s="1"/>
  <c r="BX23" i="2"/>
  <c r="BX31" i="2" s="1"/>
  <c r="BW23" i="2"/>
  <c r="BW31" i="2" s="1"/>
  <c r="BV23" i="2"/>
  <c r="BV31" i="2" s="1"/>
  <c r="BU23" i="2"/>
  <c r="BU31" i="2" s="1"/>
  <c r="BT23" i="2"/>
  <c r="BT31" i="2" s="1"/>
  <c r="BS23" i="2"/>
  <c r="BS31" i="2" s="1"/>
  <c r="BR23" i="2"/>
  <c r="BR31" i="2" s="1"/>
  <c r="BQ23" i="2"/>
  <c r="BQ31" i="2" s="1"/>
  <c r="BP23" i="2"/>
  <c r="BP31" i="2" s="1"/>
  <c r="BO23" i="2"/>
  <c r="BO31" i="2" s="1"/>
  <c r="BN23" i="2"/>
  <c r="BN31" i="2" s="1"/>
  <c r="BM23" i="2"/>
  <c r="BM31" i="2" s="1"/>
  <c r="BL23" i="2"/>
  <c r="BL31" i="2" s="1"/>
  <c r="BK23" i="2"/>
  <c r="BK31" i="2" s="1"/>
  <c r="BJ23" i="2"/>
  <c r="BJ31" i="2" s="1"/>
  <c r="BI23" i="2"/>
  <c r="BI31" i="2" s="1"/>
  <c r="BH23" i="2"/>
  <c r="BH31" i="2" s="1"/>
  <c r="BG23" i="2"/>
  <c r="BG31" i="2" s="1"/>
  <c r="BF23" i="2"/>
  <c r="BF31" i="2" s="1"/>
  <c r="BE23" i="2"/>
  <c r="BE31" i="2" s="1"/>
  <c r="BD23" i="2"/>
  <c r="BD31" i="2" s="1"/>
  <c r="BC23" i="2"/>
  <c r="BC31" i="2" s="1"/>
  <c r="BB23" i="2"/>
  <c r="BB31" i="2" s="1"/>
  <c r="BA23" i="2"/>
  <c r="BA31" i="2" s="1"/>
  <c r="AZ23" i="2"/>
  <c r="AZ31" i="2" s="1"/>
  <c r="AY23" i="2"/>
  <c r="AY31" i="2" s="1"/>
  <c r="AX23" i="2"/>
  <c r="AX31" i="2" s="1"/>
  <c r="AW23" i="2"/>
  <c r="AW31" i="2" s="1"/>
  <c r="AV23" i="2"/>
  <c r="AV31" i="2" s="1"/>
  <c r="AU23" i="2"/>
  <c r="AU31" i="2" s="1"/>
  <c r="AT23" i="2"/>
  <c r="AT31" i="2" s="1"/>
  <c r="AS23" i="2"/>
  <c r="AS31" i="2" s="1"/>
  <c r="AR23" i="2"/>
  <c r="AR31" i="2" s="1"/>
  <c r="AQ23" i="2"/>
  <c r="AQ31" i="2" s="1"/>
  <c r="AP23" i="2"/>
  <c r="AP31" i="2" s="1"/>
  <c r="AO23" i="2"/>
  <c r="AO31" i="2" s="1"/>
  <c r="AN23" i="2"/>
  <c r="AN31" i="2" s="1"/>
  <c r="AM23" i="2"/>
  <c r="AM31" i="2" s="1"/>
  <c r="AL23" i="2"/>
  <c r="AL31" i="2" s="1"/>
  <c r="AK23" i="2"/>
  <c r="AK31" i="2" s="1"/>
  <c r="AJ23" i="2"/>
  <c r="AJ31" i="2" s="1"/>
  <c r="AI23" i="2"/>
  <c r="AI31" i="2" s="1"/>
  <c r="AH23" i="2"/>
  <c r="AH31" i="2" s="1"/>
  <c r="AG23" i="2"/>
  <c r="AG31" i="2" s="1"/>
  <c r="AF23" i="2"/>
  <c r="AF31" i="2" s="1"/>
  <c r="AE23" i="2"/>
  <c r="AE31" i="2" s="1"/>
  <c r="AD23" i="2"/>
  <c r="AD31" i="2" s="1"/>
  <c r="AC23" i="2"/>
  <c r="AC31" i="2" s="1"/>
  <c r="AB23" i="2"/>
  <c r="AB31" i="2" s="1"/>
  <c r="AA23" i="2"/>
  <c r="AA31" i="2" s="1"/>
  <c r="Z23" i="2"/>
  <c r="Z31" i="2" s="1"/>
  <c r="Y23" i="2"/>
  <c r="Y31" i="2" s="1"/>
  <c r="X23" i="2"/>
  <c r="X31" i="2" s="1"/>
  <c r="W23" i="2"/>
  <c r="W31" i="2" s="1"/>
  <c r="V23" i="2"/>
  <c r="V31" i="2" s="1"/>
  <c r="U23" i="2"/>
  <c r="U31" i="2" s="1"/>
  <c r="T23" i="2"/>
  <c r="T31" i="2" s="1"/>
  <c r="S23" i="2"/>
  <c r="S31" i="2" s="1"/>
  <c r="R23" i="2"/>
  <c r="R31" i="2" s="1"/>
  <c r="Q23" i="2"/>
  <c r="Q31" i="2" s="1"/>
  <c r="P23" i="2"/>
  <c r="P31" i="2" s="1"/>
  <c r="O23" i="2"/>
  <c r="O31" i="2" s="1"/>
  <c r="N23" i="2"/>
  <c r="N31" i="2" s="1"/>
  <c r="M23" i="2"/>
  <c r="M31" i="2" s="1"/>
  <c r="L23" i="2"/>
  <c r="L31" i="2" s="1"/>
  <c r="K23" i="2"/>
  <c r="K31" i="2" s="1"/>
  <c r="J23" i="2"/>
  <c r="J31" i="2" s="1"/>
  <c r="I23" i="2"/>
  <c r="I31" i="2" s="1"/>
  <c r="H23" i="2"/>
  <c r="H31" i="2" s="1"/>
  <c r="G23" i="2"/>
  <c r="G31" i="2" s="1"/>
  <c r="F23" i="2"/>
  <c r="F31" i="2" s="1"/>
  <c r="E23" i="2"/>
  <c r="E31" i="2" s="1"/>
  <c r="D23" i="2"/>
  <c r="D31" i="2" s="1"/>
  <c r="C23" i="2"/>
  <c r="C31" i="2" s="1"/>
  <c r="EJ22" i="2"/>
  <c r="EJ32" i="2" s="1"/>
  <c r="EI22" i="2"/>
  <c r="EI32" i="2" s="1"/>
  <c r="EH22" i="2"/>
  <c r="EH32" i="2" s="1"/>
  <c r="EG22" i="2"/>
  <c r="EG32" i="2" s="1"/>
  <c r="EF22" i="2"/>
  <c r="EF32" i="2" s="1"/>
  <c r="EE22" i="2"/>
  <c r="EE32" i="2" s="1"/>
  <c r="ED22" i="2"/>
  <c r="ED32" i="2" s="1"/>
  <c r="EC22" i="2"/>
  <c r="EC32" i="2" s="1"/>
  <c r="EB22" i="2"/>
  <c r="EB32" i="2" s="1"/>
  <c r="EA22" i="2"/>
  <c r="EA32" i="2" s="1"/>
  <c r="DZ22" i="2"/>
  <c r="DZ32" i="2" s="1"/>
  <c r="DY22" i="2"/>
  <c r="DY32" i="2" s="1"/>
  <c r="DX22" i="2"/>
  <c r="DX32" i="2" s="1"/>
  <c r="DW22" i="2"/>
  <c r="DW32" i="2" s="1"/>
  <c r="DV22" i="2"/>
  <c r="DV32" i="2" s="1"/>
  <c r="DU22" i="2"/>
  <c r="DU32" i="2" s="1"/>
  <c r="DT22" i="2"/>
  <c r="DT32" i="2" s="1"/>
  <c r="DS22" i="2"/>
  <c r="DS32" i="2" s="1"/>
  <c r="DR22" i="2"/>
  <c r="DR32" i="2" s="1"/>
  <c r="DQ22" i="2"/>
  <c r="DQ32" i="2" s="1"/>
  <c r="DP22" i="2"/>
  <c r="DP32" i="2" s="1"/>
  <c r="DO22" i="2"/>
  <c r="DO32" i="2" s="1"/>
  <c r="DN22" i="2"/>
  <c r="DN32" i="2" s="1"/>
  <c r="DM22" i="2"/>
  <c r="DM32" i="2" s="1"/>
  <c r="DL22" i="2"/>
  <c r="DL32" i="2" s="1"/>
  <c r="DK22" i="2"/>
  <c r="DK32" i="2" s="1"/>
  <c r="DJ22" i="2"/>
  <c r="DJ32" i="2" s="1"/>
  <c r="DI22" i="2"/>
  <c r="DI32" i="2" s="1"/>
  <c r="DH22" i="2"/>
  <c r="DH32" i="2" s="1"/>
  <c r="DG22" i="2"/>
  <c r="DG32" i="2" s="1"/>
  <c r="DF22" i="2"/>
  <c r="DF32" i="2" s="1"/>
  <c r="DE22" i="2"/>
  <c r="DE32" i="2" s="1"/>
  <c r="DD22" i="2"/>
  <c r="DD32" i="2" s="1"/>
  <c r="DC22" i="2"/>
  <c r="DC32" i="2" s="1"/>
  <c r="DB22" i="2"/>
  <c r="DB32" i="2" s="1"/>
  <c r="DA22" i="2"/>
  <c r="DA32" i="2" s="1"/>
  <c r="CZ22" i="2"/>
  <c r="CZ32" i="2" s="1"/>
  <c r="CY22" i="2"/>
  <c r="CY32" i="2" s="1"/>
  <c r="CX22" i="2"/>
  <c r="CX32" i="2" s="1"/>
  <c r="CW22" i="2"/>
  <c r="CW32" i="2" s="1"/>
  <c r="CV22" i="2"/>
  <c r="CV32" i="2" s="1"/>
  <c r="CU22" i="2"/>
  <c r="CU32" i="2" s="1"/>
  <c r="CT22" i="2"/>
  <c r="CT32" i="2" s="1"/>
  <c r="CS22" i="2"/>
  <c r="CS32" i="2" s="1"/>
  <c r="CR22" i="2"/>
  <c r="CR32" i="2" s="1"/>
  <c r="CQ22" i="2"/>
  <c r="CQ32" i="2" s="1"/>
  <c r="CP22" i="2"/>
  <c r="CP32" i="2" s="1"/>
  <c r="CO22" i="2"/>
  <c r="CO32" i="2" s="1"/>
  <c r="CN22" i="2"/>
  <c r="CN32" i="2" s="1"/>
  <c r="CM22" i="2"/>
  <c r="CM32" i="2" s="1"/>
  <c r="CL22" i="2"/>
  <c r="CL32" i="2" s="1"/>
  <c r="CK22" i="2"/>
  <c r="CK32" i="2" s="1"/>
  <c r="CJ22" i="2"/>
  <c r="CJ32" i="2" s="1"/>
  <c r="CI22" i="2"/>
  <c r="CI32" i="2" s="1"/>
  <c r="CH22" i="2"/>
  <c r="CH32" i="2" s="1"/>
  <c r="CG22" i="2"/>
  <c r="CG32" i="2" s="1"/>
  <c r="CF22" i="2"/>
  <c r="CF32" i="2" s="1"/>
  <c r="CE22" i="2"/>
  <c r="CE32" i="2" s="1"/>
  <c r="CD22" i="2"/>
  <c r="CD32" i="2" s="1"/>
  <c r="CC22" i="2"/>
  <c r="CC32" i="2" s="1"/>
  <c r="CB22" i="2"/>
  <c r="CB32" i="2" s="1"/>
  <c r="CA22" i="2"/>
  <c r="CA32" i="2" s="1"/>
  <c r="BZ22" i="2"/>
  <c r="BZ32" i="2" s="1"/>
  <c r="BY22" i="2"/>
  <c r="BY32" i="2" s="1"/>
  <c r="BX22" i="2"/>
  <c r="BX32" i="2" s="1"/>
  <c r="BW22" i="2"/>
  <c r="BW32" i="2" s="1"/>
  <c r="BV22" i="2"/>
  <c r="BV32" i="2" s="1"/>
  <c r="BU22" i="2"/>
  <c r="BU32" i="2" s="1"/>
  <c r="BT22" i="2"/>
  <c r="BT32" i="2" s="1"/>
  <c r="BS22" i="2"/>
  <c r="BS32" i="2" s="1"/>
  <c r="BR22" i="2"/>
  <c r="BR32" i="2" s="1"/>
  <c r="BQ22" i="2"/>
  <c r="BQ32" i="2" s="1"/>
  <c r="BP22" i="2"/>
  <c r="BP32" i="2" s="1"/>
  <c r="BO22" i="2"/>
  <c r="BO32" i="2" s="1"/>
  <c r="BN22" i="2"/>
  <c r="BN32" i="2" s="1"/>
  <c r="BM22" i="2"/>
  <c r="BM32" i="2" s="1"/>
  <c r="BL22" i="2"/>
  <c r="BL32" i="2" s="1"/>
  <c r="BK22" i="2"/>
  <c r="BK32" i="2" s="1"/>
  <c r="BJ22" i="2"/>
  <c r="BJ32" i="2" s="1"/>
  <c r="BI22" i="2"/>
  <c r="BI32" i="2" s="1"/>
  <c r="BH22" i="2"/>
  <c r="BH32" i="2" s="1"/>
  <c r="BG22" i="2"/>
  <c r="BG32" i="2" s="1"/>
  <c r="BF22" i="2"/>
  <c r="BF32" i="2" s="1"/>
  <c r="BE22" i="2"/>
  <c r="BE32" i="2" s="1"/>
  <c r="BD22" i="2"/>
  <c r="BD32" i="2" s="1"/>
  <c r="BC22" i="2"/>
  <c r="BC32" i="2" s="1"/>
  <c r="BB22" i="2"/>
  <c r="BB32" i="2" s="1"/>
  <c r="BA22" i="2"/>
  <c r="BA32" i="2" s="1"/>
  <c r="AZ22" i="2"/>
  <c r="AZ32" i="2" s="1"/>
  <c r="AY22" i="2"/>
  <c r="AY32" i="2" s="1"/>
  <c r="AX22" i="2"/>
  <c r="AX32" i="2" s="1"/>
  <c r="AW22" i="2"/>
  <c r="AW32" i="2" s="1"/>
  <c r="AV22" i="2"/>
  <c r="AV32" i="2" s="1"/>
  <c r="AU22" i="2"/>
  <c r="AU32" i="2" s="1"/>
  <c r="AT22" i="2"/>
  <c r="AT32" i="2" s="1"/>
  <c r="AS22" i="2"/>
  <c r="AS32" i="2" s="1"/>
  <c r="AR22" i="2"/>
  <c r="AR32" i="2" s="1"/>
  <c r="AQ22" i="2"/>
  <c r="AQ32" i="2" s="1"/>
  <c r="AP22" i="2"/>
  <c r="AP32" i="2" s="1"/>
  <c r="AO22" i="2"/>
  <c r="AO32" i="2" s="1"/>
  <c r="AN22" i="2"/>
  <c r="AN32" i="2" s="1"/>
  <c r="AM22" i="2"/>
  <c r="AM32" i="2" s="1"/>
  <c r="AL22" i="2"/>
  <c r="AL32" i="2" s="1"/>
  <c r="AK22" i="2"/>
  <c r="AK32" i="2" s="1"/>
  <c r="AJ22" i="2"/>
  <c r="AJ32" i="2" s="1"/>
  <c r="AI22" i="2"/>
  <c r="AI32" i="2" s="1"/>
  <c r="AH22" i="2"/>
  <c r="AH32" i="2" s="1"/>
  <c r="AG22" i="2"/>
  <c r="AG32" i="2" s="1"/>
  <c r="AF22" i="2"/>
  <c r="AF32" i="2" s="1"/>
  <c r="AE22" i="2"/>
  <c r="AE32" i="2" s="1"/>
  <c r="AD22" i="2"/>
  <c r="AD32" i="2" s="1"/>
  <c r="AC22" i="2"/>
  <c r="AC32" i="2" s="1"/>
  <c r="AB22" i="2"/>
  <c r="AB32" i="2" s="1"/>
  <c r="AA22" i="2"/>
  <c r="AA32" i="2" s="1"/>
  <c r="Z22" i="2"/>
  <c r="Z32" i="2" s="1"/>
  <c r="Y22" i="2"/>
  <c r="Y32" i="2" s="1"/>
  <c r="X22" i="2"/>
  <c r="X32" i="2" s="1"/>
  <c r="W22" i="2"/>
  <c r="W32" i="2" s="1"/>
  <c r="V22" i="2"/>
  <c r="V32" i="2" s="1"/>
  <c r="U22" i="2"/>
  <c r="U32" i="2" s="1"/>
  <c r="T22" i="2"/>
  <c r="T32" i="2" s="1"/>
  <c r="S22" i="2"/>
  <c r="S32" i="2" s="1"/>
  <c r="R22" i="2"/>
  <c r="R32" i="2" s="1"/>
  <c r="Q22" i="2"/>
  <c r="Q32" i="2" s="1"/>
  <c r="P22" i="2"/>
  <c r="P32" i="2" s="1"/>
  <c r="O22" i="2"/>
  <c r="O32" i="2" s="1"/>
  <c r="N22" i="2"/>
  <c r="N32" i="2" s="1"/>
  <c r="M22" i="2"/>
  <c r="M32" i="2" s="1"/>
  <c r="L22" i="2"/>
  <c r="L32" i="2" s="1"/>
  <c r="K22" i="2"/>
  <c r="K32" i="2" s="1"/>
  <c r="J22" i="2"/>
  <c r="J32" i="2" s="1"/>
  <c r="I22" i="2"/>
  <c r="I32" i="2" s="1"/>
  <c r="H22" i="2"/>
  <c r="H32" i="2" s="1"/>
  <c r="G22" i="2"/>
  <c r="G32" i="2" s="1"/>
  <c r="F22" i="2"/>
  <c r="F32" i="2" s="1"/>
  <c r="E22" i="2"/>
  <c r="E32" i="2" s="1"/>
  <c r="D22" i="2"/>
  <c r="D32" i="2" s="1"/>
  <c r="C22" i="2"/>
  <c r="C32" i="2" s="1"/>
  <c r="EJ19" i="2"/>
  <c r="EI19" i="2"/>
  <c r="EH19" i="2"/>
  <c r="EG19" i="2"/>
  <c r="EF19" i="2"/>
  <c r="EE19" i="2"/>
  <c r="EE50" i="2" s="1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S50" i="2" s="1"/>
  <c r="CR19" i="2"/>
  <c r="CQ19" i="2"/>
  <c r="CP19" i="2"/>
  <c r="CO19" i="2"/>
  <c r="CN19" i="2"/>
  <c r="CN47" i="2" s="1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H50" i="2" s="1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Y50" i="2" s="1"/>
  <c r="X19" i="2"/>
  <c r="W19" i="2"/>
  <c r="V19" i="2"/>
  <c r="U19" i="2"/>
  <c r="T19" i="2"/>
  <c r="S19" i="2"/>
  <c r="R19" i="2"/>
  <c r="Q19" i="2"/>
  <c r="P19" i="2"/>
  <c r="P47" i="2" s="1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EJ18" i="2"/>
  <c r="EI18" i="2"/>
  <c r="EH18" i="2"/>
  <c r="EG18" i="2"/>
  <c r="EF18" i="2"/>
  <c r="EE18" i="2"/>
  <c r="EE41" i="2" s="1"/>
  <c r="ED18" i="2"/>
  <c r="EC18" i="2"/>
  <c r="EB18" i="2"/>
  <c r="EA18" i="2"/>
  <c r="DZ18" i="2"/>
  <c r="DY18" i="2"/>
  <c r="DX18" i="2"/>
  <c r="DW18" i="2"/>
  <c r="DV18" i="2"/>
  <c r="DV44" i="2" s="1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C41" i="2" s="1"/>
  <c r="DB18" i="2"/>
  <c r="DA18" i="2"/>
  <c r="DA44" i="2" s="1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G41" i="2" s="1"/>
  <c r="CF18" i="2"/>
  <c r="CF44" i="2" s="1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L41" i="2" s="1"/>
  <c r="BK18" i="2"/>
  <c r="BJ18" i="2"/>
  <c r="BI18" i="2"/>
  <c r="BH18" i="2"/>
  <c r="BG18" i="2"/>
  <c r="BF18" i="2"/>
  <c r="BF44" i="2" s="1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L41" i="2" s="1"/>
  <c r="AK18" i="2"/>
  <c r="AK44" i="2" s="1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Q41" i="2" s="1"/>
  <c r="P18" i="2"/>
  <c r="O18" i="2"/>
  <c r="N18" i="2"/>
  <c r="M18" i="2"/>
  <c r="L18" i="2"/>
  <c r="K18" i="2"/>
  <c r="K44" i="2" s="1"/>
  <c r="J18" i="2"/>
  <c r="I18" i="2"/>
  <c r="H18" i="2"/>
  <c r="G18" i="2"/>
  <c r="F18" i="2"/>
  <c r="E18" i="2"/>
  <c r="D18" i="2"/>
  <c r="C18" i="2"/>
  <c r="AL36" i="2" l="1"/>
  <c r="BB36" i="2"/>
  <c r="DT36" i="2"/>
  <c r="R36" i="2"/>
  <c r="AH36" i="2"/>
  <c r="AX36" i="2"/>
  <c r="CU36" i="2"/>
  <c r="DK36" i="2"/>
  <c r="EA36" i="2"/>
  <c r="G36" i="2"/>
  <c r="DA41" i="2"/>
  <c r="AC44" i="2"/>
  <c r="AC41" i="2"/>
  <c r="AC36" i="2" s="1"/>
  <c r="BY44" i="2"/>
  <c r="BY41" i="2"/>
  <c r="C47" i="2"/>
  <c r="C50" i="2"/>
  <c r="DV41" i="2"/>
  <c r="L44" i="2"/>
  <c r="L41" i="2"/>
  <c r="AB44" i="2"/>
  <c r="AB41" i="2"/>
  <c r="AR44" i="2"/>
  <c r="AR41" i="2"/>
  <c r="AR36" i="2" s="1"/>
  <c r="BH44" i="2"/>
  <c r="BH41" i="2"/>
  <c r="BX44" i="2"/>
  <c r="BX41" i="2"/>
  <c r="BX36" i="2" s="1"/>
  <c r="CN44" i="2"/>
  <c r="CN41" i="2"/>
  <c r="CN36" i="2" s="1"/>
  <c r="DD44" i="2"/>
  <c r="DD36" i="2" s="1"/>
  <c r="DD41" i="2"/>
  <c r="DT41" i="2"/>
  <c r="DT44" i="2"/>
  <c r="EJ41" i="2"/>
  <c r="EJ44" i="2"/>
  <c r="R50" i="2"/>
  <c r="R47" i="2"/>
  <c r="AH47" i="2"/>
  <c r="AH50" i="2"/>
  <c r="AX50" i="2"/>
  <c r="AX47" i="2"/>
  <c r="BN50" i="2"/>
  <c r="BN47" i="2"/>
  <c r="CD50" i="2"/>
  <c r="CD47" i="2"/>
  <c r="CT50" i="2"/>
  <c r="CT47" i="2"/>
  <c r="DJ47" i="2"/>
  <c r="DJ50" i="2"/>
  <c r="DZ47" i="2"/>
  <c r="DZ50" i="2"/>
  <c r="P41" i="2"/>
  <c r="P44" i="2"/>
  <c r="AF41" i="2"/>
  <c r="AF44" i="2"/>
  <c r="AV41" i="2"/>
  <c r="AV44" i="2"/>
  <c r="CB41" i="2"/>
  <c r="CB44" i="2"/>
  <c r="CR41" i="2"/>
  <c r="CR36" i="2" s="1"/>
  <c r="CR44" i="2"/>
  <c r="DH44" i="2"/>
  <c r="DH36" i="2" s="1"/>
  <c r="DH41" i="2"/>
  <c r="DX44" i="2"/>
  <c r="DX41" i="2"/>
  <c r="F50" i="2"/>
  <c r="F47" i="2"/>
  <c r="V50" i="2"/>
  <c r="V47" i="2"/>
  <c r="AL50" i="2"/>
  <c r="AL47" i="2"/>
  <c r="BB50" i="2"/>
  <c r="BB47" i="2"/>
  <c r="BR50" i="2"/>
  <c r="BR47" i="2"/>
  <c r="CH50" i="2"/>
  <c r="CH47" i="2"/>
  <c r="CX50" i="2"/>
  <c r="CX47" i="2"/>
  <c r="DN50" i="2"/>
  <c r="DN47" i="2"/>
  <c r="ED50" i="2"/>
  <c r="ED47" i="2"/>
  <c r="L36" i="2"/>
  <c r="BT73" i="2"/>
  <c r="CJ73" i="2"/>
  <c r="CJ36" i="2"/>
  <c r="CZ73" i="2"/>
  <c r="DP73" i="2"/>
  <c r="EF73" i="2"/>
  <c r="Y47" i="2"/>
  <c r="I73" i="2"/>
  <c r="Y73" i="2"/>
  <c r="AO73" i="2"/>
  <c r="BH47" i="2"/>
  <c r="AA44" i="2"/>
  <c r="AA41" i="2"/>
  <c r="AA36" i="2" s="1"/>
  <c r="AQ44" i="2"/>
  <c r="AQ41" i="2"/>
  <c r="AQ36" i="2" s="1"/>
  <c r="BG44" i="2"/>
  <c r="BG41" i="2"/>
  <c r="BG36" i="2" s="1"/>
  <c r="BW44" i="2"/>
  <c r="BW41" i="2"/>
  <c r="BW36" i="2" s="1"/>
  <c r="CM44" i="2"/>
  <c r="CM41" i="2"/>
  <c r="DS41" i="2"/>
  <c r="DS44" i="2"/>
  <c r="EI41" i="2"/>
  <c r="EI36" i="2" s="1"/>
  <c r="EI44" i="2"/>
  <c r="Q50" i="2"/>
  <c r="Q47" i="2"/>
  <c r="AG47" i="2"/>
  <c r="AG50" i="2"/>
  <c r="AW50" i="2"/>
  <c r="AW47" i="2"/>
  <c r="BM50" i="2"/>
  <c r="BM47" i="2"/>
  <c r="CC50" i="2"/>
  <c r="CC47" i="2"/>
  <c r="DI47" i="2"/>
  <c r="DI50" i="2"/>
  <c r="DY47" i="2"/>
  <c r="DY50" i="2"/>
  <c r="J73" i="2"/>
  <c r="Z73" i="2"/>
  <c r="Z36" i="2"/>
  <c r="AP73" i="2"/>
  <c r="AP36" i="2"/>
  <c r="BF73" i="2"/>
  <c r="BF36" i="2"/>
  <c r="BV73" i="2"/>
  <c r="BV36" i="2"/>
  <c r="CL73" i="2"/>
  <c r="DB73" i="2"/>
  <c r="DR73" i="2"/>
  <c r="EH73" i="2"/>
  <c r="CS47" i="2"/>
  <c r="K73" i="2"/>
  <c r="AA73" i="2"/>
  <c r="AQ73" i="2"/>
  <c r="BG73" i="2"/>
  <c r="BW73" i="2"/>
  <c r="CM73" i="2"/>
  <c r="CM36" i="2"/>
  <c r="DC73" i="2"/>
  <c r="DC36" i="2"/>
  <c r="DS73" i="2"/>
  <c r="DS36" i="2"/>
  <c r="EI73" i="2"/>
  <c r="EE47" i="2"/>
  <c r="AB75" i="2"/>
  <c r="BH75" i="2"/>
  <c r="BX75" i="2"/>
  <c r="H74" i="2"/>
  <c r="H75" i="2" s="1"/>
  <c r="X74" i="2"/>
  <c r="X75" i="2" s="1"/>
  <c r="AN74" i="2"/>
  <c r="AN75" i="2" s="1"/>
  <c r="BD74" i="2"/>
  <c r="BD75" i="2" s="1"/>
  <c r="CZ74" i="2"/>
  <c r="DP74" i="2"/>
  <c r="EF74" i="2"/>
  <c r="M44" i="2"/>
  <c r="M41" i="2"/>
  <c r="AS44" i="2"/>
  <c r="AS41" i="2"/>
  <c r="BI44" i="2"/>
  <c r="BI41" i="2"/>
  <c r="CO44" i="2"/>
  <c r="CO41" i="2"/>
  <c r="CO36" i="2" s="1"/>
  <c r="DE44" i="2"/>
  <c r="DE41" i="2"/>
  <c r="DE36" i="2" s="1"/>
  <c r="DU44" i="2"/>
  <c r="DU36" i="2" s="1"/>
  <c r="DU41" i="2"/>
  <c r="S50" i="2"/>
  <c r="S47" i="2"/>
  <c r="AI47" i="2"/>
  <c r="AI50" i="2"/>
  <c r="AY50" i="2"/>
  <c r="AY47" i="2"/>
  <c r="BO50" i="2"/>
  <c r="BO47" i="2"/>
  <c r="CE50" i="2"/>
  <c r="CE47" i="2"/>
  <c r="CU50" i="2"/>
  <c r="CU47" i="2"/>
  <c r="DK47" i="2"/>
  <c r="DK50" i="2"/>
  <c r="EA47" i="2"/>
  <c r="EA50" i="2"/>
  <c r="AD44" i="2"/>
  <c r="AD41" i="2"/>
  <c r="AT44" i="2"/>
  <c r="AT41" i="2"/>
  <c r="BJ44" i="2"/>
  <c r="BJ41" i="2"/>
  <c r="BZ44" i="2"/>
  <c r="BZ41" i="2"/>
  <c r="DF44" i="2"/>
  <c r="DF41" i="2"/>
  <c r="D47" i="2"/>
  <c r="D50" i="2"/>
  <c r="T50" i="2"/>
  <c r="T47" i="2"/>
  <c r="AJ47" i="2"/>
  <c r="AJ50" i="2"/>
  <c r="AZ50" i="2"/>
  <c r="AZ47" i="2"/>
  <c r="BP47" i="2"/>
  <c r="BP50" i="2"/>
  <c r="CF50" i="2"/>
  <c r="CF47" i="2"/>
  <c r="CV50" i="2"/>
  <c r="CV47" i="2"/>
  <c r="DL50" i="2"/>
  <c r="DL47" i="2"/>
  <c r="EB47" i="2"/>
  <c r="EB50" i="2"/>
  <c r="AW41" i="2"/>
  <c r="AW36" i="2" s="1"/>
  <c r="AW44" i="2"/>
  <c r="DY44" i="2"/>
  <c r="DY36" i="2" s="1"/>
  <c r="DY41" i="2"/>
  <c r="AI41" i="2"/>
  <c r="AI36" i="2" s="1"/>
  <c r="AI44" i="2"/>
  <c r="D41" i="2"/>
  <c r="D36" i="2" s="1"/>
  <c r="D44" i="2"/>
  <c r="T41" i="2"/>
  <c r="T36" i="2" s="1"/>
  <c r="T44" i="2"/>
  <c r="AJ41" i="2"/>
  <c r="AJ36" i="2" s="1"/>
  <c r="AJ44" i="2"/>
  <c r="AZ41" i="2"/>
  <c r="AZ36" i="2" s="1"/>
  <c r="AZ44" i="2"/>
  <c r="CV41" i="2"/>
  <c r="CV36" i="2" s="1"/>
  <c r="CV44" i="2"/>
  <c r="DL41" i="2"/>
  <c r="DL36" i="2" s="1"/>
  <c r="DL44" i="2"/>
  <c r="EB44" i="2"/>
  <c r="EB36" i="2" s="1"/>
  <c r="EB41" i="2"/>
  <c r="J50" i="2"/>
  <c r="J47" i="2"/>
  <c r="Z50" i="2"/>
  <c r="Z47" i="2"/>
  <c r="AP47" i="2"/>
  <c r="AP50" i="2"/>
  <c r="BF47" i="2"/>
  <c r="BF50" i="2"/>
  <c r="BV47" i="2"/>
  <c r="BV50" i="2"/>
  <c r="CL47" i="2"/>
  <c r="CL50" i="2"/>
  <c r="DB47" i="2"/>
  <c r="DB50" i="2"/>
  <c r="DR50" i="2"/>
  <c r="DR47" i="2"/>
  <c r="EH50" i="2"/>
  <c r="EH47" i="2"/>
  <c r="E41" i="2"/>
  <c r="E36" i="2" s="1"/>
  <c r="E44" i="2"/>
  <c r="U41" i="2"/>
  <c r="U36" i="2" s="1"/>
  <c r="U44" i="2"/>
  <c r="BA41" i="2"/>
  <c r="BA36" i="2" s="1"/>
  <c r="BA44" i="2"/>
  <c r="BQ41" i="2"/>
  <c r="BQ36" i="2" s="1"/>
  <c r="BQ44" i="2"/>
  <c r="CW41" i="2"/>
  <c r="CW36" i="2" s="1"/>
  <c r="CW44" i="2"/>
  <c r="DM41" i="2"/>
  <c r="DM36" i="2" s="1"/>
  <c r="DM44" i="2"/>
  <c r="EC44" i="2"/>
  <c r="EC36" i="2" s="1"/>
  <c r="EC41" i="2"/>
  <c r="K50" i="2"/>
  <c r="K47" i="2"/>
  <c r="AA50" i="2"/>
  <c r="AA47" i="2"/>
  <c r="AQ50" i="2"/>
  <c r="AQ47" i="2"/>
  <c r="BG47" i="2"/>
  <c r="BG50" i="2"/>
  <c r="BW47" i="2"/>
  <c r="BW50" i="2"/>
  <c r="CM47" i="2"/>
  <c r="CM50" i="2"/>
  <c r="DC47" i="2"/>
  <c r="DC50" i="2"/>
  <c r="DS47" i="2"/>
  <c r="DS50" i="2"/>
  <c r="EI47" i="2"/>
  <c r="EI50" i="2"/>
  <c r="BB41" i="2"/>
  <c r="BB44" i="2"/>
  <c r="M73" i="2"/>
  <c r="M36" i="2"/>
  <c r="AC73" i="2"/>
  <c r="AS73" i="2"/>
  <c r="AS36" i="2"/>
  <c r="BI75" i="2"/>
  <c r="Q44" i="2"/>
  <c r="Q36" i="2" s="1"/>
  <c r="J41" i="2"/>
  <c r="J36" i="2" s="1"/>
  <c r="J44" i="2"/>
  <c r="Z41" i="2"/>
  <c r="Z44" i="2"/>
  <c r="AP41" i="2"/>
  <c r="AP44" i="2"/>
  <c r="BV41" i="2"/>
  <c r="BV44" i="2"/>
  <c r="CL41" i="2"/>
  <c r="CL36" i="2" s="1"/>
  <c r="CL44" i="2"/>
  <c r="DB44" i="2"/>
  <c r="DB41" i="2"/>
  <c r="DB36" i="2" s="1"/>
  <c r="DR41" i="2"/>
  <c r="DR36" i="2" s="1"/>
  <c r="DR44" i="2"/>
  <c r="EH41" i="2"/>
  <c r="EH36" i="2" s="1"/>
  <c r="EH44" i="2"/>
  <c r="AF47" i="2"/>
  <c r="AF50" i="2"/>
  <c r="AV50" i="2"/>
  <c r="AV47" i="2"/>
  <c r="BL50" i="2"/>
  <c r="BL47" i="2"/>
  <c r="CB50" i="2"/>
  <c r="CB47" i="2"/>
  <c r="CR47" i="2"/>
  <c r="CR50" i="2"/>
  <c r="DH50" i="2"/>
  <c r="DH47" i="2"/>
  <c r="DX47" i="2"/>
  <c r="DX50" i="2"/>
  <c r="DW36" i="2"/>
  <c r="AE44" i="2"/>
  <c r="AE41" i="2"/>
  <c r="AU44" i="2"/>
  <c r="AU36" i="2" s="1"/>
  <c r="AU41" i="2"/>
  <c r="BK44" i="2"/>
  <c r="BK41" i="2"/>
  <c r="CA44" i="2"/>
  <c r="CA41" i="2"/>
  <c r="CA36" i="2" s="1"/>
  <c r="DG44" i="2"/>
  <c r="DG41" i="2"/>
  <c r="DG36" i="2" s="1"/>
  <c r="DW44" i="2"/>
  <c r="DW41" i="2"/>
  <c r="E47" i="2"/>
  <c r="E50" i="2"/>
  <c r="U50" i="2"/>
  <c r="U47" i="2"/>
  <c r="AK47" i="2"/>
  <c r="AK50" i="2"/>
  <c r="BA50" i="2"/>
  <c r="BA47" i="2"/>
  <c r="BQ47" i="2"/>
  <c r="BQ50" i="2"/>
  <c r="CG50" i="2"/>
  <c r="CG47" i="2"/>
  <c r="CW50" i="2"/>
  <c r="CW47" i="2"/>
  <c r="DM50" i="2"/>
  <c r="DM47" i="2"/>
  <c r="EC50" i="2"/>
  <c r="EC47" i="2"/>
  <c r="AG41" i="2"/>
  <c r="AG36" i="2" s="1"/>
  <c r="AG44" i="2"/>
  <c r="BM41" i="2"/>
  <c r="BM36" i="2" s="1"/>
  <c r="BM44" i="2"/>
  <c r="CC41" i="2"/>
  <c r="CC36" i="2" s="1"/>
  <c r="CC44" i="2"/>
  <c r="CS44" i="2"/>
  <c r="CS41" i="2"/>
  <c r="DI44" i="2"/>
  <c r="DI41" i="2"/>
  <c r="G50" i="2"/>
  <c r="G47" i="2"/>
  <c r="W50" i="2"/>
  <c r="W47" i="2"/>
  <c r="AM50" i="2"/>
  <c r="AM47" i="2"/>
  <c r="BC50" i="2"/>
  <c r="BC47" i="2"/>
  <c r="BS50" i="2"/>
  <c r="BS47" i="2"/>
  <c r="CI50" i="2"/>
  <c r="CI47" i="2"/>
  <c r="CY50" i="2"/>
  <c r="CY47" i="2"/>
  <c r="DO50" i="2"/>
  <c r="DO47" i="2"/>
  <c r="R41" i="2"/>
  <c r="R44" i="2"/>
  <c r="AH41" i="2"/>
  <c r="AH44" i="2"/>
  <c r="AX41" i="2"/>
  <c r="AX44" i="2"/>
  <c r="BN41" i="2"/>
  <c r="BN36" i="2" s="1"/>
  <c r="BN44" i="2"/>
  <c r="CD41" i="2"/>
  <c r="CD36" i="2" s="1"/>
  <c r="CD44" i="2"/>
  <c r="CT41" i="2"/>
  <c r="CT36" i="2" s="1"/>
  <c r="CT44" i="2"/>
  <c r="DJ41" i="2"/>
  <c r="DJ36" i="2" s="1"/>
  <c r="DJ44" i="2"/>
  <c r="DZ44" i="2"/>
  <c r="DZ41" i="2"/>
  <c r="DZ36" i="2" s="1"/>
  <c r="H50" i="2"/>
  <c r="H47" i="2"/>
  <c r="X50" i="2"/>
  <c r="X47" i="2"/>
  <c r="AN47" i="2"/>
  <c r="AN50" i="2"/>
  <c r="BD50" i="2"/>
  <c r="BD47" i="2"/>
  <c r="BT47" i="2"/>
  <c r="BT50" i="2"/>
  <c r="CJ50" i="2"/>
  <c r="CJ47" i="2"/>
  <c r="CZ50" i="2"/>
  <c r="CZ47" i="2"/>
  <c r="DP50" i="2"/>
  <c r="DP47" i="2"/>
  <c r="EF50" i="2"/>
  <c r="EF47" i="2"/>
  <c r="C41" i="2"/>
  <c r="C36" i="2" s="1"/>
  <c r="C44" i="2"/>
  <c r="S41" i="2"/>
  <c r="S36" i="2" s="1"/>
  <c r="S44" i="2"/>
  <c r="AY41" i="2"/>
  <c r="AY36" i="2" s="1"/>
  <c r="AY44" i="2"/>
  <c r="BO41" i="2"/>
  <c r="BO36" i="2" s="1"/>
  <c r="BO44" i="2"/>
  <c r="CE41" i="2"/>
  <c r="CE36" i="2" s="1"/>
  <c r="CE44" i="2"/>
  <c r="CU41" i="2"/>
  <c r="CU44" i="2"/>
  <c r="DK41" i="2"/>
  <c r="DK44" i="2"/>
  <c r="EA41" i="2"/>
  <c r="EA44" i="2"/>
  <c r="I50" i="2"/>
  <c r="I47" i="2"/>
  <c r="AO47" i="2"/>
  <c r="AO50" i="2"/>
  <c r="BE47" i="2"/>
  <c r="BE50" i="2"/>
  <c r="BU47" i="2"/>
  <c r="BU50" i="2"/>
  <c r="CK47" i="2"/>
  <c r="CK50" i="2"/>
  <c r="DA50" i="2"/>
  <c r="DA47" i="2"/>
  <c r="DQ50" i="2"/>
  <c r="DQ47" i="2"/>
  <c r="EG50" i="2"/>
  <c r="EG47" i="2"/>
  <c r="F41" i="2"/>
  <c r="F36" i="2" s="1"/>
  <c r="F44" i="2"/>
  <c r="V41" i="2"/>
  <c r="V36" i="2" s="1"/>
  <c r="V44" i="2"/>
  <c r="BR41" i="2"/>
  <c r="BR36" i="2" s="1"/>
  <c r="BR44" i="2"/>
  <c r="CH41" i="2"/>
  <c r="CH36" i="2" s="1"/>
  <c r="CH44" i="2"/>
  <c r="CX41" i="2"/>
  <c r="CX36" i="2" s="1"/>
  <c r="CX44" i="2"/>
  <c r="DN41" i="2"/>
  <c r="DN36" i="2" s="1"/>
  <c r="DN44" i="2"/>
  <c r="ED44" i="2"/>
  <c r="ED41" i="2"/>
  <c r="ED36" i="2" s="1"/>
  <c r="L50" i="2"/>
  <c r="L47" i="2"/>
  <c r="AB50" i="2"/>
  <c r="AB47" i="2"/>
  <c r="AR50" i="2"/>
  <c r="AR47" i="2"/>
  <c r="BX47" i="2"/>
  <c r="BX50" i="2"/>
  <c r="DD50" i="2"/>
  <c r="DD47" i="2"/>
  <c r="DT47" i="2"/>
  <c r="DT50" i="2"/>
  <c r="EJ50" i="2"/>
  <c r="EJ47" i="2"/>
  <c r="G41" i="2"/>
  <c r="G44" i="2"/>
  <c r="W41" i="2"/>
  <c r="W36" i="2" s="1"/>
  <c r="W44" i="2"/>
  <c r="AM41" i="2"/>
  <c r="AM36" i="2" s="1"/>
  <c r="AM44" i="2"/>
  <c r="BC41" i="2"/>
  <c r="BC36" i="2" s="1"/>
  <c r="BC44" i="2"/>
  <c r="BS41" i="2"/>
  <c r="BS36" i="2" s="1"/>
  <c r="BS44" i="2"/>
  <c r="CI41" i="2"/>
  <c r="CI36" i="2" s="1"/>
  <c r="CI44" i="2"/>
  <c r="CY41" i="2"/>
  <c r="CY36" i="2" s="1"/>
  <c r="CY44" i="2"/>
  <c r="DO41" i="2"/>
  <c r="DO36" i="2" s="1"/>
  <c r="DO44" i="2"/>
  <c r="M50" i="2"/>
  <c r="M47" i="2"/>
  <c r="AC50" i="2"/>
  <c r="AC47" i="2"/>
  <c r="AS50" i="2"/>
  <c r="AS47" i="2"/>
  <c r="BI50" i="2"/>
  <c r="BI47" i="2"/>
  <c r="BY47" i="2"/>
  <c r="BY50" i="2"/>
  <c r="CO47" i="2"/>
  <c r="CO50" i="2"/>
  <c r="DE50" i="2"/>
  <c r="DE47" i="2"/>
  <c r="DU47" i="2"/>
  <c r="DU50" i="2"/>
  <c r="AL44" i="2"/>
  <c r="P50" i="2"/>
  <c r="AB36" i="2"/>
  <c r="BH36" i="2"/>
  <c r="BL44" i="2"/>
  <c r="CN50" i="2"/>
  <c r="CQ36" i="2"/>
  <c r="N44" i="2"/>
  <c r="N41" i="2"/>
  <c r="N36" i="2" s="1"/>
  <c r="CP44" i="2"/>
  <c r="CP41" i="2"/>
  <c r="CP36" i="2" s="1"/>
  <c r="O44" i="2"/>
  <c r="O41" i="2"/>
  <c r="CQ44" i="2"/>
  <c r="CQ41" i="2"/>
  <c r="BP41" i="2"/>
  <c r="BP36" i="2" s="1"/>
  <c r="BP44" i="2"/>
  <c r="H41" i="2"/>
  <c r="H36" i="2" s="1"/>
  <c r="H44" i="2"/>
  <c r="X41" i="2"/>
  <c r="X36" i="2" s="1"/>
  <c r="X44" i="2"/>
  <c r="AN41" i="2"/>
  <c r="AN36" i="2" s="1"/>
  <c r="AN44" i="2"/>
  <c r="BD41" i="2"/>
  <c r="BD36" i="2" s="1"/>
  <c r="BD44" i="2"/>
  <c r="BT41" i="2"/>
  <c r="BT36" i="2" s="1"/>
  <c r="BT44" i="2"/>
  <c r="CJ41" i="2"/>
  <c r="CJ44" i="2"/>
  <c r="CZ41" i="2"/>
  <c r="CZ36" i="2" s="1"/>
  <c r="CZ44" i="2"/>
  <c r="DP41" i="2"/>
  <c r="DP36" i="2" s="1"/>
  <c r="DP44" i="2"/>
  <c r="EF41" i="2"/>
  <c r="EF36" i="2" s="1"/>
  <c r="EF44" i="2"/>
  <c r="N50" i="2"/>
  <c r="N47" i="2"/>
  <c r="AD50" i="2"/>
  <c r="AD47" i="2"/>
  <c r="AT50" i="2"/>
  <c r="AT47" i="2"/>
  <c r="BJ47" i="2"/>
  <c r="BJ50" i="2"/>
  <c r="BZ50" i="2"/>
  <c r="BZ47" i="2"/>
  <c r="CP47" i="2"/>
  <c r="CP50" i="2"/>
  <c r="DF50" i="2"/>
  <c r="DF47" i="2"/>
  <c r="DV47" i="2"/>
  <c r="DV50" i="2"/>
  <c r="I41" i="2"/>
  <c r="I36" i="2" s="1"/>
  <c r="I44" i="2"/>
  <c r="Y41" i="2"/>
  <c r="Y36" i="2" s="1"/>
  <c r="Y44" i="2"/>
  <c r="AO41" i="2"/>
  <c r="AO36" i="2" s="1"/>
  <c r="AO44" i="2"/>
  <c r="BE41" i="2"/>
  <c r="BE44" i="2"/>
  <c r="BE36" i="2" s="1"/>
  <c r="BU41" i="2"/>
  <c r="BU44" i="2"/>
  <c r="CK41" i="2"/>
  <c r="CK44" i="2"/>
  <c r="DQ41" i="2"/>
  <c r="DQ44" i="2"/>
  <c r="EG41" i="2"/>
  <c r="EG36" i="2" s="1"/>
  <c r="EG44" i="2"/>
  <c r="O50" i="2"/>
  <c r="O47" i="2"/>
  <c r="AE50" i="2"/>
  <c r="AE47" i="2"/>
  <c r="AU50" i="2"/>
  <c r="AU47" i="2"/>
  <c r="BK50" i="2"/>
  <c r="BK47" i="2"/>
  <c r="CA47" i="2"/>
  <c r="CA50" i="2"/>
  <c r="CQ47" i="2"/>
  <c r="CQ50" i="2"/>
  <c r="DG50" i="2"/>
  <c r="DG47" i="2"/>
  <c r="DW47" i="2"/>
  <c r="DW50" i="2"/>
  <c r="CG44" i="2"/>
  <c r="CG36" i="2" s="1"/>
  <c r="K41" i="2"/>
  <c r="K36" i="2" s="1"/>
  <c r="DC44" i="2"/>
  <c r="EJ36" i="2"/>
  <c r="R75" i="2"/>
  <c r="AH75" i="2"/>
  <c r="AX75" i="2"/>
  <c r="BN75" i="2"/>
  <c r="AK41" i="2"/>
  <c r="AK36" i="2" s="1"/>
  <c r="EE44" i="2"/>
  <c r="EE36" i="2" s="1"/>
  <c r="DX36" i="2"/>
  <c r="BF41" i="2"/>
  <c r="CS36" i="2"/>
  <c r="DI36" i="2"/>
  <c r="CF41" i="2"/>
  <c r="CF36" i="2" s="1"/>
  <c r="BE75" i="2"/>
  <c r="BU75" i="2"/>
  <c r="DA75" i="2"/>
  <c r="U74" i="2"/>
  <c r="U75" i="2" s="1"/>
  <c r="CI74" i="2"/>
  <c r="CI75" i="2" s="1"/>
  <c r="BY75" i="2"/>
  <c r="CO75" i="2"/>
  <c r="DE75" i="2"/>
  <c r="DU75" i="2"/>
  <c r="Y74" i="2"/>
  <c r="AO74" i="2"/>
  <c r="BE74" i="2"/>
  <c r="BU74" i="2"/>
  <c r="CK74" i="2"/>
  <c r="CK75" i="2" s="1"/>
  <c r="N75" i="2"/>
  <c r="AD75" i="2"/>
  <c r="AT75" i="2"/>
  <c r="BU36" i="2"/>
  <c r="CK36" i="2"/>
  <c r="DA36" i="2"/>
  <c r="DQ36" i="2"/>
  <c r="CM74" i="2"/>
  <c r="P75" i="2"/>
  <c r="AF75" i="2"/>
  <c r="AV75" i="2"/>
  <c r="CD75" i="2"/>
  <c r="CT75" i="2"/>
  <c r="DJ75" i="2"/>
  <c r="DZ75" i="2"/>
  <c r="N74" i="2"/>
  <c r="AD74" i="2"/>
  <c r="AT74" i="2"/>
  <c r="BJ74" i="2"/>
  <c r="BJ75" i="2" s="1"/>
  <c r="BZ74" i="2"/>
  <c r="BZ75" i="2" s="1"/>
  <c r="CP74" i="2"/>
  <c r="CP75" i="2" s="1"/>
  <c r="DF74" i="2"/>
  <c r="DF75" i="2" s="1"/>
  <c r="DV74" i="2"/>
  <c r="DV75" i="2" s="1"/>
  <c r="BI36" i="2"/>
  <c r="BY36" i="2"/>
  <c r="BO75" i="2"/>
  <c r="CE75" i="2"/>
  <c r="CU75" i="2"/>
  <c r="DK75" i="2"/>
  <c r="EA75" i="2"/>
  <c r="O74" i="2"/>
  <c r="O75" i="2" s="1"/>
  <c r="AE74" i="2"/>
  <c r="AE75" i="2" s="1"/>
  <c r="AU74" i="2"/>
  <c r="AU75" i="2" s="1"/>
  <c r="BK74" i="2"/>
  <c r="BK75" i="2" s="1"/>
  <c r="CA74" i="2"/>
  <c r="CA75" i="2" s="1"/>
  <c r="CQ74" i="2"/>
  <c r="CQ75" i="2" s="1"/>
  <c r="DG74" i="2"/>
  <c r="DG75" i="2" s="1"/>
  <c r="DW74" i="2"/>
  <c r="DW75" i="2" s="1"/>
  <c r="AD36" i="2"/>
  <c r="AT36" i="2"/>
  <c r="BJ36" i="2"/>
  <c r="BZ36" i="2"/>
  <c r="DF36" i="2"/>
  <c r="DV36" i="2"/>
  <c r="D75" i="2"/>
  <c r="T75" i="2"/>
  <c r="AJ75" i="2"/>
  <c r="AZ75" i="2"/>
  <c r="BP75" i="2"/>
  <c r="CF75" i="2"/>
  <c r="CV75" i="2"/>
  <c r="DL75" i="2"/>
  <c r="EB75" i="2"/>
  <c r="P74" i="2"/>
  <c r="AF74" i="2"/>
  <c r="AV74" i="2"/>
  <c r="BL74" i="2"/>
  <c r="BL75" i="2" s="1"/>
  <c r="CB74" i="2"/>
  <c r="CB75" i="2" s="1"/>
  <c r="CR74" i="2"/>
  <c r="CR75" i="2" s="1"/>
  <c r="O36" i="2"/>
  <c r="AE36" i="2"/>
  <c r="BK36" i="2"/>
  <c r="E75" i="2"/>
  <c r="AK75" i="2"/>
  <c r="BA75" i="2"/>
  <c r="BQ75" i="2"/>
  <c r="CG75" i="2"/>
  <c r="CW75" i="2"/>
  <c r="DM75" i="2"/>
  <c r="EC75" i="2"/>
  <c r="Q74" i="2"/>
  <c r="Q75" i="2" s="1"/>
  <c r="AG74" i="2"/>
  <c r="AG75" i="2" s="1"/>
  <c r="AW74" i="2"/>
  <c r="AW75" i="2" s="1"/>
  <c r="BM74" i="2"/>
  <c r="BM75" i="2" s="1"/>
  <c r="CS74" i="2"/>
  <c r="CS75" i="2" s="1"/>
  <c r="DY74" i="2"/>
  <c r="DY75" i="2" s="1"/>
  <c r="P36" i="2"/>
  <c r="AF36" i="2"/>
  <c r="AV36" i="2"/>
  <c r="BL36" i="2"/>
  <c r="CB36" i="2"/>
  <c r="F75" i="2"/>
  <c r="V75" i="2"/>
  <c r="AL75" i="2"/>
  <c r="BB75" i="2"/>
  <c r="BR75" i="2"/>
  <c r="CH75" i="2"/>
  <c r="CX75" i="2"/>
  <c r="DN75" i="2"/>
  <c r="ED75" i="2"/>
  <c r="R74" i="2"/>
  <c r="AH74" i="2"/>
  <c r="AX74" i="2"/>
  <c r="BN74" i="2"/>
  <c r="CD74" i="2"/>
  <c r="CT74" i="2"/>
  <c r="DJ74" i="2"/>
  <c r="DZ74" i="2"/>
  <c r="G75" i="2"/>
  <c r="W75" i="2"/>
  <c r="AM75" i="2"/>
  <c r="BC75" i="2"/>
  <c r="BS75" i="2"/>
  <c r="CY75" i="2"/>
  <c r="DO75" i="2"/>
  <c r="EE75" i="2"/>
  <c r="C74" i="2"/>
  <c r="S74" i="2"/>
  <c r="S75" i="2" s="1"/>
  <c r="AI74" i="2"/>
  <c r="AI75" i="2" s="1"/>
  <c r="AY74" i="2"/>
  <c r="AY75" i="2" s="1"/>
  <c r="BO74" i="2"/>
  <c r="CE74" i="2"/>
  <c r="CU74" i="2"/>
  <c r="DK74" i="2"/>
  <c r="EA74" i="2"/>
  <c r="DA74" i="2"/>
  <c r="DQ74" i="2"/>
  <c r="DQ75" i="2" s="1"/>
  <c r="EG74" i="2"/>
  <c r="EG75" i="2" s="1"/>
  <c r="J74" i="2"/>
  <c r="Z74" i="2"/>
  <c r="AP74" i="2"/>
  <c r="BF74" i="2"/>
  <c r="BV74" i="2"/>
  <c r="DB74" i="2"/>
  <c r="DR74" i="2"/>
  <c r="EH74" i="2"/>
  <c r="K74" i="2"/>
  <c r="AA74" i="2"/>
  <c r="AQ74" i="2"/>
  <c r="BG74" i="2"/>
  <c r="BW74" i="2"/>
  <c r="DC74" i="2"/>
  <c r="EI74" i="2"/>
  <c r="DH75" i="2"/>
  <c r="DX75" i="2"/>
  <c r="L74" i="2"/>
  <c r="L75" i="2" s="1"/>
  <c r="AB74" i="2"/>
  <c r="AR74" i="2"/>
  <c r="AR75" i="2" s="1"/>
  <c r="BH74" i="2"/>
  <c r="BX74" i="2"/>
  <c r="CN74" i="2"/>
  <c r="CN75" i="2" s="1"/>
  <c r="DD74" i="2"/>
  <c r="DD75" i="2" s="1"/>
  <c r="DT74" i="2"/>
  <c r="DT75" i="2" s="1"/>
  <c r="EJ74" i="2"/>
  <c r="EJ75" i="2" s="1"/>
  <c r="CC75" i="2"/>
  <c r="DI75" i="2"/>
  <c r="M74" i="2"/>
  <c r="AC74" i="2"/>
  <c r="BI74" i="2"/>
  <c r="BY74" i="2"/>
  <c r="CO74" i="2"/>
  <c r="DE74" i="2"/>
  <c r="DU74" i="2"/>
  <c r="EG42" i="2" l="1"/>
  <c r="EG63" i="2" s="1"/>
  <c r="EG51" i="2"/>
  <c r="EG66" i="2" s="1"/>
  <c r="EG48" i="2"/>
  <c r="EG65" i="2" s="1"/>
  <c r="EG45" i="2"/>
  <c r="EG64" i="2" s="1"/>
  <c r="EG67" i="2" s="1"/>
  <c r="DP51" i="2"/>
  <c r="DP66" i="2" s="1"/>
  <c r="DP42" i="2"/>
  <c r="DP63" i="2" s="1"/>
  <c r="DP48" i="2"/>
  <c r="DP65" i="2" s="1"/>
  <c r="DP45" i="2"/>
  <c r="DP64" i="2" s="1"/>
  <c r="DP67" i="2" s="1"/>
  <c r="BP45" i="2"/>
  <c r="BP64" i="2" s="1"/>
  <c r="BP67" i="2" s="1"/>
  <c r="BP48" i="2"/>
  <c r="BP65" i="2" s="1"/>
  <c r="BP51" i="2"/>
  <c r="BP66" i="2" s="1"/>
  <c r="BP42" i="2"/>
  <c r="BP63" i="2" s="1"/>
  <c r="EI51" i="2"/>
  <c r="EI66" i="2" s="1"/>
  <c r="EI48" i="2"/>
  <c r="EI65" i="2" s="1"/>
  <c r="EI45" i="2"/>
  <c r="EI64" i="2" s="1"/>
  <c r="EI67" i="2" s="1"/>
  <c r="EI42" i="2"/>
  <c r="EI63" i="2" s="1"/>
  <c r="CR51" i="2"/>
  <c r="CR66" i="2" s="1"/>
  <c r="CR48" i="2"/>
  <c r="CR65" i="2" s="1"/>
  <c r="CR45" i="2"/>
  <c r="CR64" i="2" s="1"/>
  <c r="CR67" i="2" s="1"/>
  <c r="CR42" i="2"/>
  <c r="CR63" i="2" s="1"/>
  <c r="AC51" i="2"/>
  <c r="AC66" i="2" s="1"/>
  <c r="AC48" i="2"/>
  <c r="AC65" i="2" s="1"/>
  <c r="AC42" i="2"/>
  <c r="AC63" i="2" s="1"/>
  <c r="AC45" i="2"/>
  <c r="AC64" i="2" s="1"/>
  <c r="AC67" i="2" s="1"/>
  <c r="H45" i="2"/>
  <c r="H64" i="2" s="1"/>
  <c r="H67" i="2" s="1"/>
  <c r="H42" i="2"/>
  <c r="H63" i="2" s="1"/>
  <c r="H48" i="2"/>
  <c r="H65" i="2" s="1"/>
  <c r="H51" i="2"/>
  <c r="H66" i="2" s="1"/>
  <c r="AI51" i="2"/>
  <c r="AI66" i="2" s="1"/>
  <c r="AI48" i="2"/>
  <c r="AI65" i="2" s="1"/>
  <c r="AI45" i="2"/>
  <c r="AI64" i="2" s="1"/>
  <c r="AI67" i="2" s="1"/>
  <c r="AI42" i="2"/>
  <c r="AI63" i="2" s="1"/>
  <c r="DN51" i="2"/>
  <c r="DN66" i="2" s="1"/>
  <c r="DN42" i="2"/>
  <c r="DN63" i="2" s="1"/>
  <c r="DN45" i="2"/>
  <c r="DN64" i="2" s="1"/>
  <c r="DN67" i="2" s="1"/>
  <c r="DN48" i="2"/>
  <c r="DN65" i="2" s="1"/>
  <c r="EC48" i="2"/>
  <c r="EC65" i="2" s="1"/>
  <c r="EC42" i="2"/>
  <c r="EC63" i="2" s="1"/>
  <c r="EC51" i="2"/>
  <c r="EC66" i="2" s="1"/>
  <c r="EC45" i="2"/>
  <c r="EC64" i="2" s="1"/>
  <c r="EC67" i="2" s="1"/>
  <c r="BX51" i="2"/>
  <c r="BX66" i="2" s="1"/>
  <c r="BX45" i="2"/>
  <c r="BX64" i="2" s="1"/>
  <c r="BX67" i="2" s="1"/>
  <c r="BX48" i="2"/>
  <c r="BX65" i="2" s="1"/>
  <c r="BX42" i="2"/>
  <c r="BX63" i="2" s="1"/>
  <c r="DE51" i="2"/>
  <c r="DE66" i="2" s="1"/>
  <c r="DE45" i="2"/>
  <c r="DE64" i="2" s="1"/>
  <c r="DE67" i="2" s="1"/>
  <c r="DE48" i="2"/>
  <c r="DE65" i="2" s="1"/>
  <c r="DE42" i="2"/>
  <c r="DE63" i="2" s="1"/>
  <c r="CT48" i="2"/>
  <c r="CT65" i="2" s="1"/>
  <c r="CT45" i="2"/>
  <c r="CT64" i="2" s="1"/>
  <c r="CT67" i="2" s="1"/>
  <c r="CT42" i="2"/>
  <c r="CT63" i="2" s="1"/>
  <c r="CT51" i="2"/>
  <c r="CT66" i="2" s="1"/>
  <c r="DL48" i="2"/>
  <c r="DL65" i="2" s="1"/>
  <c r="DL51" i="2"/>
  <c r="DL66" i="2" s="1"/>
  <c r="DL45" i="2"/>
  <c r="DL64" i="2" s="1"/>
  <c r="DL67" i="2" s="1"/>
  <c r="DL42" i="2"/>
  <c r="DL63" i="2" s="1"/>
  <c r="CO51" i="2"/>
  <c r="CO66" i="2" s="1"/>
  <c r="CO48" i="2"/>
  <c r="CO65" i="2" s="1"/>
  <c r="CO45" i="2"/>
  <c r="CO64" i="2" s="1"/>
  <c r="CO67" i="2" s="1"/>
  <c r="CO42" i="2"/>
  <c r="CO63" i="2" s="1"/>
  <c r="BO48" i="2"/>
  <c r="BO65" i="2" s="1"/>
  <c r="BO45" i="2"/>
  <c r="BO64" i="2" s="1"/>
  <c r="BO67" i="2" s="1"/>
  <c r="BO51" i="2"/>
  <c r="BO66" i="2" s="1"/>
  <c r="BO42" i="2"/>
  <c r="BO63" i="2" s="1"/>
  <c r="CV42" i="2"/>
  <c r="CV63" i="2" s="1"/>
  <c r="CV51" i="2"/>
  <c r="CV66" i="2" s="1"/>
  <c r="CV48" i="2"/>
  <c r="CV65" i="2" s="1"/>
  <c r="CV45" i="2"/>
  <c r="CV64" i="2" s="1"/>
  <c r="CV67" i="2" s="1"/>
  <c r="BR51" i="2"/>
  <c r="BR66" i="2" s="1"/>
  <c r="BR42" i="2"/>
  <c r="BR63" i="2" s="1"/>
  <c r="BR45" i="2"/>
  <c r="BR64" i="2" s="1"/>
  <c r="BR67" i="2" s="1"/>
  <c r="BR48" i="2"/>
  <c r="BR65" i="2" s="1"/>
  <c r="BQ42" i="2"/>
  <c r="BQ63" i="2" s="1"/>
  <c r="BQ45" i="2"/>
  <c r="BQ64" i="2" s="1"/>
  <c r="BQ67" i="2" s="1"/>
  <c r="BQ51" i="2"/>
  <c r="BQ66" i="2" s="1"/>
  <c r="BQ48" i="2"/>
  <c r="BQ65" i="2" s="1"/>
  <c r="BG45" i="2"/>
  <c r="BG64" i="2" s="1"/>
  <c r="BG67" i="2" s="1"/>
  <c r="BG51" i="2"/>
  <c r="BG66" i="2" s="1"/>
  <c r="BG42" i="2"/>
  <c r="BG63" i="2" s="1"/>
  <c r="BG48" i="2"/>
  <c r="BG65" i="2" s="1"/>
  <c r="AO42" i="2"/>
  <c r="AO63" i="2" s="1"/>
  <c r="AO45" i="2"/>
  <c r="AO64" i="2" s="1"/>
  <c r="AO67" i="2" s="1"/>
  <c r="AO48" i="2"/>
  <c r="AO65" i="2" s="1"/>
  <c r="AO51" i="2"/>
  <c r="AO66" i="2" s="1"/>
  <c r="BD51" i="2"/>
  <c r="BD66" i="2" s="1"/>
  <c r="BD42" i="2"/>
  <c r="BD63" i="2" s="1"/>
  <c r="BD45" i="2"/>
  <c r="BD64" i="2" s="1"/>
  <c r="BD67" i="2" s="1"/>
  <c r="BD48" i="2"/>
  <c r="BD65" i="2" s="1"/>
  <c r="DR48" i="2"/>
  <c r="DR65" i="2" s="1"/>
  <c r="DR51" i="2"/>
  <c r="DR66" i="2" s="1"/>
  <c r="DR45" i="2"/>
  <c r="DR64" i="2" s="1"/>
  <c r="DR67" i="2" s="1"/>
  <c r="DR42" i="2"/>
  <c r="DR63" i="2" s="1"/>
  <c r="CF48" i="2"/>
  <c r="CF65" i="2" s="1"/>
  <c r="CF51" i="2"/>
  <c r="CF66" i="2" s="1"/>
  <c r="CF45" i="2"/>
  <c r="CF64" i="2" s="1"/>
  <c r="CF67" i="2" s="1"/>
  <c r="CF42" i="2"/>
  <c r="CF63" i="2" s="1"/>
  <c r="CA48" i="2"/>
  <c r="CA65" i="2" s="1"/>
  <c r="CA51" i="2"/>
  <c r="CA66" i="2" s="1"/>
  <c r="CA42" i="2"/>
  <c r="CA63" i="2" s="1"/>
  <c r="CA45" i="2"/>
  <c r="CA64" i="2" s="1"/>
  <c r="CA67" i="2" s="1"/>
  <c r="EB48" i="2"/>
  <c r="EB65" i="2" s="1"/>
  <c r="EB42" i="2"/>
  <c r="EB63" i="2" s="1"/>
  <c r="EB45" i="2"/>
  <c r="EB64" i="2" s="1"/>
  <c r="EB67" i="2" s="1"/>
  <c r="EB51" i="2"/>
  <c r="EB66" i="2" s="1"/>
  <c r="CX42" i="2"/>
  <c r="CX63" i="2" s="1"/>
  <c r="CX48" i="2"/>
  <c r="CX65" i="2" s="1"/>
  <c r="CX51" i="2"/>
  <c r="CX66" i="2" s="1"/>
  <c r="CX45" i="2"/>
  <c r="CX64" i="2" s="1"/>
  <c r="CX67" i="2" s="1"/>
  <c r="CC48" i="2"/>
  <c r="CC65" i="2" s="1"/>
  <c r="CC51" i="2"/>
  <c r="CC66" i="2" s="1"/>
  <c r="CC42" i="2"/>
  <c r="CC63" i="2" s="1"/>
  <c r="CC45" i="2"/>
  <c r="CC64" i="2" s="1"/>
  <c r="CC67" i="2" s="1"/>
  <c r="AK51" i="2"/>
  <c r="AK66" i="2" s="1"/>
  <c r="AK42" i="2"/>
  <c r="AK63" i="2" s="1"/>
  <c r="AK45" i="2"/>
  <c r="AK64" i="2" s="1"/>
  <c r="AK67" i="2" s="1"/>
  <c r="AK48" i="2"/>
  <c r="AK65" i="2" s="1"/>
  <c r="CP51" i="2"/>
  <c r="CP66" i="2" s="1"/>
  <c r="CP48" i="2"/>
  <c r="CP65" i="2" s="1"/>
  <c r="CP45" i="2"/>
  <c r="CP64" i="2" s="1"/>
  <c r="CP67" i="2" s="1"/>
  <c r="CP42" i="2"/>
  <c r="CP63" i="2" s="1"/>
  <c r="CD48" i="2"/>
  <c r="CD65" i="2" s="1"/>
  <c r="CD51" i="2"/>
  <c r="CD66" i="2" s="1"/>
  <c r="CD45" i="2"/>
  <c r="CD64" i="2" s="1"/>
  <c r="CD67" i="2" s="1"/>
  <c r="CD42" i="2"/>
  <c r="CD63" i="2" s="1"/>
  <c r="CW42" i="2"/>
  <c r="CW63" i="2" s="1"/>
  <c r="CW48" i="2"/>
  <c r="CW65" i="2" s="1"/>
  <c r="CW51" i="2"/>
  <c r="CW66" i="2" s="1"/>
  <c r="CW45" i="2"/>
  <c r="CW64" i="2" s="1"/>
  <c r="CW67" i="2" s="1"/>
  <c r="AY51" i="2"/>
  <c r="AY66" i="2" s="1"/>
  <c r="AY42" i="2"/>
  <c r="AY63" i="2" s="1"/>
  <c r="AY48" i="2"/>
  <c r="AY65" i="2" s="1"/>
  <c r="AY45" i="2"/>
  <c r="AY64" i="2" s="1"/>
  <c r="AY67" i="2" s="1"/>
  <c r="AZ51" i="2"/>
  <c r="AZ66" i="2" s="1"/>
  <c r="AZ45" i="2"/>
  <c r="AZ64" i="2" s="1"/>
  <c r="AZ67" i="2" s="1"/>
  <c r="AZ42" i="2"/>
  <c r="AZ63" i="2" s="1"/>
  <c r="AZ48" i="2"/>
  <c r="AZ65" i="2" s="1"/>
  <c r="BC51" i="2"/>
  <c r="BC66" i="2" s="1"/>
  <c r="BC45" i="2"/>
  <c r="BC64" i="2" s="1"/>
  <c r="BC67" i="2" s="1"/>
  <c r="BC42" i="2"/>
  <c r="BC63" i="2" s="1"/>
  <c r="BC48" i="2"/>
  <c r="BC65" i="2" s="1"/>
  <c r="V45" i="2"/>
  <c r="V64" i="2" s="1"/>
  <c r="V67" i="2" s="1"/>
  <c r="V42" i="2"/>
  <c r="V63" i="2" s="1"/>
  <c r="V48" i="2"/>
  <c r="V65" i="2" s="1"/>
  <c r="V51" i="2"/>
  <c r="V66" i="2" s="1"/>
  <c r="S51" i="2"/>
  <c r="S66" i="2" s="1"/>
  <c r="S48" i="2"/>
  <c r="S65" i="2" s="1"/>
  <c r="S42" i="2"/>
  <c r="S63" i="2" s="1"/>
  <c r="S45" i="2"/>
  <c r="S64" i="2" s="1"/>
  <c r="S67" i="2" s="1"/>
  <c r="DB51" i="2"/>
  <c r="DB66" i="2" s="1"/>
  <c r="DB48" i="2"/>
  <c r="DB65" i="2" s="1"/>
  <c r="DB42" i="2"/>
  <c r="DB63" i="2" s="1"/>
  <c r="DB45" i="2"/>
  <c r="DB64" i="2" s="1"/>
  <c r="DB67" i="2" s="1"/>
  <c r="BA51" i="2"/>
  <c r="BA66" i="2" s="1"/>
  <c r="BA42" i="2"/>
  <c r="BA63" i="2" s="1"/>
  <c r="BA48" i="2"/>
  <c r="BA65" i="2" s="1"/>
  <c r="BA45" i="2"/>
  <c r="BA64" i="2" s="1"/>
  <c r="BA67" i="2" s="1"/>
  <c r="AJ51" i="2"/>
  <c r="AJ66" i="2" s="1"/>
  <c r="AJ45" i="2"/>
  <c r="AJ64" i="2" s="1"/>
  <c r="AJ67" i="2" s="1"/>
  <c r="AJ42" i="2"/>
  <c r="AJ63" i="2" s="1"/>
  <c r="AJ48" i="2"/>
  <c r="AJ65" i="2" s="1"/>
  <c r="AQ48" i="2"/>
  <c r="AQ65" i="2" s="1"/>
  <c r="AQ45" i="2"/>
  <c r="AQ64" i="2" s="1"/>
  <c r="AQ67" i="2" s="1"/>
  <c r="AQ51" i="2"/>
  <c r="AQ66" i="2" s="1"/>
  <c r="AQ42" i="2"/>
  <c r="AQ63" i="2" s="1"/>
  <c r="EF48" i="2"/>
  <c r="EF65" i="2" s="1"/>
  <c r="EF42" i="2"/>
  <c r="EF63" i="2" s="1"/>
  <c r="EF51" i="2"/>
  <c r="EF66" i="2" s="1"/>
  <c r="EF45" i="2"/>
  <c r="EF64" i="2" s="1"/>
  <c r="EF67" i="2" s="1"/>
  <c r="DD51" i="2"/>
  <c r="DD66" i="2" s="1"/>
  <c r="DD45" i="2"/>
  <c r="DD64" i="2" s="1"/>
  <c r="DD67" i="2" s="1"/>
  <c r="DD48" i="2"/>
  <c r="DD65" i="2" s="1"/>
  <c r="DD42" i="2"/>
  <c r="DD63" i="2" s="1"/>
  <c r="DY48" i="2"/>
  <c r="DY65" i="2" s="1"/>
  <c r="DY51" i="2"/>
  <c r="DY66" i="2" s="1"/>
  <c r="DY45" i="2"/>
  <c r="DY64" i="2" s="1"/>
  <c r="DY67" i="2" s="1"/>
  <c r="DY42" i="2"/>
  <c r="DY63" i="2" s="1"/>
  <c r="CY45" i="2"/>
  <c r="CY64" i="2" s="1"/>
  <c r="CY67" i="2" s="1"/>
  <c r="CY42" i="2"/>
  <c r="CY63" i="2" s="1"/>
  <c r="CY48" i="2"/>
  <c r="CY65" i="2" s="1"/>
  <c r="CY51" i="2"/>
  <c r="CY66" i="2" s="1"/>
  <c r="DM51" i="2"/>
  <c r="DM66" i="2" s="1"/>
  <c r="DM42" i="2"/>
  <c r="DM63" i="2" s="1"/>
  <c r="DM45" i="2"/>
  <c r="DM64" i="2" s="1"/>
  <c r="DM67" i="2" s="1"/>
  <c r="DM48" i="2"/>
  <c r="DM65" i="2" s="1"/>
  <c r="BM48" i="2"/>
  <c r="BM65" i="2" s="1"/>
  <c r="BM45" i="2"/>
  <c r="BM64" i="2" s="1"/>
  <c r="BM67" i="2" s="1"/>
  <c r="BM51" i="2"/>
  <c r="BM66" i="2" s="1"/>
  <c r="BM42" i="2"/>
  <c r="BM63" i="2" s="1"/>
  <c r="AR51" i="2"/>
  <c r="AR66" i="2" s="1"/>
  <c r="AR48" i="2"/>
  <c r="AR65" i="2" s="1"/>
  <c r="AR45" i="2"/>
  <c r="AR64" i="2" s="1"/>
  <c r="AR67" i="2" s="1"/>
  <c r="AR42" i="2"/>
  <c r="AR63" i="2" s="1"/>
  <c r="N51" i="2"/>
  <c r="N66" i="2" s="1"/>
  <c r="N45" i="2"/>
  <c r="N64" i="2" s="1"/>
  <c r="N67" i="2" s="1"/>
  <c r="N48" i="2"/>
  <c r="N65" i="2" s="1"/>
  <c r="N42" i="2"/>
  <c r="N63" i="2" s="1"/>
  <c r="BN48" i="2"/>
  <c r="BN65" i="2" s="1"/>
  <c r="BN45" i="2"/>
  <c r="BN64" i="2" s="1"/>
  <c r="BN67" i="2" s="1"/>
  <c r="BN51" i="2"/>
  <c r="BN66" i="2" s="1"/>
  <c r="BN42" i="2"/>
  <c r="BN63" i="2" s="1"/>
  <c r="Y42" i="2"/>
  <c r="Y63" i="2" s="1"/>
  <c r="Y45" i="2"/>
  <c r="Y64" i="2" s="1"/>
  <c r="Y67" i="2" s="1"/>
  <c r="Y48" i="2"/>
  <c r="Y65" i="2" s="1"/>
  <c r="Y51" i="2"/>
  <c r="Y66" i="2" s="1"/>
  <c r="AN42" i="2"/>
  <c r="AN63" i="2" s="1"/>
  <c r="AN45" i="2"/>
  <c r="AN64" i="2" s="1"/>
  <c r="AN67" i="2" s="1"/>
  <c r="AN48" i="2"/>
  <c r="AN65" i="2" s="1"/>
  <c r="AN51" i="2"/>
  <c r="AN66" i="2" s="1"/>
  <c r="E51" i="2"/>
  <c r="E66" i="2" s="1"/>
  <c r="E45" i="2"/>
  <c r="E64" i="2" s="1"/>
  <c r="E67" i="2" s="1"/>
  <c r="E42" i="2"/>
  <c r="E63" i="2" s="1"/>
  <c r="E48" i="2"/>
  <c r="E65" i="2" s="1"/>
  <c r="DZ51" i="2"/>
  <c r="DZ66" i="2" s="1"/>
  <c r="DZ48" i="2"/>
  <c r="DZ65" i="2" s="1"/>
  <c r="DZ42" i="2"/>
  <c r="DZ63" i="2" s="1"/>
  <c r="DZ45" i="2"/>
  <c r="DZ64" i="2" s="1"/>
  <c r="DZ67" i="2" s="1"/>
  <c r="DH51" i="2"/>
  <c r="DH66" i="2" s="1"/>
  <c r="DH48" i="2"/>
  <c r="DH65" i="2" s="1"/>
  <c r="DH45" i="2"/>
  <c r="DH64" i="2" s="1"/>
  <c r="DH67" i="2" s="1"/>
  <c r="DH42" i="2"/>
  <c r="DH63" i="2" s="1"/>
  <c r="CN51" i="2"/>
  <c r="CN66" i="2" s="1"/>
  <c r="CN45" i="2"/>
  <c r="CN64" i="2" s="1"/>
  <c r="CN67" i="2" s="1"/>
  <c r="CN48" i="2"/>
  <c r="CN65" i="2" s="1"/>
  <c r="CN42" i="2"/>
  <c r="CN63" i="2" s="1"/>
  <c r="DJ48" i="2"/>
  <c r="DJ65" i="2" s="1"/>
  <c r="DJ51" i="2"/>
  <c r="DJ66" i="2" s="1"/>
  <c r="DJ45" i="2"/>
  <c r="DJ64" i="2" s="1"/>
  <c r="DJ67" i="2" s="1"/>
  <c r="DJ42" i="2"/>
  <c r="DJ63" i="2" s="1"/>
  <c r="CZ42" i="2"/>
  <c r="CZ63" i="2" s="1"/>
  <c r="CZ48" i="2"/>
  <c r="CZ65" i="2" s="1"/>
  <c r="CZ45" i="2"/>
  <c r="CZ64" i="2" s="1"/>
  <c r="CZ67" i="2" s="1"/>
  <c r="CZ51" i="2"/>
  <c r="CZ66" i="2" s="1"/>
  <c r="AW48" i="2"/>
  <c r="AW65" i="2" s="1"/>
  <c r="AW51" i="2"/>
  <c r="AW66" i="2" s="1"/>
  <c r="AW42" i="2"/>
  <c r="AW63" i="2" s="1"/>
  <c r="AW45" i="2"/>
  <c r="AW64" i="2" s="1"/>
  <c r="AW67" i="2" s="1"/>
  <c r="BE51" i="2"/>
  <c r="BE66" i="2" s="1"/>
  <c r="BE42" i="2"/>
  <c r="BE63" i="2" s="1"/>
  <c r="BE45" i="2"/>
  <c r="BE64" i="2" s="1"/>
  <c r="BE67" i="2" s="1"/>
  <c r="BE48" i="2"/>
  <c r="BE65" i="2" s="1"/>
  <c r="CH51" i="2"/>
  <c r="CH66" i="2" s="1"/>
  <c r="CH42" i="2"/>
  <c r="CH63" i="2" s="1"/>
  <c r="CH45" i="2"/>
  <c r="CH64" i="2" s="1"/>
  <c r="CH67" i="2" s="1"/>
  <c r="CH48" i="2"/>
  <c r="CH65" i="2" s="1"/>
  <c r="BW51" i="2"/>
  <c r="BW66" i="2" s="1"/>
  <c r="BW45" i="2"/>
  <c r="BW64" i="2" s="1"/>
  <c r="BW67" i="2" s="1"/>
  <c r="BW48" i="2"/>
  <c r="BW65" i="2" s="1"/>
  <c r="BW42" i="2"/>
  <c r="BW63" i="2" s="1"/>
  <c r="BT51" i="2"/>
  <c r="BT66" i="2" s="1"/>
  <c r="BT42" i="2"/>
  <c r="BT63" i="2" s="1"/>
  <c r="BT48" i="2"/>
  <c r="BT65" i="2" s="1"/>
  <c r="BT45" i="2"/>
  <c r="BT64" i="2" s="1"/>
  <c r="BT67" i="2" s="1"/>
  <c r="BS51" i="2"/>
  <c r="BS66" i="2" s="1"/>
  <c r="BS45" i="2"/>
  <c r="BS64" i="2" s="1"/>
  <c r="BS67" i="2" s="1"/>
  <c r="BS42" i="2"/>
  <c r="BS63" i="2" s="1"/>
  <c r="BS48" i="2"/>
  <c r="BS65" i="2" s="1"/>
  <c r="AG48" i="2"/>
  <c r="AG65" i="2" s="1"/>
  <c r="AG51" i="2"/>
  <c r="AG66" i="2" s="1"/>
  <c r="AG42" i="2"/>
  <c r="AG63" i="2" s="1"/>
  <c r="AG45" i="2"/>
  <c r="AG64" i="2" s="1"/>
  <c r="AG67" i="2" s="1"/>
  <c r="K48" i="2"/>
  <c r="K65" i="2" s="1"/>
  <c r="K51" i="2"/>
  <c r="K66" i="2" s="1"/>
  <c r="K42" i="2"/>
  <c r="K63" i="2" s="1"/>
  <c r="K45" i="2"/>
  <c r="K64" i="2" s="1"/>
  <c r="K67" i="2" s="1"/>
  <c r="AM51" i="2"/>
  <c r="AM66" i="2" s="1"/>
  <c r="AM45" i="2"/>
  <c r="AM64" i="2" s="1"/>
  <c r="AM67" i="2" s="1"/>
  <c r="AM42" i="2"/>
  <c r="AM63" i="2" s="1"/>
  <c r="AM48" i="2"/>
  <c r="AM65" i="2" s="1"/>
  <c r="F51" i="2"/>
  <c r="F66" i="2" s="1"/>
  <c r="F45" i="2"/>
  <c r="F64" i="2" s="1"/>
  <c r="F67" i="2" s="1"/>
  <c r="F42" i="2"/>
  <c r="F63" i="2" s="1"/>
  <c r="F48" i="2"/>
  <c r="F65" i="2" s="1"/>
  <c r="C51" i="2"/>
  <c r="C66" i="2" s="1"/>
  <c r="C89" i="2" s="1"/>
  <c r="C48" i="2"/>
  <c r="C65" i="2" s="1"/>
  <c r="C88" i="2" s="1"/>
  <c r="C42" i="2"/>
  <c r="C63" i="2" s="1"/>
  <c r="C45" i="2"/>
  <c r="C64" i="2" s="1"/>
  <c r="U51" i="2"/>
  <c r="U66" i="2" s="1"/>
  <c r="U45" i="2"/>
  <c r="U64" i="2" s="1"/>
  <c r="U67" i="2" s="1"/>
  <c r="U42" i="2"/>
  <c r="U63" i="2" s="1"/>
  <c r="U48" i="2"/>
  <c r="U65" i="2" s="1"/>
  <c r="T51" i="2"/>
  <c r="T66" i="2" s="1"/>
  <c r="T48" i="2"/>
  <c r="T65" i="2" s="1"/>
  <c r="T42" i="2"/>
  <c r="T63" i="2" s="1"/>
  <c r="T45" i="2"/>
  <c r="T64" i="2" s="1"/>
  <c r="T67" i="2" s="1"/>
  <c r="AA51" i="2"/>
  <c r="AA66" i="2" s="1"/>
  <c r="AA48" i="2"/>
  <c r="AA65" i="2" s="1"/>
  <c r="AA42" i="2"/>
  <c r="AA63" i="2" s="1"/>
  <c r="AA45" i="2"/>
  <c r="AA64" i="2" s="1"/>
  <c r="AA67" i="2" s="1"/>
  <c r="W45" i="2"/>
  <c r="W64" i="2" s="1"/>
  <c r="W67" i="2" s="1"/>
  <c r="W42" i="2"/>
  <c r="W63" i="2" s="1"/>
  <c r="W51" i="2"/>
  <c r="W66" i="2" s="1"/>
  <c r="W48" i="2"/>
  <c r="W65" i="2" s="1"/>
  <c r="D51" i="2"/>
  <c r="D66" i="2" s="1"/>
  <c r="D45" i="2"/>
  <c r="D64" i="2" s="1"/>
  <c r="D67" i="2" s="1"/>
  <c r="D48" i="2"/>
  <c r="D65" i="2" s="1"/>
  <c r="D42" i="2"/>
  <c r="D63" i="2" s="1"/>
  <c r="ED48" i="2"/>
  <c r="ED65" i="2" s="1"/>
  <c r="ED42" i="2"/>
  <c r="ED63" i="2" s="1"/>
  <c r="ED51" i="2"/>
  <c r="ED66" i="2" s="1"/>
  <c r="ED45" i="2"/>
  <c r="ED64" i="2" s="1"/>
  <c r="ED67" i="2" s="1"/>
  <c r="DO45" i="2"/>
  <c r="DO64" i="2" s="1"/>
  <c r="DO67" i="2" s="1"/>
  <c r="DO51" i="2"/>
  <c r="DO66" i="2" s="1"/>
  <c r="DO42" i="2"/>
  <c r="DO63" i="2" s="1"/>
  <c r="DO48" i="2"/>
  <c r="DO65" i="2" s="1"/>
  <c r="DU51" i="2"/>
  <c r="DU66" i="2" s="1"/>
  <c r="DU45" i="2"/>
  <c r="DU64" i="2" s="1"/>
  <c r="DU67" i="2" s="1"/>
  <c r="DU48" i="2"/>
  <c r="DU65" i="2" s="1"/>
  <c r="DU42" i="2"/>
  <c r="DU63" i="2" s="1"/>
  <c r="EE45" i="2"/>
  <c r="EE64" i="2" s="1"/>
  <c r="EE67" i="2" s="1"/>
  <c r="EE48" i="2"/>
  <c r="EE65" i="2" s="1"/>
  <c r="EE42" i="2"/>
  <c r="EE63" i="2" s="1"/>
  <c r="EE51" i="2"/>
  <c r="EE66" i="2" s="1"/>
  <c r="CE48" i="2"/>
  <c r="CE65" i="2" s="1"/>
  <c r="CE51" i="2"/>
  <c r="CE66" i="2" s="1"/>
  <c r="CE45" i="2"/>
  <c r="CE64" i="2" s="1"/>
  <c r="CE67" i="2" s="1"/>
  <c r="CE42" i="2"/>
  <c r="CE63" i="2" s="1"/>
  <c r="AU48" i="2"/>
  <c r="AU65" i="2" s="1"/>
  <c r="AU51" i="2"/>
  <c r="AU66" i="2" s="1"/>
  <c r="AU42" i="2"/>
  <c r="AU63" i="2" s="1"/>
  <c r="AU45" i="2"/>
  <c r="AU64" i="2" s="1"/>
  <c r="AU67" i="2" s="1"/>
  <c r="J48" i="2"/>
  <c r="J65" i="2" s="1"/>
  <c r="J51" i="2"/>
  <c r="J66" i="2" s="1"/>
  <c r="J42" i="2"/>
  <c r="J63" i="2" s="1"/>
  <c r="J45" i="2"/>
  <c r="J64" i="2" s="1"/>
  <c r="J67" i="2" s="1"/>
  <c r="CI45" i="2"/>
  <c r="CI64" i="2" s="1"/>
  <c r="CI67" i="2" s="1"/>
  <c r="CI51" i="2"/>
  <c r="CI66" i="2" s="1"/>
  <c r="CI42" i="2"/>
  <c r="CI63" i="2" s="1"/>
  <c r="CI48" i="2"/>
  <c r="CI65" i="2" s="1"/>
  <c r="Q48" i="2"/>
  <c r="Q65" i="2" s="1"/>
  <c r="Q51" i="2"/>
  <c r="Q66" i="2" s="1"/>
  <c r="Q45" i="2"/>
  <c r="Q64" i="2" s="1"/>
  <c r="Q67" i="2" s="1"/>
  <c r="Q42" i="2"/>
  <c r="Q63" i="2" s="1"/>
  <c r="EH45" i="2"/>
  <c r="EH64" i="2" s="1"/>
  <c r="EH67" i="2" s="1"/>
  <c r="EH48" i="2"/>
  <c r="EH65" i="2" s="1"/>
  <c r="EH42" i="2"/>
  <c r="EH63" i="2" s="1"/>
  <c r="EH51" i="2"/>
  <c r="EH66" i="2" s="1"/>
  <c r="CG48" i="2"/>
  <c r="CG65" i="2" s="1"/>
  <c r="CG51" i="2"/>
  <c r="CG66" i="2" s="1"/>
  <c r="CG42" i="2"/>
  <c r="CG63" i="2" s="1"/>
  <c r="CG45" i="2"/>
  <c r="CG64" i="2" s="1"/>
  <c r="CG67" i="2" s="1"/>
  <c r="I48" i="2"/>
  <c r="I65" i="2" s="1"/>
  <c r="I45" i="2"/>
  <c r="I64" i="2" s="1"/>
  <c r="I67" i="2" s="1"/>
  <c r="I42" i="2"/>
  <c r="I63" i="2" s="1"/>
  <c r="I51" i="2"/>
  <c r="I66" i="2" s="1"/>
  <c r="X42" i="2"/>
  <c r="X63" i="2" s="1"/>
  <c r="X45" i="2"/>
  <c r="X64" i="2" s="1"/>
  <c r="X67" i="2" s="1"/>
  <c r="X48" i="2"/>
  <c r="X65" i="2" s="1"/>
  <c r="X51" i="2"/>
  <c r="X66" i="2" s="1"/>
  <c r="DG51" i="2"/>
  <c r="DG66" i="2" s="1"/>
  <c r="DG48" i="2"/>
  <c r="DG65" i="2" s="1"/>
  <c r="DG45" i="2"/>
  <c r="DG64" i="2" s="1"/>
  <c r="DG67" i="2" s="1"/>
  <c r="DG42" i="2"/>
  <c r="DG63" i="2" s="1"/>
  <c r="CL51" i="2"/>
  <c r="CL66" i="2" s="1"/>
  <c r="CL45" i="2"/>
  <c r="CL64" i="2" s="1"/>
  <c r="CL67" i="2" s="1"/>
  <c r="CL48" i="2"/>
  <c r="CL65" i="2" s="1"/>
  <c r="CL42" i="2"/>
  <c r="CL63" i="2" s="1"/>
  <c r="DQ42" i="2"/>
  <c r="DQ63" i="2" s="1"/>
  <c r="DQ45" i="2"/>
  <c r="DQ64" i="2" s="1"/>
  <c r="DQ67" i="2" s="1"/>
  <c r="DQ48" i="2"/>
  <c r="DQ65" i="2" s="1"/>
  <c r="DQ51" i="2"/>
  <c r="DQ66" i="2" s="1"/>
  <c r="DS45" i="2"/>
  <c r="DS64" i="2" s="1"/>
  <c r="DS67" i="2" s="1"/>
  <c r="DS48" i="2"/>
  <c r="DS65" i="2" s="1"/>
  <c r="DS42" i="2"/>
  <c r="DS63" i="2" s="1"/>
  <c r="DS51" i="2"/>
  <c r="DS66" i="2" s="1"/>
  <c r="CL75" i="2"/>
  <c r="I75" i="2"/>
  <c r="CJ51" i="2"/>
  <c r="CJ66" i="2" s="1"/>
  <c r="CJ42" i="2"/>
  <c r="CJ63" i="2" s="1"/>
  <c r="CJ45" i="2"/>
  <c r="CJ64" i="2" s="1"/>
  <c r="CJ67" i="2" s="1"/>
  <c r="CJ48" i="2"/>
  <c r="CJ65" i="2" s="1"/>
  <c r="AD48" i="2"/>
  <c r="AD65" i="2" s="1"/>
  <c r="AD51" i="2"/>
  <c r="AD66" i="2" s="1"/>
  <c r="AD42" i="2"/>
  <c r="AD63" i="2" s="1"/>
  <c r="AD45" i="2"/>
  <c r="AD64" i="2" s="1"/>
  <c r="AD67" i="2" s="1"/>
  <c r="O51" i="2"/>
  <c r="O66" i="2" s="1"/>
  <c r="O45" i="2"/>
  <c r="O64" i="2" s="1"/>
  <c r="O67" i="2" s="1"/>
  <c r="O48" i="2"/>
  <c r="O65" i="2" s="1"/>
  <c r="O42" i="2"/>
  <c r="O63" i="2" s="1"/>
  <c r="BI51" i="2"/>
  <c r="BI66" i="2" s="1"/>
  <c r="BI48" i="2"/>
  <c r="BI65" i="2" s="1"/>
  <c r="BI45" i="2"/>
  <c r="BI64" i="2" s="1"/>
  <c r="BI67" i="2" s="1"/>
  <c r="BI42" i="2"/>
  <c r="BI63" i="2" s="1"/>
  <c r="DA42" i="2"/>
  <c r="DA63" i="2" s="1"/>
  <c r="DA48" i="2"/>
  <c r="DA65" i="2" s="1"/>
  <c r="DA51" i="2"/>
  <c r="DA66" i="2" s="1"/>
  <c r="DA45" i="2"/>
  <c r="DA64" i="2" s="1"/>
  <c r="DA67" i="2" s="1"/>
  <c r="BV51" i="2"/>
  <c r="BV66" i="2" s="1"/>
  <c r="BV45" i="2"/>
  <c r="BV64" i="2" s="1"/>
  <c r="BV67" i="2" s="1"/>
  <c r="BV48" i="2"/>
  <c r="BV65" i="2" s="1"/>
  <c r="BV42" i="2"/>
  <c r="BV63" i="2" s="1"/>
  <c r="DC51" i="2"/>
  <c r="DC66" i="2" s="1"/>
  <c r="DC45" i="2"/>
  <c r="DC64" i="2" s="1"/>
  <c r="DC67" i="2" s="1"/>
  <c r="DC42" i="2"/>
  <c r="DC63" i="2" s="1"/>
  <c r="DC48" i="2"/>
  <c r="DC65" i="2" s="1"/>
  <c r="BV75" i="2"/>
  <c r="G45" i="2"/>
  <c r="G64" i="2" s="1"/>
  <c r="G67" i="2" s="1"/>
  <c r="G42" i="2"/>
  <c r="G63" i="2" s="1"/>
  <c r="G48" i="2"/>
  <c r="G65" i="2" s="1"/>
  <c r="G51" i="2"/>
  <c r="G66" i="2" s="1"/>
  <c r="AX42" i="2"/>
  <c r="AX63" i="2" s="1"/>
  <c r="AX51" i="2"/>
  <c r="AX66" i="2" s="1"/>
  <c r="AX48" i="2"/>
  <c r="AX65" i="2" s="1"/>
  <c r="AX45" i="2"/>
  <c r="AX64" i="2" s="1"/>
  <c r="AX67" i="2" s="1"/>
  <c r="BB51" i="2"/>
  <c r="BB66" i="2" s="1"/>
  <c r="BB42" i="2"/>
  <c r="BB63" i="2" s="1"/>
  <c r="BB48" i="2"/>
  <c r="BB65" i="2" s="1"/>
  <c r="BB45" i="2"/>
  <c r="BB64" i="2" s="1"/>
  <c r="BB67" i="2" s="1"/>
  <c r="CB48" i="2"/>
  <c r="CB65" i="2" s="1"/>
  <c r="CB51" i="2"/>
  <c r="CB66" i="2" s="1"/>
  <c r="CB42" i="2"/>
  <c r="CB63" i="2" s="1"/>
  <c r="CB45" i="2"/>
  <c r="CB64" i="2" s="1"/>
  <c r="CB67" i="2" s="1"/>
  <c r="AS75" i="2"/>
  <c r="CM75" i="2"/>
  <c r="AP45" i="2"/>
  <c r="AP64" i="2" s="1"/>
  <c r="AP67" i="2" s="1"/>
  <c r="AP48" i="2"/>
  <c r="AP65" i="2" s="1"/>
  <c r="AP51" i="2"/>
  <c r="AP66" i="2" s="1"/>
  <c r="AP42" i="2"/>
  <c r="AP63" i="2" s="1"/>
  <c r="CU48" i="2"/>
  <c r="CU65" i="2" s="1"/>
  <c r="CU45" i="2"/>
  <c r="CU64" i="2" s="1"/>
  <c r="CU67" i="2" s="1"/>
  <c r="CU42" i="2"/>
  <c r="CU63" i="2" s="1"/>
  <c r="CU51" i="2"/>
  <c r="CU66" i="2" s="1"/>
  <c r="DT51" i="2"/>
  <c r="DT66" i="2" s="1"/>
  <c r="DT45" i="2"/>
  <c r="DT64" i="2" s="1"/>
  <c r="DT67" i="2" s="1"/>
  <c r="DT48" i="2"/>
  <c r="DT65" i="2" s="1"/>
  <c r="DT42" i="2"/>
  <c r="DT63" i="2" s="1"/>
  <c r="DC75" i="2"/>
  <c r="AF51" i="2"/>
  <c r="AF66" i="2" s="1"/>
  <c r="AF48" i="2"/>
  <c r="AF65" i="2" s="1"/>
  <c r="AF42" i="2"/>
  <c r="AF63" i="2" s="1"/>
  <c r="AF45" i="2"/>
  <c r="AF64" i="2" s="1"/>
  <c r="AF67" i="2" s="1"/>
  <c r="AP75" i="2"/>
  <c r="BF45" i="2"/>
  <c r="BF64" i="2" s="1"/>
  <c r="BF67" i="2" s="1"/>
  <c r="BF51" i="2"/>
  <c r="BF66" i="2" s="1"/>
  <c r="BF48" i="2"/>
  <c r="BF65" i="2" s="1"/>
  <c r="BF42" i="2"/>
  <c r="BF63" i="2" s="1"/>
  <c r="DK48" i="2"/>
  <c r="DK65" i="2" s="1"/>
  <c r="DK51" i="2"/>
  <c r="DK66" i="2" s="1"/>
  <c r="DK45" i="2"/>
  <c r="DK64" i="2" s="1"/>
  <c r="DK67" i="2" s="1"/>
  <c r="DK42" i="2"/>
  <c r="DK63" i="2" s="1"/>
  <c r="DI48" i="2"/>
  <c r="DI65" i="2" s="1"/>
  <c r="DI51" i="2"/>
  <c r="DI66" i="2" s="1"/>
  <c r="DI45" i="2"/>
  <c r="DI64" i="2" s="1"/>
  <c r="DI67" i="2" s="1"/>
  <c r="DI42" i="2"/>
  <c r="DI63" i="2" s="1"/>
  <c r="BH51" i="2"/>
  <c r="BH66" i="2" s="1"/>
  <c r="BH48" i="2"/>
  <c r="BH65" i="2" s="1"/>
  <c r="BH45" i="2"/>
  <c r="BH64" i="2" s="1"/>
  <c r="BH67" i="2" s="1"/>
  <c r="BH42" i="2"/>
  <c r="BH63" i="2" s="1"/>
  <c r="AC75" i="2"/>
  <c r="BW75" i="2"/>
  <c r="Z48" i="2"/>
  <c r="Z65" i="2" s="1"/>
  <c r="Z45" i="2"/>
  <c r="Z64" i="2" s="1"/>
  <c r="Z67" i="2" s="1"/>
  <c r="Z51" i="2"/>
  <c r="Z66" i="2" s="1"/>
  <c r="Z42" i="2"/>
  <c r="Z63" i="2" s="1"/>
  <c r="AS51" i="2"/>
  <c r="AS66" i="2" s="1"/>
  <c r="AS48" i="2"/>
  <c r="AS65" i="2" s="1"/>
  <c r="AS45" i="2"/>
  <c r="AS64" i="2" s="1"/>
  <c r="AS67" i="2" s="1"/>
  <c r="AS42" i="2"/>
  <c r="AS63" i="2" s="1"/>
  <c r="R51" i="2"/>
  <c r="R66" i="2" s="1"/>
  <c r="R45" i="2"/>
  <c r="R64" i="2" s="1"/>
  <c r="R67" i="2" s="1"/>
  <c r="R48" i="2"/>
  <c r="R65" i="2" s="1"/>
  <c r="R42" i="2"/>
  <c r="R63" i="2" s="1"/>
  <c r="P51" i="2"/>
  <c r="P66" i="2" s="1"/>
  <c r="P45" i="2"/>
  <c r="P64" i="2" s="1"/>
  <c r="P67" i="2" s="1"/>
  <c r="P48" i="2"/>
  <c r="P65" i="2" s="1"/>
  <c r="P42" i="2"/>
  <c r="P63" i="2" s="1"/>
  <c r="I74" i="2"/>
  <c r="CS48" i="2"/>
  <c r="CS65" i="2" s="1"/>
  <c r="CS45" i="2"/>
  <c r="CS64" i="2" s="1"/>
  <c r="CS67" i="2" s="1"/>
  <c r="CS42" i="2"/>
  <c r="CS63" i="2" s="1"/>
  <c r="CS51" i="2"/>
  <c r="CS66" i="2" s="1"/>
  <c r="AB51" i="2"/>
  <c r="AB66" i="2" s="1"/>
  <c r="AB48" i="2"/>
  <c r="AB65" i="2" s="1"/>
  <c r="AB42" i="2"/>
  <c r="AB63" i="2" s="1"/>
  <c r="AB45" i="2"/>
  <c r="AB64" i="2" s="1"/>
  <c r="AB67" i="2" s="1"/>
  <c r="M51" i="2"/>
  <c r="M66" i="2" s="1"/>
  <c r="M42" i="2"/>
  <c r="M63" i="2" s="1"/>
  <c r="M45" i="2"/>
  <c r="M64" i="2" s="1"/>
  <c r="M67" i="2" s="1"/>
  <c r="M48" i="2"/>
  <c r="M65" i="2" s="1"/>
  <c r="Z75" i="2"/>
  <c r="BL51" i="2"/>
  <c r="BL66" i="2" s="1"/>
  <c r="BL48" i="2"/>
  <c r="BL65" i="2" s="1"/>
  <c r="BL45" i="2"/>
  <c r="BL64" i="2" s="1"/>
  <c r="BL67" i="2" s="1"/>
  <c r="BL42" i="2"/>
  <c r="BL63" i="2" s="1"/>
  <c r="DW51" i="2"/>
  <c r="DW66" i="2" s="1"/>
  <c r="DW48" i="2"/>
  <c r="DW65" i="2" s="1"/>
  <c r="DW45" i="2"/>
  <c r="DW64" i="2" s="1"/>
  <c r="DW67" i="2" s="1"/>
  <c r="DW42" i="2"/>
  <c r="DW63" i="2" s="1"/>
  <c r="M75" i="2"/>
  <c r="BG75" i="2"/>
  <c r="DV51" i="2"/>
  <c r="DV66" i="2" s="1"/>
  <c r="DV45" i="2"/>
  <c r="DV64" i="2" s="1"/>
  <c r="DV67" i="2" s="1"/>
  <c r="DV48" i="2"/>
  <c r="DV65" i="2" s="1"/>
  <c r="DV42" i="2"/>
  <c r="DV63" i="2" s="1"/>
  <c r="EH75" i="2"/>
  <c r="J75" i="2"/>
  <c r="L51" i="2"/>
  <c r="L66" i="2" s="1"/>
  <c r="L48" i="2"/>
  <c r="L65" i="2" s="1"/>
  <c r="L42" i="2"/>
  <c r="L63" i="2" s="1"/>
  <c r="L45" i="2"/>
  <c r="L64" i="2" s="1"/>
  <c r="L67" i="2" s="1"/>
  <c r="EA51" i="2"/>
  <c r="EA66" i="2" s="1"/>
  <c r="EA48" i="2"/>
  <c r="EA65" i="2" s="1"/>
  <c r="EA42" i="2"/>
  <c r="EA63" i="2" s="1"/>
  <c r="EA45" i="2"/>
  <c r="EA64" i="2" s="1"/>
  <c r="EA67" i="2" s="1"/>
  <c r="CM51" i="2"/>
  <c r="CM66" i="2" s="1"/>
  <c r="CM45" i="2"/>
  <c r="CM64" i="2" s="1"/>
  <c r="CM67" i="2" s="1"/>
  <c r="CM48" i="2"/>
  <c r="CM65" i="2" s="1"/>
  <c r="CM42" i="2"/>
  <c r="CM63" i="2" s="1"/>
  <c r="DF51" i="2"/>
  <c r="DF66" i="2" s="1"/>
  <c r="DF48" i="2"/>
  <c r="DF65" i="2" s="1"/>
  <c r="DF45" i="2"/>
  <c r="DF64" i="2" s="1"/>
  <c r="DF67" i="2" s="1"/>
  <c r="DF42" i="2"/>
  <c r="DF63" i="2" s="1"/>
  <c r="AQ75" i="2"/>
  <c r="EF75" i="2"/>
  <c r="AE51" i="2"/>
  <c r="AE66" i="2" s="1"/>
  <c r="AE48" i="2"/>
  <c r="AE65" i="2" s="1"/>
  <c r="AE42" i="2"/>
  <c r="AE63" i="2" s="1"/>
  <c r="AE45" i="2"/>
  <c r="AE64" i="2" s="1"/>
  <c r="AE67" i="2" s="1"/>
  <c r="BU51" i="2"/>
  <c r="BU66" i="2" s="1"/>
  <c r="BU42" i="2"/>
  <c r="BU63" i="2" s="1"/>
  <c r="BU45" i="2"/>
  <c r="BU64" i="2" s="1"/>
  <c r="BU67" i="2" s="1"/>
  <c r="BU48" i="2"/>
  <c r="BU65" i="2" s="1"/>
  <c r="C75" i="2"/>
  <c r="DX51" i="2"/>
  <c r="DX66" i="2" s="1"/>
  <c r="DX48" i="2"/>
  <c r="DX65" i="2" s="1"/>
  <c r="DX45" i="2"/>
  <c r="DX64" i="2" s="1"/>
  <c r="DX67" i="2" s="1"/>
  <c r="DX42" i="2"/>
  <c r="DX63" i="2" s="1"/>
  <c r="DR75" i="2"/>
  <c r="AO75" i="2"/>
  <c r="AS74" i="2"/>
  <c r="BZ51" i="2"/>
  <c r="BZ66" i="2" s="1"/>
  <c r="BZ48" i="2"/>
  <c r="BZ65" i="2" s="1"/>
  <c r="BZ42" i="2"/>
  <c r="BZ63" i="2" s="1"/>
  <c r="BZ45" i="2"/>
  <c r="BZ64" i="2" s="1"/>
  <c r="BZ67" i="2" s="1"/>
  <c r="AA75" i="2"/>
  <c r="DP75" i="2"/>
  <c r="BY51" i="2"/>
  <c r="BY66" i="2" s="1"/>
  <c r="BY48" i="2"/>
  <c r="BY65" i="2" s="1"/>
  <c r="BY45" i="2"/>
  <c r="BY64" i="2" s="1"/>
  <c r="BY67" i="2" s="1"/>
  <c r="BY42" i="2"/>
  <c r="BY63" i="2" s="1"/>
  <c r="CK51" i="2"/>
  <c r="CK66" i="2" s="1"/>
  <c r="CK42" i="2"/>
  <c r="CK63" i="2" s="1"/>
  <c r="CK45" i="2"/>
  <c r="CK64" i="2" s="1"/>
  <c r="CK67" i="2" s="1"/>
  <c r="CK48" i="2"/>
  <c r="CK65" i="2" s="1"/>
  <c r="AL51" i="2"/>
  <c r="AL66" i="2" s="1"/>
  <c r="AL42" i="2"/>
  <c r="AL63" i="2" s="1"/>
  <c r="AL45" i="2"/>
  <c r="AL64" i="2" s="1"/>
  <c r="AL67" i="2" s="1"/>
  <c r="AL48" i="2"/>
  <c r="AL65" i="2" s="1"/>
  <c r="AV48" i="2"/>
  <c r="AV65" i="2" s="1"/>
  <c r="AV51" i="2"/>
  <c r="AV66" i="2" s="1"/>
  <c r="AV42" i="2"/>
  <c r="AV63" i="2" s="1"/>
  <c r="AV45" i="2"/>
  <c r="AV64" i="2" s="1"/>
  <c r="AV67" i="2" s="1"/>
  <c r="CQ51" i="2"/>
  <c r="CQ66" i="2" s="1"/>
  <c r="CQ48" i="2"/>
  <c r="CQ65" i="2" s="1"/>
  <c r="CQ45" i="2"/>
  <c r="CQ64" i="2" s="1"/>
  <c r="CQ67" i="2" s="1"/>
  <c r="CQ42" i="2"/>
  <c r="CQ63" i="2" s="1"/>
  <c r="C92" i="2"/>
  <c r="BK51" i="2"/>
  <c r="BK66" i="2" s="1"/>
  <c r="BK48" i="2"/>
  <c r="BK65" i="2" s="1"/>
  <c r="BK45" i="2"/>
  <c r="BK64" i="2" s="1"/>
  <c r="BK67" i="2" s="1"/>
  <c r="BK42" i="2"/>
  <c r="BK63" i="2" s="1"/>
  <c r="BJ51" i="2"/>
  <c r="BJ66" i="2" s="1"/>
  <c r="BJ48" i="2"/>
  <c r="BJ65" i="2" s="1"/>
  <c r="BJ45" i="2"/>
  <c r="BJ64" i="2" s="1"/>
  <c r="BJ67" i="2" s="1"/>
  <c r="BJ42" i="2"/>
  <c r="BJ63" i="2" s="1"/>
  <c r="CJ74" i="2"/>
  <c r="CJ75" i="2" s="1"/>
  <c r="DB75" i="2"/>
  <c r="Y75" i="2"/>
  <c r="AH51" i="2"/>
  <c r="AH66" i="2" s="1"/>
  <c r="AH42" i="2"/>
  <c r="AH63" i="2" s="1"/>
  <c r="AH48" i="2"/>
  <c r="AH65" i="2" s="1"/>
  <c r="AH45" i="2"/>
  <c r="AH64" i="2" s="1"/>
  <c r="AH67" i="2" s="1"/>
  <c r="EJ51" i="2"/>
  <c r="EJ66" i="2" s="1"/>
  <c r="EJ45" i="2"/>
  <c r="EJ64" i="2" s="1"/>
  <c r="EJ67" i="2" s="1"/>
  <c r="EJ48" i="2"/>
  <c r="EJ65" i="2" s="1"/>
  <c r="EJ42" i="2"/>
  <c r="EJ63" i="2" s="1"/>
  <c r="BF75" i="2"/>
  <c r="DS74" i="2"/>
  <c r="DS75" i="2" s="1"/>
  <c r="CL74" i="2"/>
  <c r="AT48" i="2"/>
  <c r="AT65" i="2" s="1"/>
  <c r="AT51" i="2"/>
  <c r="AT66" i="2" s="1"/>
  <c r="AT45" i="2"/>
  <c r="AT64" i="2" s="1"/>
  <c r="AT67" i="2" s="1"/>
  <c r="AT42" i="2"/>
  <c r="AT63" i="2" s="1"/>
  <c r="BT74" i="2"/>
  <c r="BT75" i="2" s="1"/>
  <c r="EI75" i="2"/>
  <c r="K75" i="2"/>
  <c r="CZ75" i="2"/>
  <c r="CW70" i="2" l="1"/>
  <c r="CW69" i="2"/>
  <c r="CW68" i="2"/>
  <c r="CW77" i="2" s="1"/>
  <c r="AF69" i="2"/>
  <c r="AF70" i="2"/>
  <c r="AF68" i="2"/>
  <c r="AF77" i="2" s="1"/>
  <c r="DG69" i="2"/>
  <c r="DG68" i="2"/>
  <c r="DG77" i="2" s="1"/>
  <c r="DG70" i="2"/>
  <c r="CC69" i="2"/>
  <c r="CC70" i="2"/>
  <c r="CC68" i="2"/>
  <c r="CC77" i="2" s="1"/>
  <c r="C93" i="2"/>
  <c r="CB69" i="2"/>
  <c r="CB70" i="2"/>
  <c r="CB68" i="2"/>
  <c r="CB77" i="2" s="1"/>
  <c r="Q68" i="2"/>
  <c r="Q77" i="2" s="1"/>
  <c r="Q70" i="2"/>
  <c r="Q69" i="2"/>
  <c r="CE69" i="2"/>
  <c r="CE70" i="2"/>
  <c r="CE68" i="2"/>
  <c r="CE77" i="2" s="1"/>
  <c r="DH69" i="2"/>
  <c r="DH68" i="2"/>
  <c r="DH77" i="2" s="1"/>
  <c r="DH70" i="2"/>
  <c r="BM70" i="2"/>
  <c r="BM69" i="2"/>
  <c r="BM68" i="2"/>
  <c r="BM77" i="2" s="1"/>
  <c r="DD70" i="2"/>
  <c r="DD68" i="2"/>
  <c r="DD77" i="2" s="1"/>
  <c r="DD69" i="2"/>
  <c r="CD69" i="2"/>
  <c r="CD70" i="2"/>
  <c r="CD68" i="2"/>
  <c r="CD77" i="2" s="1"/>
  <c r="DR68" i="2"/>
  <c r="DR77" i="2" s="1"/>
  <c r="DR69" i="2"/>
  <c r="DR70" i="2"/>
  <c r="CO68" i="2"/>
  <c r="CO77" i="2" s="1"/>
  <c r="CO69" i="2"/>
  <c r="CO70" i="2"/>
  <c r="BX68" i="2"/>
  <c r="BX77" i="2" s="1"/>
  <c r="BX69" i="2"/>
  <c r="BX70" i="2"/>
  <c r="BP69" i="2"/>
  <c r="BP68" i="2"/>
  <c r="BP77" i="2" s="1"/>
  <c r="BP70" i="2"/>
  <c r="CJ70" i="2"/>
  <c r="CJ69" i="2"/>
  <c r="CJ68" i="2"/>
  <c r="CJ77" i="2" s="1"/>
  <c r="AR69" i="2"/>
  <c r="AR70" i="2"/>
  <c r="AR68" i="2"/>
  <c r="AR77" i="2" s="1"/>
  <c r="AB69" i="2"/>
  <c r="AB70" i="2"/>
  <c r="AB68" i="2"/>
  <c r="AB77" i="2" s="1"/>
  <c r="BU70" i="2"/>
  <c r="BU68" i="2"/>
  <c r="BU77" i="2" s="1"/>
  <c r="BU69" i="2"/>
  <c r="DW70" i="2"/>
  <c r="DW68" i="2"/>
  <c r="DW77" i="2" s="1"/>
  <c r="DW69" i="2"/>
  <c r="DT69" i="2"/>
  <c r="DT70" i="2"/>
  <c r="DT68" i="2"/>
  <c r="DT77" i="2" s="1"/>
  <c r="DC69" i="2"/>
  <c r="DC70" i="2"/>
  <c r="DC68" i="2"/>
  <c r="DC77" i="2" s="1"/>
  <c r="DS69" i="2"/>
  <c r="DS70" i="2"/>
  <c r="DS68" i="2"/>
  <c r="DS77" i="2" s="1"/>
  <c r="T69" i="2"/>
  <c r="T70" i="2"/>
  <c r="T68" i="2"/>
  <c r="T77" i="2" s="1"/>
  <c r="AM70" i="2"/>
  <c r="AM68" i="2"/>
  <c r="AM77" i="2" s="1"/>
  <c r="AM69" i="2"/>
  <c r="AW70" i="2"/>
  <c r="AW68" i="2"/>
  <c r="AW77" i="2" s="1"/>
  <c r="AW69" i="2"/>
  <c r="BC69" i="2"/>
  <c r="BC70" i="2"/>
  <c r="BC68" i="2"/>
  <c r="BC77" i="2" s="1"/>
  <c r="CN69" i="2"/>
  <c r="CN68" i="2"/>
  <c r="CN77" i="2" s="1"/>
  <c r="CN70" i="2"/>
  <c r="BI68" i="2"/>
  <c r="BI77" i="2" s="1"/>
  <c r="BI69" i="2"/>
  <c r="BI70" i="2"/>
  <c r="DK69" i="2"/>
  <c r="DK68" i="2"/>
  <c r="DK77" i="2" s="1"/>
  <c r="DK70" i="2"/>
  <c r="O70" i="2"/>
  <c r="O68" i="2"/>
  <c r="O77" i="2" s="1"/>
  <c r="O69" i="2"/>
  <c r="ED70" i="2"/>
  <c r="ED68" i="2"/>
  <c r="ED77" i="2" s="1"/>
  <c r="ED69" i="2"/>
  <c r="BT70" i="2"/>
  <c r="BT68" i="2"/>
  <c r="BT77" i="2" s="1"/>
  <c r="BT69" i="2"/>
  <c r="BA68" i="2"/>
  <c r="BA77" i="2" s="1"/>
  <c r="BA69" i="2"/>
  <c r="BA70" i="2"/>
  <c r="H70" i="2"/>
  <c r="H69" i="2"/>
  <c r="H68" i="2"/>
  <c r="H77" i="2" s="1"/>
  <c r="AN70" i="2"/>
  <c r="AN69" i="2"/>
  <c r="AN68" i="2"/>
  <c r="AN77" i="2" s="1"/>
  <c r="X70" i="2"/>
  <c r="X69" i="2"/>
  <c r="X68" i="2"/>
  <c r="X77" i="2" s="1"/>
  <c r="Y70" i="2"/>
  <c r="Y69" i="2"/>
  <c r="Y68" i="2"/>
  <c r="Y77" i="2" s="1"/>
  <c r="CX70" i="2"/>
  <c r="CX69" i="2"/>
  <c r="CX68" i="2"/>
  <c r="CX77" i="2" s="1"/>
  <c r="BQ69" i="2"/>
  <c r="BQ68" i="2"/>
  <c r="BQ77" i="2" s="1"/>
  <c r="BQ70" i="2"/>
  <c r="BG69" i="2"/>
  <c r="BG70" i="2"/>
  <c r="BG68" i="2"/>
  <c r="BG77" i="2" s="1"/>
  <c r="BE70" i="2"/>
  <c r="BE69" i="2"/>
  <c r="BE68" i="2"/>
  <c r="BE77" i="2" s="1"/>
  <c r="D70" i="2"/>
  <c r="D69" i="2"/>
  <c r="D68" i="2"/>
  <c r="D77" i="2" s="1"/>
  <c r="BW68" i="2"/>
  <c r="BW77" i="2" s="1"/>
  <c r="BW69" i="2"/>
  <c r="BW70" i="2"/>
  <c r="BN69" i="2"/>
  <c r="BN70" i="2"/>
  <c r="BN68" i="2"/>
  <c r="BN77" i="2" s="1"/>
  <c r="CP69" i="2"/>
  <c r="CP68" i="2"/>
  <c r="CP77" i="2" s="1"/>
  <c r="CP70" i="2"/>
  <c r="DL68" i="2"/>
  <c r="DL77" i="2" s="1"/>
  <c r="DL69" i="2"/>
  <c r="DL70" i="2"/>
  <c r="M68" i="2"/>
  <c r="M77" i="2" s="1"/>
  <c r="M70" i="2"/>
  <c r="M69" i="2"/>
  <c r="BO69" i="2"/>
  <c r="BO70" i="2"/>
  <c r="BO68" i="2"/>
  <c r="BO77" i="2" s="1"/>
  <c r="F70" i="2"/>
  <c r="F69" i="2"/>
  <c r="F68" i="2"/>
  <c r="F77" i="2" s="1"/>
  <c r="CS68" i="2"/>
  <c r="CS77" i="2" s="1"/>
  <c r="CS70" i="2"/>
  <c r="CS69" i="2"/>
  <c r="BB70" i="2"/>
  <c r="BB68" i="2"/>
  <c r="BB77" i="2" s="1"/>
  <c r="BB69" i="2"/>
  <c r="EE68" i="2"/>
  <c r="EE77" i="2" s="1"/>
  <c r="EE70" i="2"/>
  <c r="EE69" i="2"/>
  <c r="U68" i="2"/>
  <c r="U77" i="2" s="1"/>
  <c r="U69" i="2"/>
  <c r="U70" i="2"/>
  <c r="K69" i="2"/>
  <c r="K70" i="2"/>
  <c r="K68" i="2"/>
  <c r="K77" i="2" s="1"/>
  <c r="DZ69" i="2"/>
  <c r="DZ70" i="2"/>
  <c r="DZ68" i="2"/>
  <c r="DZ77" i="2" s="1"/>
  <c r="DB68" i="2"/>
  <c r="DB77" i="2" s="1"/>
  <c r="DB69" i="2"/>
  <c r="DB70" i="2"/>
  <c r="AZ68" i="2"/>
  <c r="AZ77" i="2" s="1"/>
  <c r="AZ70" i="2"/>
  <c r="AZ69" i="2"/>
  <c r="AC68" i="2"/>
  <c r="AC77" i="2" s="1"/>
  <c r="AC70" i="2"/>
  <c r="AC69" i="2"/>
  <c r="DY70" i="2"/>
  <c r="DY69" i="2"/>
  <c r="DY68" i="2"/>
  <c r="DY77" i="2" s="1"/>
  <c r="AJ68" i="2"/>
  <c r="AJ77" i="2" s="1"/>
  <c r="AJ69" i="2"/>
  <c r="AJ70" i="2"/>
  <c r="DI69" i="2"/>
  <c r="DI68" i="2"/>
  <c r="DI77" i="2" s="1"/>
  <c r="DI70" i="2"/>
  <c r="AS68" i="2"/>
  <c r="AS77" i="2" s="1"/>
  <c r="AS69" i="2"/>
  <c r="AS70" i="2"/>
  <c r="AT69" i="2"/>
  <c r="AT70" i="2"/>
  <c r="AT68" i="2"/>
  <c r="AT77" i="2" s="1"/>
  <c r="EA69" i="2"/>
  <c r="EA70" i="2"/>
  <c r="EA68" i="2"/>
  <c r="EA77" i="2" s="1"/>
  <c r="BJ69" i="2"/>
  <c r="BJ70" i="2"/>
  <c r="BJ68" i="2"/>
  <c r="BJ77" i="2" s="1"/>
  <c r="CU69" i="2"/>
  <c r="CU68" i="2"/>
  <c r="CU77" i="2" s="1"/>
  <c r="CU70" i="2"/>
  <c r="DM68" i="2"/>
  <c r="DM77" i="2" s="1"/>
  <c r="DM69" i="2"/>
  <c r="DM70" i="2"/>
  <c r="EF70" i="2"/>
  <c r="EF68" i="2"/>
  <c r="EF77" i="2" s="1"/>
  <c r="EF69" i="2"/>
  <c r="EB70" i="2"/>
  <c r="EB68" i="2"/>
  <c r="EB77" i="2" s="1"/>
  <c r="EB69" i="2"/>
  <c r="BD70" i="2"/>
  <c r="BD69" i="2"/>
  <c r="BD68" i="2"/>
  <c r="BD77" i="2" s="1"/>
  <c r="BR70" i="2"/>
  <c r="BR68" i="2"/>
  <c r="BR77" i="2" s="1"/>
  <c r="BR69" i="2"/>
  <c r="EC68" i="2"/>
  <c r="EC77" i="2" s="1"/>
  <c r="EC70" i="2"/>
  <c r="EC69" i="2"/>
  <c r="DP70" i="2"/>
  <c r="DP69" i="2"/>
  <c r="DP68" i="2"/>
  <c r="DP77" i="2" s="1"/>
  <c r="AI69" i="2"/>
  <c r="AI68" i="2"/>
  <c r="AI77" i="2" s="1"/>
  <c r="AI70" i="2"/>
  <c r="BV68" i="2"/>
  <c r="BV77" i="2" s="1"/>
  <c r="BV70" i="2"/>
  <c r="BV69" i="2"/>
  <c r="AL70" i="2"/>
  <c r="AL69" i="2"/>
  <c r="AL68" i="2"/>
  <c r="AL77" i="2" s="1"/>
  <c r="P69" i="2"/>
  <c r="P68" i="2"/>
  <c r="P77" i="2" s="1"/>
  <c r="P70" i="2"/>
  <c r="AD69" i="2"/>
  <c r="AD70" i="2"/>
  <c r="AD68" i="2"/>
  <c r="AD77" i="2" s="1"/>
  <c r="DQ70" i="2"/>
  <c r="DQ69" i="2"/>
  <c r="DQ68" i="2"/>
  <c r="DQ77" i="2" s="1"/>
  <c r="CZ70" i="2"/>
  <c r="CZ69" i="2"/>
  <c r="CZ68" i="2"/>
  <c r="CZ77" i="2" s="1"/>
  <c r="EI68" i="2"/>
  <c r="EI77" i="2" s="1"/>
  <c r="EI69" i="2"/>
  <c r="EI70" i="2"/>
  <c r="CM68" i="2"/>
  <c r="CM77" i="2" s="1"/>
  <c r="CM69" i="2"/>
  <c r="CM70" i="2"/>
  <c r="DO68" i="2"/>
  <c r="DO77" i="2" s="1"/>
  <c r="DO69" i="2"/>
  <c r="DO70" i="2"/>
  <c r="AV69" i="2"/>
  <c r="AV70" i="2"/>
  <c r="AV68" i="2"/>
  <c r="AV77" i="2" s="1"/>
  <c r="AE69" i="2"/>
  <c r="AE70" i="2"/>
  <c r="AE68" i="2"/>
  <c r="AE77" i="2" s="1"/>
  <c r="CL68" i="2"/>
  <c r="CL77" i="2" s="1"/>
  <c r="CL69" i="2"/>
  <c r="CL70" i="2"/>
  <c r="DU68" i="2"/>
  <c r="DU77" i="2" s="1"/>
  <c r="DU69" i="2"/>
  <c r="DU70" i="2"/>
  <c r="C87" i="2"/>
  <c r="C67" i="2"/>
  <c r="C90" i="2" s="1"/>
  <c r="DJ69" i="2"/>
  <c r="DJ68" i="2"/>
  <c r="DJ77" i="2" s="1"/>
  <c r="DJ70" i="2"/>
  <c r="N70" i="2"/>
  <c r="N69" i="2"/>
  <c r="N68" i="2"/>
  <c r="N77" i="2" s="1"/>
  <c r="AQ69" i="2"/>
  <c r="AQ68" i="2"/>
  <c r="AQ77" i="2" s="1"/>
  <c r="AQ70" i="2"/>
  <c r="CR69" i="2"/>
  <c r="CR68" i="2"/>
  <c r="CR77" i="2" s="1"/>
  <c r="CR70" i="2"/>
  <c r="CQ68" i="2"/>
  <c r="CQ77" i="2" s="1"/>
  <c r="CQ70" i="2"/>
  <c r="CQ69" i="2"/>
  <c r="G70" i="2"/>
  <c r="G69" i="2"/>
  <c r="G68" i="2"/>
  <c r="G77" i="2" s="1"/>
  <c r="EH68" i="2"/>
  <c r="EH77" i="2" s="1"/>
  <c r="EH69" i="2"/>
  <c r="EH70" i="2"/>
  <c r="BS68" i="2"/>
  <c r="BS77" i="2" s="1"/>
  <c r="BS70" i="2"/>
  <c r="BS69" i="2"/>
  <c r="Z68" i="2"/>
  <c r="Z77" i="2" s="1"/>
  <c r="Z69" i="2"/>
  <c r="Z70" i="2"/>
  <c r="BL69" i="2"/>
  <c r="BL70" i="2"/>
  <c r="BL68" i="2"/>
  <c r="BL77" i="2" s="1"/>
  <c r="L70" i="2"/>
  <c r="L69" i="2"/>
  <c r="L68" i="2"/>
  <c r="L77" i="2" s="1"/>
  <c r="DF68" i="2"/>
  <c r="DF77" i="2" s="1"/>
  <c r="DF69" i="2"/>
  <c r="DF70" i="2"/>
  <c r="AP68" i="2"/>
  <c r="AP77" i="2" s="1"/>
  <c r="AP70" i="2"/>
  <c r="AP69" i="2"/>
  <c r="CG70" i="2"/>
  <c r="CG69" i="2"/>
  <c r="CG68" i="2"/>
  <c r="CG77" i="2" s="1"/>
  <c r="J68" i="2"/>
  <c r="J77" i="2" s="1"/>
  <c r="J70" i="2"/>
  <c r="J69" i="2"/>
  <c r="C86" i="2"/>
  <c r="C68" i="2"/>
  <c r="C77" i="2" s="1"/>
  <c r="AG69" i="2"/>
  <c r="AG70" i="2"/>
  <c r="AG68" i="2"/>
  <c r="AG77" i="2" s="1"/>
  <c r="E70" i="2"/>
  <c r="E69" i="2"/>
  <c r="E68" i="2"/>
  <c r="E77" i="2" s="1"/>
  <c r="S69" i="2"/>
  <c r="S70" i="2"/>
  <c r="S68" i="2"/>
  <c r="S77" i="2" s="1"/>
  <c r="CA69" i="2"/>
  <c r="CA70" i="2"/>
  <c r="CA68" i="2"/>
  <c r="CA77" i="2" s="1"/>
  <c r="CT69" i="2"/>
  <c r="CT70" i="2"/>
  <c r="CT68" i="2"/>
  <c r="CT77" i="2" s="1"/>
  <c r="DE68" i="2"/>
  <c r="DE77" i="2" s="1"/>
  <c r="DE69" i="2"/>
  <c r="DE70" i="2"/>
  <c r="BY68" i="2"/>
  <c r="BY77" i="2" s="1"/>
  <c r="BY69" i="2"/>
  <c r="BY70" i="2"/>
  <c r="DA70" i="2"/>
  <c r="DA69" i="2"/>
  <c r="DA68" i="2"/>
  <c r="DA77" i="2" s="1"/>
  <c r="AA69" i="2"/>
  <c r="AA70" i="2"/>
  <c r="AA68" i="2"/>
  <c r="AA77" i="2" s="1"/>
  <c r="AH69" i="2"/>
  <c r="AH68" i="2"/>
  <c r="AH77" i="2" s="1"/>
  <c r="AH70" i="2"/>
  <c r="BZ69" i="2"/>
  <c r="BZ70" i="2"/>
  <c r="BZ68" i="2"/>
  <c r="BZ77" i="2" s="1"/>
  <c r="CI70" i="2"/>
  <c r="CI69" i="2"/>
  <c r="CI68" i="2"/>
  <c r="CI77" i="2" s="1"/>
  <c r="BF68" i="2"/>
  <c r="BF77" i="2" s="1"/>
  <c r="BF69" i="2"/>
  <c r="BF70" i="2"/>
  <c r="DX69" i="2"/>
  <c r="DX68" i="2"/>
  <c r="DX77" i="2" s="1"/>
  <c r="DX70" i="2"/>
  <c r="BH69" i="2"/>
  <c r="BH70" i="2"/>
  <c r="BH68" i="2"/>
  <c r="BH77" i="2" s="1"/>
  <c r="AX69" i="2"/>
  <c r="AX70" i="2"/>
  <c r="AX68" i="2"/>
  <c r="AX77" i="2" s="1"/>
  <c r="W70" i="2"/>
  <c r="W68" i="2"/>
  <c r="W77" i="2" s="1"/>
  <c r="W69" i="2"/>
  <c r="CH70" i="2"/>
  <c r="CH69" i="2"/>
  <c r="CH68" i="2"/>
  <c r="CH77" i="2" s="1"/>
  <c r="CY70" i="2"/>
  <c r="CY69" i="2"/>
  <c r="CY68" i="2"/>
  <c r="CY77" i="2" s="1"/>
  <c r="AY69" i="2"/>
  <c r="AY68" i="2"/>
  <c r="AY77" i="2" s="1"/>
  <c r="AY70" i="2"/>
  <c r="AK69" i="2"/>
  <c r="AK70" i="2"/>
  <c r="AK68" i="2"/>
  <c r="AK77" i="2" s="1"/>
  <c r="DN70" i="2"/>
  <c r="DN68" i="2"/>
  <c r="DN77" i="2" s="1"/>
  <c r="DN69" i="2"/>
  <c r="CF70" i="2"/>
  <c r="CF69" i="2"/>
  <c r="CF68" i="2"/>
  <c r="CF77" i="2" s="1"/>
  <c r="AU69" i="2"/>
  <c r="AU70" i="2"/>
  <c r="AU68" i="2"/>
  <c r="AU77" i="2" s="1"/>
  <c r="V70" i="2"/>
  <c r="V68" i="2"/>
  <c r="V77" i="2" s="1"/>
  <c r="V69" i="2"/>
  <c r="I70" i="2"/>
  <c r="I69" i="2"/>
  <c r="I68" i="2"/>
  <c r="I77" i="2" s="1"/>
  <c r="BK69" i="2"/>
  <c r="BK70" i="2"/>
  <c r="BK68" i="2"/>
  <c r="BK77" i="2" s="1"/>
  <c r="EJ68" i="2"/>
  <c r="EJ77" i="2" s="1"/>
  <c r="EJ69" i="2"/>
  <c r="EJ70" i="2"/>
  <c r="CK70" i="2"/>
  <c r="CK68" i="2"/>
  <c r="CK77" i="2" s="1"/>
  <c r="CK69" i="2"/>
  <c r="DV69" i="2"/>
  <c r="DV70" i="2"/>
  <c r="DV68" i="2"/>
  <c r="DV77" i="2" s="1"/>
  <c r="R69" i="2"/>
  <c r="R68" i="2"/>
  <c r="R77" i="2" s="1"/>
  <c r="R70" i="2"/>
  <c r="AO70" i="2"/>
  <c r="AO69" i="2"/>
  <c r="AO68" i="2"/>
  <c r="AO77" i="2" s="1"/>
  <c r="CV69" i="2"/>
  <c r="CV68" i="2"/>
  <c r="CV77" i="2" s="1"/>
  <c r="CV70" i="2"/>
  <c r="EG70" i="2"/>
  <c r="EG68" i="2"/>
  <c r="EG77" i="2" s="1"/>
  <c r="EG69" i="2"/>
  <c r="C69" i="2" l="1"/>
  <c r="C70" i="2"/>
</calcChain>
</file>

<file path=xl/sharedStrings.xml><?xml version="1.0" encoding="utf-8"?>
<sst xmlns="http://schemas.openxmlformats.org/spreadsheetml/2006/main" count="264" uniqueCount="105">
  <si>
    <t>Name</t>
  </si>
  <si>
    <t xml:space="preserve"> Lipid Mol Weight</t>
  </si>
  <si>
    <t>Postive N per lipid (used in NP ratio calculation)</t>
  </si>
  <si>
    <t>DOTAP</t>
  </si>
  <si>
    <t>DSPC</t>
  </si>
  <si>
    <t>18PG</t>
  </si>
  <si>
    <t>DOPE</t>
  </si>
  <si>
    <t>DDAB</t>
  </si>
  <si>
    <t>14PA</t>
  </si>
  <si>
    <t>18BMP</t>
  </si>
  <si>
    <t>SM102</t>
  </si>
  <si>
    <t>Dlin</t>
  </si>
  <si>
    <t>ALC0315</t>
  </si>
  <si>
    <t>Chol</t>
  </si>
  <si>
    <t/>
  </si>
  <si>
    <t>DMG_PEG</t>
  </si>
  <si>
    <t xml:space="preserve">Date &amp; Person: </t>
  </si>
  <si>
    <t>Units</t>
  </si>
  <si>
    <t>*drag column to right to create more formulations*</t>
  </si>
  <si>
    <t>Relative Formulation Label</t>
  </si>
  <si>
    <t>Notes / Identifiers</t>
  </si>
  <si>
    <t>i-optimal</t>
  </si>
  <si>
    <t>NSGAII</t>
  </si>
  <si>
    <t>Formulation parameters</t>
  </si>
  <si>
    <t>Ionizable Lipid Name</t>
  </si>
  <si>
    <t>Helper Lipid Name</t>
  </si>
  <si>
    <t>Cholesterol Lipid Name</t>
  </si>
  <si>
    <t>PEG Lipid Name</t>
  </si>
  <si>
    <t>NP Ratio</t>
  </si>
  <si>
    <t>(IL+HL)% (molar)</t>
  </si>
  <si>
    <t>HL/(IL+HL)%</t>
  </si>
  <si>
    <t>PEG/(Chol+PEG)%</t>
  </si>
  <si>
    <t>Final NP Nucleic Acid Conc</t>
  </si>
  <si>
    <t>ug/mL</t>
  </si>
  <si>
    <t>Total NP Volume</t>
  </si>
  <si>
    <t>ul</t>
  </si>
  <si>
    <t>IL:HL ratio</t>
  </si>
  <si>
    <t>Chol:PEG ratio</t>
  </si>
  <si>
    <t>Chemical Properties</t>
  </si>
  <si>
    <t>Ionizable Lipid Mol Weight</t>
  </si>
  <si>
    <t>g/mol</t>
  </si>
  <si>
    <t>Helper Lipid Mol Weight</t>
  </si>
  <si>
    <t>Cholesterol Mol Weight</t>
  </si>
  <si>
    <t>DMG-PEG Mol Weight</t>
  </si>
  <si>
    <t>Estimated # Phosphates in nucleic acids (used in NP ratio calculation)</t>
  </si>
  <si>
    <t>nmol/ug</t>
  </si>
  <si>
    <t>Postive N per ionizable lipid (used in NP ratio calculation)</t>
  </si>
  <si>
    <t>mol/mol</t>
  </si>
  <si>
    <t>Postive N per helper lipid (used in NP ratio calculation)</t>
  </si>
  <si>
    <t>Calculation</t>
  </si>
  <si>
    <t>helper lipid stock concentration (mM)</t>
  </si>
  <si>
    <t>mM</t>
  </si>
  <si>
    <t>Ionizable Lipid mM</t>
  </si>
  <si>
    <t>Cholesterol mM</t>
  </si>
  <si>
    <t>DMG-PEG mM</t>
  </si>
  <si>
    <t>Total Moles of Lipid in formulation</t>
  </si>
  <si>
    <t>nmoles</t>
  </si>
  <si>
    <t>Total Nucleic Acid in formulation</t>
  </si>
  <si>
    <t>ug</t>
  </si>
  <si>
    <t>Total Lipid Phase Volume</t>
  </si>
  <si>
    <t>Total Nucleic Acid Phase Volume</t>
  </si>
  <si>
    <t>Dlin MC3 Percent (molar)</t>
  </si>
  <si>
    <t>mol %</t>
  </si>
  <si>
    <t>Total Dlin MC3 (nmol)</t>
  </si>
  <si>
    <t>nmol</t>
  </si>
  <si>
    <t>Helper Lipid Percent (molar)</t>
  </si>
  <si>
    <t>Total Helper lipid (nmol)</t>
  </si>
  <si>
    <t>Cholesterol Percent (Molar)</t>
  </si>
  <si>
    <t>Total Cholestrol (mg)</t>
  </si>
  <si>
    <t>mg</t>
  </si>
  <si>
    <t>DMG-PEG Percent (molar)</t>
  </si>
  <si>
    <t>Total DMG-PEG (mg)</t>
  </si>
  <si>
    <t>Solution Prep Parameters</t>
  </si>
  <si>
    <t>Ionizable Lipid Concentration</t>
  </si>
  <si>
    <t>mg/ml</t>
  </si>
  <si>
    <t xml:space="preserve">Helper Lipid Concentration </t>
  </si>
  <si>
    <t>Cholesterol Concentration</t>
  </si>
  <si>
    <t>DMG-PEG Concentration</t>
  </si>
  <si>
    <t>Nucleic Acid:Lipid ratio (v/v)</t>
  </si>
  <si>
    <t>Nucleic Acid Stock Concentration</t>
  </si>
  <si>
    <t>ug/ml</t>
  </si>
  <si>
    <t>Final Volumes to add</t>
  </si>
  <si>
    <t>Lipid Phase</t>
  </si>
  <si>
    <t>Ionizable lipid solution (μL)</t>
  </si>
  <si>
    <t>Helper lipid solution (μL)</t>
  </si>
  <si>
    <t>Cholesterol Solution (μL)</t>
  </si>
  <si>
    <t>DMG-PEG solution (μL)</t>
  </si>
  <si>
    <t>Needed Ethonal Volume (μL)</t>
  </si>
  <si>
    <t>Total volume</t>
  </si>
  <si>
    <t>ARE THERE NEGATIVE VOLUMES?</t>
  </si>
  <si>
    <t>ARE THERE VOLUMES &lt;1.0ul?</t>
  </si>
  <si>
    <t>Nucleic acid Phase</t>
  </si>
  <si>
    <t>Nucleic Acid Stock Solution (μL)</t>
  </si>
  <si>
    <t>Water (μL)</t>
  </si>
  <si>
    <t>Total Volume</t>
  </si>
  <si>
    <t>Combined Total Volume (Assuming backfill has evaporated)</t>
  </si>
  <si>
    <t xml:space="preserve">Minimum Needed Across All Formulations </t>
  </si>
  <si>
    <t>*not accounting for different stock concentrations*</t>
  </si>
  <si>
    <t>Priming Volume</t>
  </si>
  <si>
    <t>Ethanol Backfill Per Well</t>
  </si>
  <si>
    <t>Note: Set Backfill = 5-10uL for hand formulation, 20-30uL for MANTIS</t>
  </si>
  <si>
    <t>Overage Factor</t>
  </si>
  <si>
    <t>Dlin MC3 solution (μL)</t>
  </si>
  <si>
    <t>Water (mL)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</si>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</sst>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0" fillId="0" borderId="1" xfId="0" applyBorder="1"/>
    <xf numFmtId="0" fontId="0" fillId="3" borderId="3" xfId="0" applyFill="1" applyBorder="1"/>
    <xf numFmtId="0" fontId="0" fillId="3" borderId="0" xfId="0" applyFill="1"/>
    <xf numFmtId="0" fontId="0" fillId="3" borderId="7" xfId="0" applyFill="1" applyBorder="1"/>
    <xf numFmtId="0" fontId="1" fillId="2" borderId="3" xfId="1" applyFill="1" applyBorder="1"/>
    <xf numFmtId="0" fontId="1" fillId="2" borderId="0" xfId="1" applyFill="1"/>
    <xf numFmtId="0" fontId="1" fillId="2" borderId="7" xfId="1" applyFill="1" applyBorder="1"/>
    <xf numFmtId="0" fontId="0" fillId="4" borderId="7" xfId="0" applyFill="1" applyBorder="1"/>
    <xf numFmtId="0" fontId="1" fillId="5" borderId="0" xfId="1" applyFill="1"/>
    <xf numFmtId="0" fontId="1" fillId="6" borderId="0" xfId="1" applyFill="1"/>
    <xf numFmtId="0" fontId="1" fillId="0" borderId="0" xfId="1"/>
    <xf numFmtId="0" fontId="1" fillId="0" borderId="9" xfId="1" applyBorder="1"/>
    <xf numFmtId="0" fontId="1" fillId="0" borderId="1" xfId="1" applyBorder="1"/>
    <xf numFmtId="0" fontId="2" fillId="0" borderId="0" xfId="1" applyFont="1"/>
    <xf numFmtId="0" fontId="0" fillId="0" borderId="9" xfId="0" applyBorder="1"/>
    <xf numFmtId="0" fontId="3" fillId="0" borderId="0" xfId="0" applyFont="1"/>
    <xf numFmtId="0" fontId="5" fillId="0" borderId="0" xfId="1" applyFont="1"/>
    <xf numFmtId="0" fontId="4" fillId="0" borderId="0" xfId="1" applyFont="1"/>
    <xf numFmtId="0" fontId="6" fillId="0" borderId="0" xfId="1" applyFont="1"/>
    <xf numFmtId="0" fontId="7" fillId="0" borderId="0" xfId="1" applyFont="1"/>
    <xf numFmtId="0" fontId="6" fillId="6" borderId="0" xfId="1" applyFont="1" applyFill="1"/>
    <xf numFmtId="0" fontId="1" fillId="6" borderId="1" xfId="1" applyFill="1" applyBorder="1"/>
    <xf numFmtId="0" fontId="6" fillId="0" borderId="2" xfId="1" applyFont="1" applyBorder="1"/>
    <xf numFmtId="0" fontId="6" fillId="7" borderId="1" xfId="1" applyFont="1" applyFill="1" applyBorder="1"/>
    <xf numFmtId="0" fontId="6" fillId="0" borderId="1" xfId="1" applyFont="1" applyBorder="1"/>
    <xf numFmtId="0" fontId="2" fillId="0" borderId="0" xfId="0" applyFont="1"/>
    <xf numFmtId="0" fontId="9" fillId="0" borderId="1" xfId="0" applyFont="1" applyBorder="1" applyAlignment="1">
      <alignment horizontal="right" vertical="center" wrapText="1"/>
    </xf>
    <xf numFmtId="0" fontId="1" fillId="10" borderId="9" xfId="1" applyFill="1" applyBorder="1"/>
    <xf numFmtId="0" fontId="3" fillId="8" borderId="0" xfId="0" applyFont="1" applyFill="1"/>
    <xf numFmtId="0" fontId="0" fillId="12" borderId="2" xfId="0" applyFill="1" applyBorder="1"/>
    <xf numFmtId="0" fontId="0" fillId="12" borderId="10" xfId="0" applyFill="1" applyBorder="1"/>
    <xf numFmtId="0" fontId="0" fillId="12" borderId="1" xfId="0" applyFill="1" applyBorder="1"/>
    <xf numFmtId="0" fontId="0" fillId="12" borderId="9" xfId="0" applyFill="1" applyBorder="1"/>
    <xf numFmtId="0" fontId="0" fillId="12" borderId="6" xfId="0" applyFill="1" applyBorder="1"/>
    <xf numFmtId="0" fontId="0" fillId="12" borderId="11" xfId="0" applyFill="1" applyBorder="1"/>
    <xf numFmtId="0" fontId="6" fillId="10" borderId="2" xfId="1" applyFont="1" applyFill="1" applyBorder="1"/>
    <xf numFmtId="0" fontId="1" fillId="10" borderId="2" xfId="1" applyFill="1" applyBorder="1"/>
    <xf numFmtId="0" fontId="6" fillId="10" borderId="1" xfId="1" applyFont="1" applyFill="1" applyBorder="1"/>
    <xf numFmtId="0" fontId="1" fillId="10" borderId="1" xfId="1" applyFill="1" applyBorder="1"/>
    <xf numFmtId="0" fontId="6" fillId="10" borderId="6" xfId="1" applyFont="1" applyFill="1" applyBorder="1"/>
    <xf numFmtId="0" fontId="1" fillId="10" borderId="6" xfId="1" applyFill="1" applyBorder="1"/>
    <xf numFmtId="0" fontId="6" fillId="9" borderId="0" xfId="1" applyFont="1" applyFill="1"/>
    <xf numFmtId="0" fontId="1" fillId="9" borderId="1" xfId="1" applyFill="1" applyBorder="1"/>
    <xf numFmtId="0" fontId="7" fillId="11" borderId="0" xfId="1" applyFont="1" applyFill="1"/>
    <xf numFmtId="0" fontId="6" fillId="9" borderId="11" xfId="1" applyFont="1" applyFill="1" applyBorder="1"/>
    <xf numFmtId="0" fontId="6" fillId="9" borderId="6" xfId="1" applyFont="1" applyFill="1" applyBorder="1"/>
    <xf numFmtId="0" fontId="1" fillId="10" borderId="10" xfId="1" applyFill="1" applyBorder="1"/>
    <xf numFmtId="0" fontId="1" fillId="10" borderId="11" xfId="1" applyFill="1" applyBorder="1"/>
    <xf numFmtId="0" fontId="1" fillId="9" borderId="9" xfId="1" applyFill="1" applyBorder="1"/>
    <xf numFmtId="0" fontId="1" fillId="6" borderId="9" xfId="1" applyFill="1" applyBorder="1"/>
    <xf numFmtId="0" fontId="9" fillId="0" borderId="9" xfId="0" applyFont="1" applyBorder="1" applyAlignment="1">
      <alignment horizontal="right" vertical="center" wrapText="1"/>
    </xf>
    <xf numFmtId="0" fontId="8" fillId="0" borderId="9" xfId="0" applyFont="1" applyBorder="1"/>
    <xf numFmtId="0" fontId="8" fillId="0" borderId="1" xfId="0" applyFont="1" applyBorder="1"/>
    <xf numFmtId="0" fontId="10" fillId="0" borderId="10" xfId="1" applyFont="1" applyBorder="1" applyAlignment="1">
      <alignment horizontal="center"/>
    </xf>
    <xf numFmtId="0" fontId="10" fillId="0" borderId="9" xfId="1" applyFont="1" applyBorder="1"/>
    <xf numFmtId="0" fontId="10" fillId="10" borderId="9" xfId="1" applyFont="1" applyFill="1" applyBorder="1" applyAlignment="1">
      <alignment horizontal="center"/>
    </xf>
    <xf numFmtId="0" fontId="10" fillId="10" borderId="9" xfId="0" applyFont="1" applyFill="1" applyBorder="1"/>
    <xf numFmtId="0" fontId="10" fillId="0" borderId="9" xfId="0" applyFont="1" applyBorder="1"/>
    <xf numFmtId="0" fontId="10" fillId="12" borderId="10" xfId="0" applyFont="1" applyFill="1" applyBorder="1"/>
    <xf numFmtId="0" fontId="10" fillId="12" borderId="9" xfId="0" applyFont="1" applyFill="1" applyBorder="1"/>
    <xf numFmtId="0" fontId="10" fillId="12" borderId="11" xfId="0" applyFont="1" applyFill="1" applyBorder="1"/>
    <xf numFmtId="0" fontId="10" fillId="10" borderId="10" xfId="1" applyFont="1" applyFill="1" applyBorder="1"/>
    <xf numFmtId="0" fontId="10" fillId="10" borderId="9" xfId="1" applyFont="1" applyFill="1" applyBorder="1"/>
    <xf numFmtId="0" fontId="10" fillId="10" borderId="11" xfId="1" applyFont="1" applyFill="1" applyBorder="1"/>
    <xf numFmtId="0" fontId="10" fillId="9" borderId="9" xfId="1" applyFont="1" applyFill="1" applyBorder="1"/>
    <xf numFmtId="0" fontId="10" fillId="6" borderId="9" xfId="1" applyFont="1" applyFill="1" applyBorder="1"/>
    <xf numFmtId="0" fontId="10" fillId="0" borderId="10" xfId="1" applyFont="1" applyBorder="1"/>
    <xf numFmtId="0" fontId="11" fillId="0" borderId="9" xfId="0" applyFont="1" applyBorder="1" applyAlignment="1">
      <alignment horizontal="right" vertical="center" wrapText="1"/>
    </xf>
    <xf numFmtId="0" fontId="12" fillId="0" borderId="9" xfId="0" applyFont="1" applyBorder="1"/>
    <xf numFmtId="0" fontId="0" fillId="14" borderId="0" xfId="0" applyFill="1"/>
    <xf numFmtId="0" fontId="1" fillId="4" borderId="0" xfId="1" applyFill="1"/>
    <xf numFmtId="0" fontId="0" fillId="14" borderId="3" xfId="0" applyFill="1" applyBorder="1"/>
    <xf numFmtId="0" fontId="6" fillId="9" borderId="2" xfId="1" applyFont="1" applyFill="1" applyBorder="1"/>
    <xf numFmtId="0" fontId="10" fillId="0" borderId="5" xfId="1" applyFont="1" applyBorder="1" applyAlignment="1">
      <alignment horizontal="center"/>
    </xf>
    <xf numFmtId="0" fontId="10" fillId="0" borderId="4" xfId="1" applyFont="1" applyBorder="1"/>
    <xf numFmtId="0" fontId="10" fillId="10" borderId="4" xfId="1" applyFont="1" applyFill="1" applyBorder="1" applyAlignment="1">
      <alignment horizontal="center"/>
    </xf>
    <xf numFmtId="0" fontId="10" fillId="10" borderId="4" xfId="0" applyFont="1" applyFill="1" applyBorder="1"/>
    <xf numFmtId="0" fontId="10" fillId="0" borderId="4" xfId="0" applyFont="1" applyBorder="1"/>
    <xf numFmtId="0" fontId="10" fillId="12" borderId="5" xfId="0" applyFont="1" applyFill="1" applyBorder="1"/>
    <xf numFmtId="0" fontId="10" fillId="12" borderId="4" xfId="0" applyFont="1" applyFill="1" applyBorder="1"/>
    <xf numFmtId="0" fontId="10" fillId="12" borderId="8" xfId="0" applyFont="1" applyFill="1" applyBorder="1"/>
    <xf numFmtId="0" fontId="10" fillId="10" borderId="5" xfId="1" applyFont="1" applyFill="1" applyBorder="1"/>
    <xf numFmtId="0" fontId="10" fillId="10" borderId="4" xfId="1" applyFont="1" applyFill="1" applyBorder="1"/>
    <xf numFmtId="0" fontId="10" fillId="10" borderId="8" xfId="1" applyFont="1" applyFill="1" applyBorder="1"/>
    <xf numFmtId="0" fontId="10" fillId="9" borderId="4" xfId="1" applyFont="1" applyFill="1" applyBorder="1"/>
    <xf numFmtId="0" fontId="10" fillId="6" borderId="4" xfId="1" applyFont="1" applyFill="1" applyBorder="1"/>
    <xf numFmtId="0" fontId="10" fillId="0" borderId="5" xfId="1" applyFont="1" applyBorder="1"/>
    <xf numFmtId="0" fontId="10" fillId="7" borderId="4" xfId="1" applyFont="1" applyFill="1" applyBorder="1"/>
    <xf numFmtId="0" fontId="10" fillId="0" borderId="8" xfId="0" applyFont="1" applyBorder="1"/>
    <xf numFmtId="0" fontId="11" fillId="0" borderId="4" xfId="0" applyFont="1" applyBorder="1" applyAlignment="1">
      <alignment horizontal="right" vertical="center" wrapText="1"/>
    </xf>
    <xf numFmtId="0" fontId="0" fillId="8" borderId="9" xfId="0" applyFill="1" applyBorder="1"/>
    <xf numFmtId="0" fontId="2" fillId="0" borderId="9" xfId="1" applyFont="1" applyBorder="1"/>
    <xf numFmtId="0" fontId="6" fillId="10" borderId="10" xfId="1" applyFont="1" applyFill="1" applyBorder="1"/>
    <xf numFmtId="0" fontId="6" fillId="10" borderId="9" xfId="1" applyFont="1" applyFill="1" applyBorder="1"/>
    <xf numFmtId="0" fontId="6" fillId="10" borderId="11" xfId="1" applyFont="1" applyFill="1" applyBorder="1"/>
    <xf numFmtId="0" fontId="6" fillId="0" borderId="9" xfId="1" applyFont="1" applyBorder="1"/>
    <xf numFmtId="0" fontId="6" fillId="9" borderId="9" xfId="1" applyFont="1" applyFill="1" applyBorder="1"/>
    <xf numFmtId="0" fontId="6" fillId="6" borderId="9" xfId="1" applyFont="1" applyFill="1" applyBorder="1"/>
    <xf numFmtId="0" fontId="6" fillId="0" borderId="10" xfId="1" applyFont="1" applyBorder="1"/>
    <xf numFmtId="0" fontId="6" fillId="7" borderId="9" xfId="1" applyFont="1" applyFill="1" applyBorder="1"/>
    <xf numFmtId="0" fontId="10" fillId="14" borderId="12" xfId="0" applyFont="1" applyFill="1" applyBorder="1"/>
    <xf numFmtId="0" fontId="10" fillId="13" borderId="12" xfId="1" applyFont="1" applyFill="1" applyBorder="1"/>
    <xf numFmtId="0" fontId="10" fillId="13" borderId="12" xfId="0" applyFont="1" applyFill="1" applyBorder="1"/>
    <xf numFmtId="0" fontId="10" fillId="10" borderId="0" xfId="1" applyFont="1" applyFill="1"/>
    <xf numFmtId="0" fontId="13" fillId="0" borderId="2" xfId="1" applyFont="1" applyBorder="1"/>
    <xf numFmtId="0" fontId="13" fillId="0" borderId="0" xfId="1" applyFont="1"/>
    <xf numFmtId="0" fontId="10" fillId="0" borderId="1" xfId="1" applyFont="1" applyBorder="1"/>
    <xf numFmtId="0" fontId="10" fillId="10" borderId="1" xfId="1" applyFont="1" applyFill="1" applyBorder="1" applyAlignment="1">
      <alignment horizontal="center"/>
    </xf>
    <xf numFmtId="0" fontId="10" fillId="10" borderId="1" xfId="0" applyFont="1" applyFill="1" applyBorder="1"/>
    <xf numFmtId="0" fontId="14" fillId="8" borderId="0" xfId="0" applyFont="1" applyFill="1"/>
    <xf numFmtId="0" fontId="10" fillId="8" borderId="9" xfId="0" applyFont="1" applyFill="1" applyBorder="1"/>
    <xf numFmtId="0" fontId="10" fillId="13" borderId="13" xfId="1" applyFont="1" applyFill="1" applyBorder="1"/>
    <xf numFmtId="0" fontId="15" fillId="13" borderId="12" xfId="1" applyFont="1" applyFill="1" applyBorder="1"/>
    <xf numFmtId="0" fontId="15" fillId="13" borderId="12" xfId="0" applyFont="1" applyFill="1" applyBorder="1"/>
    <xf numFmtId="0" fontId="10" fillId="14" borderId="12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150" zoomScaleNormal="150" workbookViewId="0">
      <selection activeCell="C15" sqref="C15"/>
    </sheetView>
  </sheetViews>
  <sheetFormatPr baseColWidth="10" defaultColWidth="8.6640625" defaultRowHeight="15" x14ac:dyDescent="0.2"/>
  <cols>
    <col min="1" max="1" width="11.33203125" customWidth="1"/>
    <col min="2" max="2" width="20.6640625" customWidth="1"/>
    <col min="3" max="3" width="45.6640625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3</v>
      </c>
      <c r="B2">
        <v>698.54</v>
      </c>
      <c r="C2">
        <v>1</v>
      </c>
    </row>
    <row r="3" spans="1:4" x14ac:dyDescent="0.2">
      <c r="A3" t="s">
        <v>4</v>
      </c>
      <c r="B3">
        <v>790.14499999999998</v>
      </c>
      <c r="C3">
        <v>1</v>
      </c>
    </row>
    <row r="4" spans="1:4" x14ac:dyDescent="0.2">
      <c r="A4" t="s">
        <v>5</v>
      </c>
      <c r="B4">
        <v>797.02599999999995</v>
      </c>
      <c r="C4">
        <v>0</v>
      </c>
    </row>
    <row r="5" spans="1:4" x14ac:dyDescent="0.2">
      <c r="A5" t="s">
        <v>6</v>
      </c>
      <c r="B5">
        <v>744.03399999999999</v>
      </c>
      <c r="C5">
        <v>1</v>
      </c>
    </row>
    <row r="6" spans="1:4" x14ac:dyDescent="0.2">
      <c r="A6" t="s">
        <v>7</v>
      </c>
      <c r="B6">
        <v>630.95000000000005</v>
      </c>
      <c r="C6">
        <v>1</v>
      </c>
    </row>
    <row r="7" spans="1:4" x14ac:dyDescent="0.2">
      <c r="A7" t="s">
        <v>8</v>
      </c>
      <c r="B7">
        <v>614.76700000000005</v>
      </c>
      <c r="C7">
        <v>0</v>
      </c>
    </row>
    <row r="8" spans="1:4" x14ac:dyDescent="0.2">
      <c r="A8" t="s">
        <v>9</v>
      </c>
      <c r="B8">
        <v>792.07500000000005</v>
      </c>
      <c r="C8">
        <v>0</v>
      </c>
    </row>
    <row r="10" spans="1:4" x14ac:dyDescent="0.2">
      <c r="A10" t="s">
        <v>10</v>
      </c>
      <c r="B10">
        <v>710.17</v>
      </c>
      <c r="C10">
        <v>1</v>
      </c>
    </row>
    <row r="11" spans="1:4" x14ac:dyDescent="0.2">
      <c r="A11" t="s">
        <v>11</v>
      </c>
      <c r="B11">
        <v>642.09</v>
      </c>
      <c r="C11">
        <v>1</v>
      </c>
    </row>
    <row r="12" spans="1:4" x14ac:dyDescent="0.2">
      <c r="A12" t="s">
        <v>12</v>
      </c>
      <c r="B12">
        <v>766.29</v>
      </c>
      <c r="C12">
        <v>1</v>
      </c>
    </row>
    <row r="14" spans="1:4" x14ac:dyDescent="0.2">
      <c r="A14" t="s">
        <v>13</v>
      </c>
      <c r="B14" s="1">
        <v>386.654</v>
      </c>
      <c r="C14">
        <v>0</v>
      </c>
      <c r="D14" t="s">
        <v>14</v>
      </c>
    </row>
    <row r="15" spans="1:4" x14ac:dyDescent="0.2">
      <c r="A15" t="s">
        <v>15</v>
      </c>
      <c r="B15" s="1">
        <v>2500</v>
      </c>
      <c r="C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129"/>
  <sheetViews>
    <sheetView tabSelected="1" topLeftCell="A3" zoomScale="75" zoomScaleNormal="55" workbookViewId="0">
      <pane xSplit="1" topLeftCell="M1" activePane="topRight" state="frozen"/>
      <selection pane="topRight" activeCell="X18" sqref="X18"/>
    </sheetView>
  </sheetViews>
  <sheetFormatPr baseColWidth="10" defaultColWidth="12.33203125" defaultRowHeight="16" x14ac:dyDescent="0.2"/>
  <cols>
    <col min="1" max="1" width="63.33203125" style="11" customWidth="1"/>
    <col min="2" max="2" width="8.6640625" style="12" customWidth="1"/>
    <col min="3" max="3" width="14.83203125" style="75" customWidth="1"/>
    <col min="4" max="4" width="12.33203125" style="55" customWidth="1"/>
    <col min="5" max="5" width="12.33203125" style="13" customWidth="1"/>
    <col min="6" max="140" width="12.33203125" style="12" customWidth="1"/>
    <col min="141" max="141" width="12.33203125" style="11" customWidth="1"/>
    <col min="142" max="16384" width="12.33203125" style="11"/>
  </cols>
  <sheetData>
    <row r="1" spans="1:140" x14ac:dyDescent="0.2">
      <c r="A1" s="104" t="s">
        <v>16</v>
      </c>
      <c r="B1" s="67" t="s">
        <v>17</v>
      </c>
      <c r="C1" s="74"/>
      <c r="D1" s="67"/>
      <c r="E1" s="105"/>
      <c r="F1" s="67"/>
      <c r="G1" s="67"/>
      <c r="H1" s="67"/>
      <c r="I1" s="54"/>
      <c r="J1" s="67"/>
      <c r="K1" s="67"/>
      <c r="L1" s="54"/>
      <c r="M1" s="67"/>
      <c r="N1" s="67"/>
      <c r="O1" s="54"/>
      <c r="P1" s="67"/>
      <c r="Q1" s="67"/>
      <c r="R1" s="54"/>
      <c r="S1" s="67"/>
      <c r="T1" s="67"/>
      <c r="U1" s="54"/>
      <c r="V1" s="67"/>
      <c r="W1" s="67"/>
      <c r="X1" s="54"/>
      <c r="Y1" s="67"/>
      <c r="Z1" s="67"/>
      <c r="AA1" s="67"/>
      <c r="AB1" s="54"/>
      <c r="AC1" s="67"/>
      <c r="AD1" s="67"/>
      <c r="AE1" s="54"/>
      <c r="AF1" s="67"/>
      <c r="AG1" s="67"/>
      <c r="AH1" s="54"/>
      <c r="AI1" s="67"/>
      <c r="AJ1" s="67"/>
      <c r="AK1" s="54"/>
      <c r="AL1" s="67"/>
      <c r="AM1" s="67"/>
      <c r="AN1" s="54"/>
      <c r="AO1" s="67"/>
      <c r="AP1" s="67"/>
      <c r="AQ1" s="54"/>
      <c r="AR1" s="67"/>
      <c r="AS1" s="67"/>
      <c r="AT1" s="67"/>
      <c r="AU1" s="54"/>
      <c r="AV1" s="67"/>
      <c r="AW1" s="67"/>
      <c r="AX1" s="54"/>
      <c r="AY1" s="67"/>
      <c r="AZ1" s="67"/>
      <c r="BA1" s="54"/>
      <c r="BB1" s="67"/>
      <c r="BC1" s="67"/>
      <c r="BD1" s="54"/>
      <c r="BE1" s="67"/>
      <c r="BF1" s="67"/>
      <c r="BG1" s="54"/>
      <c r="BH1" s="67"/>
      <c r="BI1" s="67"/>
      <c r="BJ1" s="54"/>
      <c r="BK1" s="67"/>
      <c r="BL1" s="67"/>
      <c r="BM1" s="67"/>
      <c r="BN1" s="54"/>
      <c r="BO1" s="67"/>
      <c r="BP1" s="67"/>
      <c r="BQ1" s="54"/>
      <c r="BR1" s="67"/>
      <c r="BS1" s="67"/>
      <c r="BT1" s="54"/>
      <c r="BU1" s="67"/>
      <c r="BV1" s="67"/>
      <c r="BW1" s="54"/>
      <c r="BX1" s="67"/>
      <c r="BY1" s="67"/>
      <c r="BZ1" s="54"/>
      <c r="CA1" s="67"/>
      <c r="CB1" s="67"/>
      <c r="CC1" s="54"/>
      <c r="CD1" s="67"/>
      <c r="CE1" s="67"/>
      <c r="CF1" s="67"/>
      <c r="CG1" s="54"/>
      <c r="CH1" s="67"/>
      <c r="CI1" s="67"/>
      <c r="CJ1" s="54"/>
      <c r="CK1" s="67"/>
      <c r="CL1" s="67"/>
      <c r="CM1" s="54"/>
      <c r="CN1" s="67"/>
      <c r="CO1" s="67"/>
      <c r="CP1" s="54"/>
      <c r="CQ1" s="67"/>
      <c r="CR1" s="67"/>
      <c r="CS1" s="54"/>
      <c r="CT1" s="67"/>
      <c r="CU1" s="67"/>
      <c r="CV1" s="54"/>
      <c r="CW1" s="67"/>
      <c r="CX1" s="67"/>
      <c r="CY1" s="67"/>
      <c r="CZ1" s="54"/>
      <c r="DA1" s="67"/>
      <c r="DB1" s="67"/>
      <c r="DC1" s="54"/>
      <c r="DD1" s="67"/>
      <c r="DE1" s="67"/>
      <c r="DF1" s="54"/>
      <c r="DG1" s="67"/>
      <c r="DH1" s="67"/>
      <c r="DI1" s="54"/>
      <c r="DJ1" s="67"/>
      <c r="DK1" s="67"/>
      <c r="DL1" s="54"/>
      <c r="DM1" s="67"/>
      <c r="DN1" s="67"/>
      <c r="DO1" s="54"/>
      <c r="DP1" s="67"/>
      <c r="DQ1" s="67"/>
      <c r="DR1" s="67"/>
      <c r="DS1" s="54"/>
      <c r="DT1" s="67"/>
      <c r="DU1" s="67"/>
      <c r="DV1" s="54"/>
      <c r="DW1" s="67"/>
      <c r="DX1" s="67"/>
      <c r="DY1" s="54"/>
      <c r="DZ1" s="67"/>
      <c r="EA1" s="67"/>
      <c r="EB1" s="54"/>
      <c r="EC1" s="67"/>
      <c r="ED1" s="67"/>
      <c r="EE1" s="54"/>
      <c r="EF1" s="67"/>
      <c r="EG1" s="67"/>
      <c r="EH1" s="54"/>
      <c r="EI1" s="67"/>
      <c r="EJ1" s="67"/>
    </row>
    <row r="2" spans="1:140" x14ac:dyDescent="0.2">
      <c r="A2" s="106" t="s">
        <v>18</v>
      </c>
      <c r="B2" s="55"/>
      <c r="E2" s="107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</row>
    <row r="3" spans="1:140" s="6" customFormat="1" x14ac:dyDescent="0.2">
      <c r="A3" s="104" t="s">
        <v>19</v>
      </c>
      <c r="B3" s="63"/>
      <c r="C3" s="76">
        <v>0</v>
      </c>
      <c r="D3" s="56">
        <v>1</v>
      </c>
      <c r="E3" s="108">
        <v>2</v>
      </c>
      <c r="F3" s="56">
        <v>3</v>
      </c>
      <c r="G3" s="56">
        <v>4</v>
      </c>
      <c r="H3" s="56">
        <v>5</v>
      </c>
      <c r="I3" s="56">
        <v>6</v>
      </c>
      <c r="J3" s="56">
        <v>7</v>
      </c>
      <c r="K3" s="56">
        <v>8</v>
      </c>
      <c r="L3" s="56">
        <v>9</v>
      </c>
      <c r="M3" s="56">
        <v>10</v>
      </c>
      <c r="N3" s="56">
        <v>11</v>
      </c>
      <c r="O3" s="56">
        <v>12</v>
      </c>
      <c r="P3" s="56">
        <v>13</v>
      </c>
      <c r="Q3" s="56">
        <v>14</v>
      </c>
      <c r="R3" s="56">
        <v>15</v>
      </c>
      <c r="S3" s="56">
        <v>16</v>
      </c>
      <c r="T3" s="56">
        <v>17</v>
      </c>
      <c r="U3" s="56">
        <v>18</v>
      </c>
      <c r="V3" s="56">
        <v>19</v>
      </c>
      <c r="W3" s="56">
        <v>20</v>
      </c>
      <c r="X3" s="56">
        <v>21</v>
      </c>
      <c r="Y3" s="56">
        <v>22</v>
      </c>
      <c r="Z3" s="56">
        <v>23</v>
      </c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</row>
    <row r="4" spans="1:140" s="6" customFormat="1" x14ac:dyDescent="0.2">
      <c r="A4" s="104" t="s">
        <v>20</v>
      </c>
      <c r="B4" s="63"/>
      <c r="C4" s="77" t="s">
        <v>21</v>
      </c>
      <c r="D4" s="57" t="s">
        <v>21</v>
      </c>
      <c r="E4" s="109" t="s">
        <v>21</v>
      </c>
      <c r="F4" s="57" t="s">
        <v>21</v>
      </c>
      <c r="G4" s="57" t="s">
        <v>21</v>
      </c>
      <c r="H4" s="57" t="s">
        <v>21</v>
      </c>
      <c r="I4" s="57" t="s">
        <v>21</v>
      </c>
      <c r="J4" s="57" t="s">
        <v>21</v>
      </c>
      <c r="K4" s="57" t="s">
        <v>21</v>
      </c>
      <c r="L4" s="57" t="s">
        <v>21</v>
      </c>
      <c r="M4" s="57" t="s">
        <v>21</v>
      </c>
      <c r="N4" s="57" t="s">
        <v>21</v>
      </c>
      <c r="O4" s="57" t="s">
        <v>22</v>
      </c>
      <c r="P4" s="57" t="s">
        <v>22</v>
      </c>
      <c r="Q4" s="57" t="s">
        <v>22</v>
      </c>
      <c r="R4" s="57" t="s">
        <v>22</v>
      </c>
      <c r="S4" s="57" t="s">
        <v>22</v>
      </c>
      <c r="T4" s="57" t="s">
        <v>22</v>
      </c>
      <c r="U4" s="57" t="s">
        <v>22</v>
      </c>
      <c r="V4" s="57" t="s">
        <v>22</v>
      </c>
      <c r="W4" s="57" t="s">
        <v>22</v>
      </c>
      <c r="X4" s="57" t="s">
        <v>22</v>
      </c>
      <c r="Y4" s="57" t="s">
        <v>22</v>
      </c>
      <c r="Z4" s="57" t="s">
        <v>22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  <c r="DZ4" s="57"/>
      <c r="EA4" s="57"/>
      <c r="EB4" s="57"/>
      <c r="EC4" s="57"/>
      <c r="ED4" s="57"/>
      <c r="EE4" s="57"/>
      <c r="EF4" s="57"/>
      <c r="EG4" s="57"/>
      <c r="EH4" s="57"/>
      <c r="EI4" s="57"/>
      <c r="EJ4" s="57"/>
    </row>
    <row r="5" spans="1:140" ht="16" customHeight="1" thickBot="1" x14ac:dyDescent="0.25">
      <c r="A5" s="110" t="s">
        <v>23</v>
      </c>
      <c r="B5" s="111"/>
      <c r="E5" s="107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</row>
    <row r="6" spans="1:140" s="72" customFormat="1" x14ac:dyDescent="0.2">
      <c r="A6" s="101" t="s">
        <v>24</v>
      </c>
      <c r="B6" s="115"/>
      <c r="C6" s="101" t="s">
        <v>10</v>
      </c>
      <c r="D6" s="101" t="s">
        <v>10</v>
      </c>
      <c r="E6" s="101" t="s">
        <v>10</v>
      </c>
      <c r="F6" s="101" t="s">
        <v>10</v>
      </c>
      <c r="G6" s="101" t="s">
        <v>10</v>
      </c>
      <c r="H6" s="101" t="s">
        <v>10</v>
      </c>
      <c r="I6" s="101" t="s">
        <v>10</v>
      </c>
      <c r="J6" s="101" t="s">
        <v>10</v>
      </c>
      <c r="K6" s="101" t="s">
        <v>10</v>
      </c>
      <c r="L6" s="101" t="s">
        <v>10</v>
      </c>
      <c r="M6" s="101" t="s">
        <v>10</v>
      </c>
      <c r="N6" s="101" t="s">
        <v>10</v>
      </c>
      <c r="O6" s="101" t="s">
        <v>10</v>
      </c>
      <c r="P6" s="101" t="s">
        <v>10</v>
      </c>
      <c r="Q6" s="101" t="s">
        <v>10</v>
      </c>
      <c r="R6" s="101" t="s">
        <v>10</v>
      </c>
      <c r="S6" s="101" t="s">
        <v>10</v>
      </c>
      <c r="T6" s="101" t="s">
        <v>10</v>
      </c>
      <c r="U6" s="101" t="s">
        <v>10</v>
      </c>
      <c r="V6" s="101" t="s">
        <v>10</v>
      </c>
      <c r="W6" s="101" t="s">
        <v>10</v>
      </c>
      <c r="X6" s="101" t="s">
        <v>10</v>
      </c>
      <c r="Y6" s="101" t="s">
        <v>10</v>
      </c>
      <c r="Z6" s="101" t="s">
        <v>10</v>
      </c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  <c r="DK6" s="101"/>
      <c r="DL6" s="101"/>
      <c r="DM6" s="101"/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01"/>
      <c r="EE6" s="101"/>
      <c r="EF6" s="101"/>
      <c r="EG6" s="101"/>
      <c r="EH6" s="101"/>
      <c r="EI6" s="101"/>
      <c r="EJ6" s="101"/>
    </row>
    <row r="7" spans="1:140" s="70" customFormat="1" x14ac:dyDescent="0.2">
      <c r="A7" s="101" t="s">
        <v>25</v>
      </c>
      <c r="B7" s="116"/>
      <c r="C7" s="101" t="s">
        <v>4</v>
      </c>
      <c r="D7" s="101" t="s">
        <v>4</v>
      </c>
      <c r="E7" s="101" t="s">
        <v>4</v>
      </c>
      <c r="F7" s="101" t="s">
        <v>4</v>
      </c>
      <c r="G7" s="101" t="s">
        <v>4</v>
      </c>
      <c r="H7" s="101" t="s">
        <v>4</v>
      </c>
      <c r="I7" s="101" t="s">
        <v>4</v>
      </c>
      <c r="J7" s="101" t="s">
        <v>4</v>
      </c>
      <c r="K7" s="101" t="s">
        <v>4</v>
      </c>
      <c r="L7" s="101" t="s">
        <v>4</v>
      </c>
      <c r="M7" s="101" t="s">
        <v>4</v>
      </c>
      <c r="N7" s="101" t="s">
        <v>4</v>
      </c>
      <c r="O7" s="101" t="s">
        <v>4</v>
      </c>
      <c r="P7" s="101" t="s">
        <v>4</v>
      </c>
      <c r="Q7" s="101" t="s">
        <v>4</v>
      </c>
      <c r="R7" s="101" t="s">
        <v>4</v>
      </c>
      <c r="S7" s="101" t="s">
        <v>4</v>
      </c>
      <c r="T7" s="101" t="s">
        <v>4</v>
      </c>
      <c r="U7" s="101" t="s">
        <v>4</v>
      </c>
      <c r="V7" s="101" t="s">
        <v>4</v>
      </c>
      <c r="W7" s="101" t="s">
        <v>4</v>
      </c>
      <c r="X7" s="101" t="s">
        <v>4</v>
      </c>
      <c r="Y7" s="101" t="s">
        <v>4</v>
      </c>
      <c r="Z7" s="101" t="s">
        <v>4</v>
      </c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  <c r="CW7" s="101"/>
      <c r="CX7" s="101"/>
      <c r="CY7" s="101"/>
      <c r="CZ7" s="101"/>
      <c r="DA7" s="101"/>
      <c r="DB7" s="101"/>
      <c r="DC7" s="101"/>
      <c r="DD7" s="101"/>
      <c r="DE7" s="101"/>
      <c r="DF7" s="101"/>
      <c r="DG7" s="101"/>
      <c r="DH7" s="101"/>
      <c r="DI7" s="101"/>
      <c r="DJ7" s="101"/>
      <c r="DK7" s="101"/>
      <c r="DL7" s="101"/>
      <c r="DM7" s="101"/>
      <c r="DN7" s="101"/>
      <c r="DO7" s="101"/>
      <c r="DP7" s="101"/>
      <c r="DQ7" s="101"/>
      <c r="DR7" s="101"/>
      <c r="DS7" s="101"/>
      <c r="DT7" s="101"/>
      <c r="DU7" s="101"/>
      <c r="DV7" s="101"/>
      <c r="DW7" s="101"/>
      <c r="DX7" s="101"/>
      <c r="DY7" s="101"/>
      <c r="DZ7" s="101"/>
      <c r="EA7" s="101"/>
      <c r="EB7" s="101"/>
      <c r="EC7" s="101"/>
      <c r="ED7" s="101"/>
      <c r="EE7" s="101"/>
      <c r="EF7" s="101"/>
      <c r="EG7" s="101"/>
      <c r="EH7" s="101"/>
      <c r="EI7" s="101"/>
      <c r="EJ7" s="101"/>
    </row>
    <row r="8" spans="1:140" s="70" customFormat="1" x14ac:dyDescent="0.2">
      <c r="A8" s="101" t="s">
        <v>26</v>
      </c>
      <c r="B8" s="116"/>
      <c r="C8" s="101" t="s">
        <v>13</v>
      </c>
      <c r="D8" s="101" t="s">
        <v>13</v>
      </c>
      <c r="E8" s="101" t="s">
        <v>13</v>
      </c>
      <c r="F8" s="101" t="s">
        <v>13</v>
      </c>
      <c r="G8" s="101" t="s">
        <v>13</v>
      </c>
      <c r="H8" s="101" t="s">
        <v>13</v>
      </c>
      <c r="I8" s="101" t="s">
        <v>13</v>
      </c>
      <c r="J8" s="101" t="s">
        <v>13</v>
      </c>
      <c r="K8" s="101" t="s">
        <v>13</v>
      </c>
      <c r="L8" s="101" t="s">
        <v>13</v>
      </c>
      <c r="M8" s="101" t="s">
        <v>13</v>
      </c>
      <c r="N8" s="101" t="s">
        <v>13</v>
      </c>
      <c r="O8" s="101" t="s">
        <v>13</v>
      </c>
      <c r="P8" s="101" t="s">
        <v>13</v>
      </c>
      <c r="Q8" s="101" t="s">
        <v>13</v>
      </c>
      <c r="R8" s="101" t="s">
        <v>13</v>
      </c>
      <c r="S8" s="101" t="s">
        <v>13</v>
      </c>
      <c r="T8" s="101" t="s">
        <v>13</v>
      </c>
      <c r="U8" s="101" t="s">
        <v>13</v>
      </c>
      <c r="V8" s="101" t="s">
        <v>13</v>
      </c>
      <c r="W8" s="101" t="s">
        <v>13</v>
      </c>
      <c r="X8" s="101" t="s">
        <v>13</v>
      </c>
      <c r="Y8" s="101" t="s">
        <v>13</v>
      </c>
      <c r="Z8" s="101" t="s">
        <v>13</v>
      </c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1"/>
      <c r="DA8" s="101"/>
      <c r="DB8" s="101"/>
      <c r="DC8" s="101"/>
      <c r="DD8" s="101"/>
      <c r="DE8" s="101"/>
      <c r="DF8" s="101"/>
      <c r="DG8" s="101"/>
      <c r="DH8" s="101"/>
      <c r="DI8" s="101"/>
      <c r="DJ8" s="101"/>
      <c r="DK8" s="101"/>
      <c r="DL8" s="101"/>
      <c r="DM8" s="101"/>
      <c r="DN8" s="101"/>
      <c r="DO8" s="101"/>
      <c r="DP8" s="101"/>
      <c r="DQ8" s="101"/>
      <c r="DR8" s="101"/>
      <c r="DS8" s="101"/>
      <c r="DT8" s="101"/>
      <c r="DU8" s="101"/>
      <c r="DV8" s="101"/>
      <c r="DW8" s="101"/>
      <c r="DX8" s="101"/>
      <c r="DY8" s="101"/>
      <c r="DZ8" s="101"/>
      <c r="EA8" s="101"/>
      <c r="EB8" s="101"/>
      <c r="EC8" s="101"/>
      <c r="ED8" s="101"/>
      <c r="EE8" s="101"/>
      <c r="EF8" s="101"/>
      <c r="EG8" s="101"/>
      <c r="EH8" s="101"/>
      <c r="EI8" s="101"/>
      <c r="EJ8" s="101"/>
    </row>
    <row r="9" spans="1:140" s="70" customFormat="1" x14ac:dyDescent="0.2">
      <c r="A9" s="101" t="s">
        <v>27</v>
      </c>
      <c r="B9" s="116"/>
      <c r="C9" s="101" t="s">
        <v>15</v>
      </c>
      <c r="D9" s="101" t="s">
        <v>15</v>
      </c>
      <c r="E9" s="101" t="s">
        <v>15</v>
      </c>
      <c r="F9" s="101" t="s">
        <v>15</v>
      </c>
      <c r="G9" s="101" t="s">
        <v>15</v>
      </c>
      <c r="H9" s="101" t="s">
        <v>15</v>
      </c>
      <c r="I9" s="101" t="s">
        <v>15</v>
      </c>
      <c r="J9" s="101" t="s">
        <v>15</v>
      </c>
      <c r="K9" s="101" t="s">
        <v>15</v>
      </c>
      <c r="L9" s="101" t="s">
        <v>15</v>
      </c>
      <c r="M9" s="101" t="s">
        <v>15</v>
      </c>
      <c r="N9" s="101" t="s">
        <v>15</v>
      </c>
      <c r="O9" s="101" t="s">
        <v>15</v>
      </c>
      <c r="P9" s="101" t="s">
        <v>15</v>
      </c>
      <c r="Q9" s="101" t="s">
        <v>15</v>
      </c>
      <c r="R9" s="101" t="s">
        <v>15</v>
      </c>
      <c r="S9" s="101" t="s">
        <v>15</v>
      </c>
      <c r="T9" s="101" t="s">
        <v>15</v>
      </c>
      <c r="U9" s="101" t="s">
        <v>15</v>
      </c>
      <c r="V9" s="101" t="s">
        <v>15</v>
      </c>
      <c r="W9" s="101" t="s">
        <v>15</v>
      </c>
      <c r="X9" s="101" t="s">
        <v>15</v>
      </c>
      <c r="Y9" s="101" t="s">
        <v>15</v>
      </c>
      <c r="Z9" s="101" t="s">
        <v>15</v>
      </c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CY9" s="101"/>
      <c r="CZ9" s="101"/>
      <c r="DA9" s="101"/>
      <c r="DB9" s="101"/>
      <c r="DC9" s="101"/>
      <c r="DD9" s="101"/>
      <c r="DE9" s="101"/>
      <c r="DF9" s="101"/>
      <c r="DG9" s="101"/>
      <c r="DH9" s="101"/>
      <c r="DI9" s="101"/>
      <c r="DJ9" s="101"/>
      <c r="DK9" s="101"/>
      <c r="DL9" s="101"/>
      <c r="DM9" s="101"/>
      <c r="DN9" s="101"/>
      <c r="DO9" s="101"/>
      <c r="DP9" s="101"/>
      <c r="DQ9" s="101"/>
      <c r="DR9" s="101"/>
      <c r="DS9" s="101"/>
      <c r="DT9" s="101"/>
      <c r="DU9" s="101"/>
      <c r="DV9" s="101"/>
      <c r="DW9" s="101"/>
      <c r="DX9" s="101"/>
      <c r="DY9" s="101"/>
      <c r="DZ9" s="101"/>
      <c r="EA9" s="101"/>
      <c r="EB9" s="101"/>
      <c r="EC9" s="101"/>
      <c r="ED9" s="101"/>
      <c r="EE9" s="101"/>
      <c r="EF9" s="101"/>
      <c r="EG9" s="101"/>
      <c r="EH9" s="101"/>
      <c r="EI9" s="101"/>
      <c r="EJ9" s="101"/>
    </row>
    <row r="10" spans="1:140" s="71" customFormat="1" x14ac:dyDescent="0.2">
      <c r="A10" s="102" t="s">
        <v>28</v>
      </c>
      <c r="B10" s="116"/>
      <c r="C10" s="101">
        <v>4.4189999999999996</v>
      </c>
      <c r="D10" s="101">
        <v>4.4960000000000004</v>
      </c>
      <c r="E10" s="101">
        <v>3.806</v>
      </c>
      <c r="F10" s="101">
        <v>4.383</v>
      </c>
      <c r="G10" s="101">
        <v>4.7809999999999997</v>
      </c>
      <c r="H10" s="101">
        <v>4.0140000000000002</v>
      </c>
      <c r="I10" s="101">
        <v>5.0019999999999998</v>
      </c>
      <c r="J10" s="101">
        <v>5.0890000000000004</v>
      </c>
      <c r="K10" s="101">
        <v>5.1589999999999998</v>
      </c>
      <c r="L10" s="101">
        <v>5.133</v>
      </c>
      <c r="M10" s="101">
        <v>3.6230000000000002</v>
      </c>
      <c r="N10" s="101">
        <v>3.9769999999999999</v>
      </c>
      <c r="O10" s="101">
        <v>4.8840000000000003</v>
      </c>
      <c r="P10" s="101">
        <v>3.867</v>
      </c>
      <c r="Q10" s="101">
        <v>3.8730000000000002</v>
      </c>
      <c r="R10" s="101">
        <v>4.1619999999999999</v>
      </c>
      <c r="S10" s="101">
        <v>4.2220000000000004</v>
      </c>
      <c r="T10" s="101">
        <v>4.3230000000000004</v>
      </c>
      <c r="U10" s="101">
        <v>3.5790000000000002</v>
      </c>
      <c r="V10" s="101">
        <v>4.8739999999999997</v>
      </c>
      <c r="W10" s="101">
        <v>4.1609999999999996</v>
      </c>
      <c r="X10" s="101">
        <v>4.867</v>
      </c>
      <c r="Y10" s="101">
        <v>4.2210000000000001</v>
      </c>
      <c r="Z10" s="101">
        <v>4.8810000000000002</v>
      </c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1"/>
      <c r="DA10" s="101"/>
      <c r="DB10" s="101"/>
      <c r="DC10" s="101"/>
      <c r="DD10" s="101"/>
      <c r="DE10" s="101"/>
      <c r="DF10" s="101"/>
      <c r="DG10" s="101"/>
      <c r="DH10" s="101"/>
      <c r="DI10" s="101"/>
      <c r="DJ10" s="101"/>
      <c r="DK10" s="101"/>
      <c r="DL10" s="101"/>
      <c r="DM10" s="101"/>
      <c r="DN10" s="101"/>
      <c r="DO10" s="101"/>
      <c r="DP10" s="101"/>
      <c r="DQ10" s="101"/>
      <c r="DR10" s="101"/>
      <c r="DS10" s="101"/>
      <c r="DT10" s="101"/>
      <c r="DU10" s="101"/>
      <c r="DV10" s="101"/>
      <c r="DW10" s="101"/>
      <c r="DX10" s="101"/>
      <c r="DY10" s="101"/>
      <c r="DZ10" s="101"/>
      <c r="EA10" s="101"/>
      <c r="EB10" s="101"/>
      <c r="EC10" s="101"/>
      <c r="ED10" s="101"/>
      <c r="EE10" s="101"/>
      <c r="EF10" s="101"/>
      <c r="EG10" s="101"/>
      <c r="EH10" s="101"/>
      <c r="EI10" s="101"/>
      <c r="EJ10" s="101"/>
    </row>
    <row r="11" spans="1:140" s="71" customFormat="1" x14ac:dyDescent="0.2">
      <c r="A11" s="102" t="s">
        <v>29</v>
      </c>
      <c r="B11" s="116"/>
      <c r="C11" s="101">
        <v>79.117999999999995</v>
      </c>
      <c r="D11" s="101">
        <v>78.795000000000002</v>
      </c>
      <c r="E11" s="101">
        <v>63.661000000000001</v>
      </c>
      <c r="F11" s="101">
        <v>73.11</v>
      </c>
      <c r="G11" s="101">
        <v>87.725999999999999</v>
      </c>
      <c r="H11" s="101">
        <v>60.442</v>
      </c>
      <c r="I11" s="101">
        <v>86.260999999999996</v>
      </c>
      <c r="J11" s="101">
        <v>81.918000000000006</v>
      </c>
      <c r="K11" s="101">
        <v>77.988</v>
      </c>
      <c r="L11" s="101">
        <v>72.7</v>
      </c>
      <c r="M11" s="101">
        <v>33.228999999999999</v>
      </c>
      <c r="N11" s="101">
        <v>34.186</v>
      </c>
      <c r="O11" s="101">
        <v>46.973999999999997</v>
      </c>
      <c r="P11" s="101">
        <v>23.939</v>
      </c>
      <c r="Q11" s="101">
        <v>22.94</v>
      </c>
      <c r="R11" s="101">
        <v>24.606000000000002</v>
      </c>
      <c r="S11" s="101">
        <v>22.649000000000001</v>
      </c>
      <c r="T11" s="101">
        <v>37.048000000000002</v>
      </c>
      <c r="U11" s="101">
        <v>37.56</v>
      </c>
      <c r="V11" s="101">
        <v>24.606000000000002</v>
      </c>
      <c r="W11" s="101">
        <v>37.247</v>
      </c>
      <c r="X11" s="101">
        <v>37.084000000000003</v>
      </c>
      <c r="Y11" s="101">
        <v>22.757999999999999</v>
      </c>
      <c r="Z11" s="101">
        <v>24.606000000000002</v>
      </c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1"/>
      <c r="DA11" s="101"/>
      <c r="DB11" s="101"/>
      <c r="DC11" s="101"/>
      <c r="DD11" s="101"/>
      <c r="DE11" s="101"/>
      <c r="DF11" s="101"/>
      <c r="DG11" s="101"/>
      <c r="DH11" s="101"/>
      <c r="DI11" s="101"/>
      <c r="DJ11" s="101"/>
      <c r="DK11" s="101"/>
      <c r="DL11" s="101"/>
      <c r="DM11" s="101"/>
      <c r="DN11" s="101"/>
      <c r="DO11" s="101"/>
      <c r="DP11" s="101"/>
      <c r="DQ11" s="101"/>
      <c r="DR11" s="101"/>
      <c r="DS11" s="101"/>
      <c r="DT11" s="101"/>
      <c r="DU11" s="101"/>
      <c r="DV11" s="101"/>
      <c r="DW11" s="101"/>
      <c r="DX11" s="101"/>
      <c r="DY11" s="101"/>
      <c r="DZ11" s="101"/>
      <c r="EA11" s="101"/>
      <c r="EB11" s="101"/>
      <c r="EC11" s="101"/>
      <c r="ED11" s="101"/>
      <c r="EE11" s="101"/>
      <c r="EF11" s="101"/>
      <c r="EG11" s="101"/>
      <c r="EH11" s="101"/>
      <c r="EI11" s="101"/>
      <c r="EJ11" s="101"/>
    </row>
    <row r="12" spans="1:140" s="71" customFormat="1" x14ac:dyDescent="0.2">
      <c r="A12" s="102" t="s">
        <v>30</v>
      </c>
      <c r="B12" s="116"/>
      <c r="C12" s="101">
        <v>21.922000000000001</v>
      </c>
      <c r="D12" s="101">
        <v>24.888000000000002</v>
      </c>
      <c r="E12" s="101">
        <v>36.576999999999998</v>
      </c>
      <c r="F12" s="101">
        <v>25.324000000000002</v>
      </c>
      <c r="G12" s="101">
        <v>37.667000000000002</v>
      </c>
      <c r="H12" s="101">
        <v>27.408999999999999</v>
      </c>
      <c r="I12" s="101">
        <v>34.957999999999998</v>
      </c>
      <c r="J12" s="101">
        <v>31.975000000000001</v>
      </c>
      <c r="K12" s="101">
        <v>27.19</v>
      </c>
      <c r="L12" s="101">
        <v>33.417000000000002</v>
      </c>
      <c r="M12" s="101">
        <v>33.200000000000003</v>
      </c>
      <c r="N12" s="101">
        <v>36.860999999999997</v>
      </c>
      <c r="O12" s="101">
        <v>19.257999999999999</v>
      </c>
      <c r="P12" s="101">
        <v>1.4730000000000001</v>
      </c>
      <c r="Q12" s="101">
        <v>50.17</v>
      </c>
      <c r="R12" s="101">
        <v>49.746000000000002</v>
      </c>
      <c r="S12" s="101">
        <v>1.008</v>
      </c>
      <c r="T12" s="101">
        <v>0.52700000000000002</v>
      </c>
      <c r="U12" s="101">
        <v>0.91400000000000003</v>
      </c>
      <c r="V12" s="101">
        <v>49.411999999999999</v>
      </c>
      <c r="W12" s="101">
        <v>0.48799999999999999</v>
      </c>
      <c r="X12" s="101">
        <v>19.257999999999999</v>
      </c>
      <c r="Y12" s="101">
        <v>1.008</v>
      </c>
      <c r="Z12" s="101">
        <v>49.411999999999999</v>
      </c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1"/>
      <c r="DA12" s="101"/>
      <c r="DB12" s="101"/>
      <c r="DC12" s="101"/>
      <c r="DD12" s="101"/>
      <c r="DE12" s="101"/>
      <c r="DF12" s="101"/>
      <c r="DG12" s="101"/>
      <c r="DH12" s="101"/>
      <c r="DI12" s="101"/>
      <c r="DJ12" s="101"/>
      <c r="DK12" s="101"/>
      <c r="DL12" s="101"/>
      <c r="DM12" s="101"/>
      <c r="DN12" s="101"/>
      <c r="DO12" s="101"/>
      <c r="DP12" s="101"/>
      <c r="DQ12" s="101"/>
      <c r="DR12" s="101"/>
      <c r="DS12" s="101"/>
      <c r="DT12" s="101"/>
      <c r="DU12" s="101"/>
      <c r="DV12" s="101"/>
      <c r="DW12" s="101"/>
      <c r="DX12" s="101"/>
      <c r="DY12" s="101"/>
      <c r="DZ12" s="101"/>
      <c r="EA12" s="101"/>
      <c r="EB12" s="101"/>
      <c r="EC12" s="101"/>
      <c r="ED12" s="101"/>
      <c r="EE12" s="101"/>
      <c r="EF12" s="101"/>
      <c r="EG12" s="101"/>
      <c r="EH12" s="101"/>
      <c r="EI12" s="101"/>
      <c r="EJ12" s="101"/>
    </row>
    <row r="13" spans="1:140" s="71" customFormat="1" x14ac:dyDescent="0.2">
      <c r="A13" s="112" t="s">
        <v>31</v>
      </c>
      <c r="B13" s="117"/>
      <c r="C13" s="101">
        <v>6.0910000000000002</v>
      </c>
      <c r="D13" s="101">
        <v>6.8959999999999999</v>
      </c>
      <c r="E13" s="101">
        <v>4.9400000000000004</v>
      </c>
      <c r="F13" s="101">
        <v>7.4109999999999996</v>
      </c>
      <c r="G13" s="101">
        <v>8.1969999999999992</v>
      </c>
      <c r="H13" s="101">
        <v>7.782</v>
      </c>
      <c r="I13" s="101">
        <v>6.5439999999999996</v>
      </c>
      <c r="J13" s="101">
        <v>6.6630000000000003</v>
      </c>
      <c r="K13" s="101">
        <v>7.9359999999999999</v>
      </c>
      <c r="L13" s="101">
        <v>7.7130000000000001</v>
      </c>
      <c r="M13" s="101">
        <v>7.1130000000000004</v>
      </c>
      <c r="N13" s="101">
        <v>7.0350000000000001</v>
      </c>
      <c r="O13" s="101">
        <v>8.5860000000000003</v>
      </c>
      <c r="P13" s="101">
        <v>36.323</v>
      </c>
      <c r="Q13" s="101">
        <v>31.713999999999999</v>
      </c>
      <c r="R13" s="101">
        <v>10.686</v>
      </c>
      <c r="S13" s="101">
        <v>10.127000000000001</v>
      </c>
      <c r="T13" s="101">
        <v>3.887</v>
      </c>
      <c r="U13" s="101">
        <v>8.4619999999999997</v>
      </c>
      <c r="V13" s="101">
        <v>8.6159999999999997</v>
      </c>
      <c r="W13" s="101">
        <v>10.569000000000001</v>
      </c>
      <c r="X13" s="101">
        <v>8.5860000000000003</v>
      </c>
      <c r="Y13" s="101">
        <v>8.3960000000000008</v>
      </c>
      <c r="Z13" s="101">
        <v>10.698</v>
      </c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K13" s="101"/>
      <c r="CL13" s="101"/>
      <c r="CM13" s="101"/>
      <c r="CN13" s="101"/>
      <c r="CO13" s="101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1"/>
      <c r="DA13" s="101"/>
      <c r="DB13" s="101"/>
      <c r="DC13" s="101"/>
      <c r="DD13" s="101"/>
      <c r="DE13" s="101"/>
      <c r="DF13" s="101"/>
      <c r="DG13" s="101"/>
      <c r="DH13" s="101"/>
      <c r="DI13" s="101"/>
      <c r="DJ13" s="101"/>
      <c r="DK13" s="101"/>
      <c r="DL13" s="101"/>
      <c r="DM13" s="101"/>
      <c r="DN13" s="101"/>
      <c r="DO13" s="101"/>
      <c r="DP13" s="101"/>
      <c r="DQ13" s="101"/>
      <c r="DR13" s="101"/>
      <c r="DS13" s="101"/>
      <c r="DT13" s="101"/>
      <c r="DU13" s="101"/>
      <c r="DV13" s="101"/>
      <c r="DW13" s="101"/>
      <c r="DX13" s="101"/>
      <c r="DY13" s="101"/>
      <c r="DZ13" s="101"/>
      <c r="EA13" s="101"/>
      <c r="EB13" s="101"/>
      <c r="EC13" s="101"/>
      <c r="ED13" s="101"/>
      <c r="EE13" s="101"/>
      <c r="EF13" s="101"/>
      <c r="EG13" s="101"/>
      <c r="EH13" s="101"/>
      <c r="EI13" s="101"/>
      <c r="EJ13" s="101"/>
    </row>
    <row r="14" spans="1:140" s="71" customFormat="1" x14ac:dyDescent="0.2">
      <c r="A14" s="113" t="s">
        <v>32</v>
      </c>
      <c r="B14" s="102" t="s">
        <v>33</v>
      </c>
      <c r="C14" s="102">
        <v>50</v>
      </c>
      <c r="D14" s="102">
        <v>50</v>
      </c>
      <c r="E14" s="102">
        <v>50</v>
      </c>
      <c r="F14" s="102">
        <v>50</v>
      </c>
      <c r="G14" s="102">
        <v>50</v>
      </c>
      <c r="H14" s="102">
        <v>50</v>
      </c>
      <c r="I14" s="102">
        <v>50</v>
      </c>
      <c r="J14" s="102">
        <v>50</v>
      </c>
      <c r="K14" s="102">
        <v>50</v>
      </c>
      <c r="L14" s="102">
        <v>50</v>
      </c>
      <c r="M14" s="102">
        <v>50</v>
      </c>
      <c r="N14" s="102">
        <v>50</v>
      </c>
      <c r="O14" s="102">
        <v>50</v>
      </c>
      <c r="P14" s="102">
        <v>50</v>
      </c>
      <c r="Q14" s="102">
        <v>50</v>
      </c>
      <c r="R14" s="102">
        <v>50</v>
      </c>
      <c r="S14" s="102">
        <v>50</v>
      </c>
      <c r="T14" s="102">
        <v>50</v>
      </c>
      <c r="U14" s="102">
        <v>50</v>
      </c>
      <c r="V14" s="102">
        <v>50</v>
      </c>
      <c r="W14" s="102">
        <v>50</v>
      </c>
      <c r="X14" s="102">
        <v>50</v>
      </c>
      <c r="Y14" s="102">
        <v>50</v>
      </c>
      <c r="Z14" s="102">
        <v>50</v>
      </c>
      <c r="AA14" s="102">
        <v>50</v>
      </c>
      <c r="AB14" s="102">
        <v>50</v>
      </c>
      <c r="AC14" s="102">
        <v>50</v>
      </c>
      <c r="AD14" s="102">
        <v>50</v>
      </c>
      <c r="AE14" s="102">
        <v>50</v>
      </c>
      <c r="AF14" s="102">
        <v>50</v>
      </c>
      <c r="AG14" s="102">
        <v>50</v>
      </c>
      <c r="AH14" s="102">
        <v>50</v>
      </c>
      <c r="AI14" s="102">
        <v>50</v>
      </c>
      <c r="AJ14" s="102">
        <v>50</v>
      </c>
      <c r="AK14" s="102">
        <v>50</v>
      </c>
      <c r="AL14" s="102">
        <v>50</v>
      </c>
      <c r="AM14" s="102">
        <v>50</v>
      </c>
      <c r="AN14" s="102">
        <v>50</v>
      </c>
      <c r="AO14" s="102">
        <v>50</v>
      </c>
      <c r="AP14" s="102">
        <v>50</v>
      </c>
      <c r="AQ14" s="102">
        <v>50</v>
      </c>
      <c r="AR14" s="102">
        <v>50</v>
      </c>
      <c r="AS14" s="102">
        <v>50</v>
      </c>
      <c r="AT14" s="102">
        <v>50</v>
      </c>
      <c r="AU14" s="102">
        <v>50</v>
      </c>
      <c r="AV14" s="102">
        <v>50</v>
      </c>
      <c r="AW14" s="102">
        <v>50</v>
      </c>
      <c r="AX14" s="102">
        <v>50</v>
      </c>
      <c r="AY14" s="102">
        <v>50</v>
      </c>
      <c r="AZ14" s="102">
        <v>50</v>
      </c>
      <c r="BA14" s="102">
        <v>50</v>
      </c>
      <c r="BB14" s="102">
        <v>50</v>
      </c>
      <c r="BC14" s="102">
        <v>50</v>
      </c>
      <c r="BD14" s="102">
        <v>50</v>
      </c>
      <c r="BE14" s="102">
        <v>50</v>
      </c>
      <c r="BF14" s="102">
        <v>50</v>
      </c>
      <c r="BG14" s="102">
        <v>50</v>
      </c>
      <c r="BH14" s="102">
        <v>50</v>
      </c>
      <c r="BI14" s="102">
        <v>50</v>
      </c>
      <c r="BJ14" s="102">
        <v>50</v>
      </c>
      <c r="BK14" s="102">
        <v>50</v>
      </c>
      <c r="BL14" s="102">
        <v>50</v>
      </c>
      <c r="BM14" s="102">
        <v>50</v>
      </c>
      <c r="BN14" s="102">
        <v>50</v>
      </c>
      <c r="BO14" s="102">
        <v>50</v>
      </c>
      <c r="BP14" s="102">
        <v>50</v>
      </c>
      <c r="BQ14" s="102">
        <v>50</v>
      </c>
      <c r="BR14" s="102">
        <v>50</v>
      </c>
      <c r="BS14" s="102">
        <v>50</v>
      </c>
      <c r="BT14" s="102">
        <v>50</v>
      </c>
      <c r="BU14" s="102">
        <v>50</v>
      </c>
      <c r="BV14" s="102">
        <v>50</v>
      </c>
      <c r="BW14" s="102">
        <v>50</v>
      </c>
      <c r="BX14" s="102">
        <v>50</v>
      </c>
      <c r="BY14" s="102">
        <v>50</v>
      </c>
      <c r="BZ14" s="102">
        <v>50</v>
      </c>
      <c r="CA14" s="102">
        <v>50</v>
      </c>
      <c r="CB14" s="102">
        <v>50</v>
      </c>
      <c r="CC14" s="102">
        <v>50</v>
      </c>
      <c r="CD14" s="102">
        <v>50</v>
      </c>
      <c r="CE14" s="102">
        <v>50</v>
      </c>
      <c r="CF14" s="102">
        <v>50</v>
      </c>
      <c r="CG14" s="102">
        <v>50</v>
      </c>
      <c r="CH14" s="102">
        <v>50</v>
      </c>
      <c r="CI14" s="102">
        <v>50</v>
      </c>
      <c r="CJ14" s="102">
        <v>50</v>
      </c>
      <c r="CK14" s="102">
        <v>50</v>
      </c>
      <c r="CL14" s="102">
        <v>50</v>
      </c>
      <c r="CM14" s="102">
        <v>50</v>
      </c>
      <c r="CN14" s="102">
        <v>50</v>
      </c>
      <c r="CO14" s="102">
        <v>50</v>
      </c>
      <c r="CP14" s="102">
        <v>50</v>
      </c>
      <c r="CQ14" s="102">
        <v>50</v>
      </c>
      <c r="CR14" s="102">
        <v>50</v>
      </c>
      <c r="CS14" s="102">
        <v>50</v>
      </c>
      <c r="CT14" s="102">
        <v>50</v>
      </c>
      <c r="CU14" s="102">
        <v>50</v>
      </c>
      <c r="CV14" s="102">
        <v>50</v>
      </c>
      <c r="CW14" s="102">
        <v>50</v>
      </c>
      <c r="CX14" s="102">
        <v>50</v>
      </c>
      <c r="CY14" s="102">
        <v>50</v>
      </c>
      <c r="CZ14" s="102">
        <v>50</v>
      </c>
      <c r="DA14" s="102">
        <v>50</v>
      </c>
      <c r="DB14" s="102">
        <v>50</v>
      </c>
      <c r="DC14" s="102">
        <v>50</v>
      </c>
      <c r="DD14" s="102">
        <v>50</v>
      </c>
      <c r="DE14" s="102">
        <v>50</v>
      </c>
      <c r="DF14" s="102">
        <v>50</v>
      </c>
      <c r="DG14" s="102">
        <v>50</v>
      </c>
      <c r="DH14" s="102">
        <v>50</v>
      </c>
      <c r="DI14" s="102">
        <v>50</v>
      </c>
      <c r="DJ14" s="102">
        <v>50</v>
      </c>
      <c r="DK14" s="102">
        <v>50</v>
      </c>
      <c r="DL14" s="102">
        <v>50</v>
      </c>
      <c r="DM14" s="102">
        <v>50</v>
      </c>
      <c r="DN14" s="102">
        <v>50</v>
      </c>
      <c r="DO14" s="102">
        <v>50</v>
      </c>
      <c r="DP14" s="102">
        <v>50</v>
      </c>
      <c r="DQ14" s="102">
        <v>50</v>
      </c>
      <c r="DR14" s="102">
        <v>50</v>
      </c>
      <c r="DS14" s="102">
        <v>50</v>
      </c>
      <c r="DT14" s="102">
        <v>50</v>
      </c>
      <c r="DU14" s="102">
        <v>50</v>
      </c>
      <c r="DV14" s="102">
        <v>50</v>
      </c>
      <c r="DW14" s="102">
        <v>50</v>
      </c>
      <c r="DX14" s="102">
        <v>50</v>
      </c>
      <c r="DY14" s="102">
        <v>50</v>
      </c>
      <c r="DZ14" s="102">
        <v>50</v>
      </c>
      <c r="EA14" s="102">
        <v>50</v>
      </c>
      <c r="EB14" s="102">
        <v>50</v>
      </c>
      <c r="EC14" s="102">
        <v>50</v>
      </c>
      <c r="ED14" s="102">
        <v>50</v>
      </c>
      <c r="EE14" s="102">
        <v>50</v>
      </c>
      <c r="EF14" s="102">
        <v>50</v>
      </c>
      <c r="EG14" s="102">
        <v>50</v>
      </c>
      <c r="EH14" s="102">
        <v>50</v>
      </c>
      <c r="EI14" s="102">
        <v>50</v>
      </c>
      <c r="EJ14" s="102">
        <v>50</v>
      </c>
    </row>
    <row r="15" spans="1:140" s="8" customFormat="1" ht="16" customHeight="1" thickBot="1" x14ac:dyDescent="0.25">
      <c r="A15" s="114" t="s">
        <v>34</v>
      </c>
      <c r="B15" s="103" t="s">
        <v>35</v>
      </c>
      <c r="C15" s="103">
        <v>100</v>
      </c>
      <c r="D15" s="103">
        <v>100</v>
      </c>
      <c r="E15" s="103">
        <v>100</v>
      </c>
      <c r="F15" s="103">
        <v>100</v>
      </c>
      <c r="G15" s="103">
        <v>100</v>
      </c>
      <c r="H15" s="103">
        <v>100</v>
      </c>
      <c r="I15" s="103">
        <v>100</v>
      </c>
      <c r="J15" s="103">
        <v>100</v>
      </c>
      <c r="K15" s="103">
        <v>100</v>
      </c>
      <c r="L15" s="103">
        <v>100</v>
      </c>
      <c r="M15" s="103">
        <v>100</v>
      </c>
      <c r="N15" s="103">
        <v>100</v>
      </c>
      <c r="O15" s="103">
        <v>100</v>
      </c>
      <c r="P15" s="103">
        <v>100</v>
      </c>
      <c r="Q15" s="103">
        <v>100</v>
      </c>
      <c r="R15" s="103">
        <v>100</v>
      </c>
      <c r="S15" s="103">
        <v>100</v>
      </c>
      <c r="T15" s="103">
        <v>100</v>
      </c>
      <c r="U15" s="103">
        <v>100</v>
      </c>
      <c r="V15" s="103">
        <v>100</v>
      </c>
      <c r="W15" s="103">
        <v>100</v>
      </c>
      <c r="X15" s="103">
        <v>100</v>
      </c>
      <c r="Y15" s="103">
        <v>100</v>
      </c>
      <c r="Z15" s="103">
        <v>100</v>
      </c>
      <c r="AA15" s="103">
        <v>100</v>
      </c>
      <c r="AB15" s="103">
        <v>100</v>
      </c>
      <c r="AC15" s="103">
        <v>100</v>
      </c>
      <c r="AD15" s="103">
        <v>100</v>
      </c>
      <c r="AE15" s="103">
        <v>100</v>
      </c>
      <c r="AF15" s="103">
        <v>100</v>
      </c>
      <c r="AG15" s="103">
        <v>100</v>
      </c>
      <c r="AH15" s="103">
        <v>100</v>
      </c>
      <c r="AI15" s="103">
        <v>100</v>
      </c>
      <c r="AJ15" s="103">
        <v>100</v>
      </c>
      <c r="AK15" s="103">
        <v>100</v>
      </c>
      <c r="AL15" s="103">
        <v>100</v>
      </c>
      <c r="AM15" s="103">
        <v>100</v>
      </c>
      <c r="AN15" s="103">
        <v>100</v>
      </c>
      <c r="AO15" s="103">
        <v>100</v>
      </c>
      <c r="AP15" s="103">
        <v>100</v>
      </c>
      <c r="AQ15" s="103">
        <v>100</v>
      </c>
      <c r="AR15" s="103">
        <v>100</v>
      </c>
      <c r="AS15" s="103">
        <v>100</v>
      </c>
      <c r="AT15" s="103">
        <v>100</v>
      </c>
      <c r="AU15" s="103">
        <v>100</v>
      </c>
      <c r="AV15" s="103">
        <v>100</v>
      </c>
      <c r="AW15" s="103">
        <v>100</v>
      </c>
      <c r="AX15" s="103">
        <v>100</v>
      </c>
      <c r="AY15" s="103">
        <v>100</v>
      </c>
      <c r="AZ15" s="103">
        <v>100</v>
      </c>
      <c r="BA15" s="103">
        <v>100</v>
      </c>
      <c r="BB15" s="103">
        <v>100</v>
      </c>
      <c r="BC15" s="103">
        <v>100</v>
      </c>
      <c r="BD15" s="103">
        <v>100</v>
      </c>
      <c r="BE15" s="103">
        <v>100</v>
      </c>
      <c r="BF15" s="103">
        <v>100</v>
      </c>
      <c r="BG15" s="103">
        <v>100</v>
      </c>
      <c r="BH15" s="103">
        <v>100</v>
      </c>
      <c r="BI15" s="103">
        <v>100</v>
      </c>
      <c r="BJ15" s="103">
        <v>100</v>
      </c>
      <c r="BK15" s="103">
        <v>100</v>
      </c>
      <c r="BL15" s="103">
        <v>100</v>
      </c>
      <c r="BM15" s="103">
        <v>100</v>
      </c>
      <c r="BN15" s="103">
        <v>100</v>
      </c>
      <c r="BO15" s="103">
        <v>100</v>
      </c>
      <c r="BP15" s="103">
        <v>100</v>
      </c>
      <c r="BQ15" s="103">
        <v>100</v>
      </c>
      <c r="BR15" s="103">
        <v>100</v>
      </c>
      <c r="BS15" s="103">
        <v>100</v>
      </c>
      <c r="BT15" s="103">
        <v>100</v>
      </c>
      <c r="BU15" s="103">
        <v>100</v>
      </c>
      <c r="BV15" s="103">
        <v>100</v>
      </c>
      <c r="BW15" s="103">
        <v>100</v>
      </c>
      <c r="BX15" s="103">
        <v>100</v>
      </c>
      <c r="BY15" s="103">
        <v>100</v>
      </c>
      <c r="BZ15" s="103">
        <v>100</v>
      </c>
      <c r="CA15" s="103">
        <v>100</v>
      </c>
      <c r="CB15" s="103">
        <v>100</v>
      </c>
      <c r="CC15" s="103">
        <v>100</v>
      </c>
      <c r="CD15" s="103">
        <v>100</v>
      </c>
      <c r="CE15" s="103">
        <v>100</v>
      </c>
      <c r="CF15" s="103">
        <v>100</v>
      </c>
      <c r="CG15" s="103">
        <v>100</v>
      </c>
      <c r="CH15" s="103">
        <v>100</v>
      </c>
      <c r="CI15" s="103">
        <v>100</v>
      </c>
      <c r="CJ15" s="103">
        <v>100</v>
      </c>
      <c r="CK15" s="103">
        <v>100</v>
      </c>
      <c r="CL15" s="103">
        <v>100</v>
      </c>
      <c r="CM15" s="103">
        <v>100</v>
      </c>
      <c r="CN15" s="103">
        <v>100</v>
      </c>
      <c r="CO15" s="103">
        <v>100</v>
      </c>
      <c r="CP15" s="103">
        <v>100</v>
      </c>
      <c r="CQ15" s="103">
        <v>100</v>
      </c>
      <c r="CR15" s="103">
        <v>100</v>
      </c>
      <c r="CS15" s="103">
        <v>100</v>
      </c>
      <c r="CT15" s="103">
        <v>100</v>
      </c>
      <c r="CU15" s="103">
        <v>100</v>
      </c>
      <c r="CV15" s="103">
        <v>100</v>
      </c>
      <c r="CW15" s="103">
        <v>100</v>
      </c>
      <c r="CX15" s="103">
        <v>100</v>
      </c>
      <c r="CY15" s="103">
        <v>100</v>
      </c>
      <c r="CZ15" s="103">
        <v>100</v>
      </c>
      <c r="DA15" s="103">
        <v>100</v>
      </c>
      <c r="DB15" s="103">
        <v>100</v>
      </c>
      <c r="DC15" s="103">
        <v>100</v>
      </c>
      <c r="DD15" s="103">
        <v>100</v>
      </c>
      <c r="DE15" s="103">
        <v>100</v>
      </c>
      <c r="DF15" s="103">
        <v>100</v>
      </c>
      <c r="DG15" s="103">
        <v>100</v>
      </c>
      <c r="DH15" s="103">
        <v>100</v>
      </c>
      <c r="DI15" s="103">
        <v>100</v>
      </c>
      <c r="DJ15" s="103">
        <v>100</v>
      </c>
      <c r="DK15" s="103">
        <v>100</v>
      </c>
      <c r="DL15" s="103">
        <v>100</v>
      </c>
      <c r="DM15" s="103">
        <v>100</v>
      </c>
      <c r="DN15" s="103">
        <v>100</v>
      </c>
      <c r="DO15" s="103">
        <v>100</v>
      </c>
      <c r="DP15" s="103">
        <v>100</v>
      </c>
      <c r="DQ15" s="103">
        <v>100</v>
      </c>
      <c r="DR15" s="103">
        <v>100</v>
      </c>
      <c r="DS15" s="103">
        <v>100</v>
      </c>
      <c r="DT15" s="103">
        <v>100</v>
      </c>
      <c r="DU15" s="103">
        <v>100</v>
      </c>
      <c r="DV15" s="103">
        <v>100</v>
      </c>
      <c r="DW15" s="103">
        <v>100</v>
      </c>
      <c r="DX15" s="103">
        <v>100</v>
      </c>
      <c r="DY15" s="103">
        <v>100</v>
      </c>
      <c r="DZ15" s="103">
        <v>100</v>
      </c>
      <c r="EA15" s="103">
        <v>100</v>
      </c>
      <c r="EB15" s="103">
        <v>100</v>
      </c>
      <c r="EC15" s="103">
        <v>100</v>
      </c>
      <c r="ED15" s="103">
        <v>100</v>
      </c>
      <c r="EE15" s="103">
        <v>100</v>
      </c>
      <c r="EF15" s="103">
        <v>100</v>
      </c>
      <c r="EG15" s="103">
        <v>100</v>
      </c>
      <c r="EH15" s="103">
        <v>100</v>
      </c>
      <c r="EI15" s="103">
        <v>100</v>
      </c>
      <c r="EJ15" s="103">
        <v>100</v>
      </c>
    </row>
    <row r="16" spans="1:140" x14ac:dyDescent="0.2">
      <c r="G16" s="55"/>
      <c r="H16" s="55"/>
      <c r="J16" s="55"/>
      <c r="K16" s="55"/>
      <c r="M16" s="55"/>
      <c r="N16" s="55"/>
      <c r="P16" s="55"/>
      <c r="Q16" s="55"/>
      <c r="S16" s="55"/>
      <c r="T16" s="55"/>
      <c r="V16" s="55"/>
      <c r="W16" s="55"/>
      <c r="Y16" s="55"/>
      <c r="Z16" s="55"/>
      <c r="AA16" s="55"/>
      <c r="AC16" s="55"/>
      <c r="AD16" s="55"/>
      <c r="AF16" s="55"/>
      <c r="AG16" s="55"/>
      <c r="AI16" s="55"/>
      <c r="AJ16" s="55"/>
      <c r="AL16" s="55"/>
      <c r="AM16" s="55"/>
      <c r="AO16" s="55"/>
      <c r="AP16" s="55"/>
      <c r="AR16" s="55"/>
      <c r="AS16" s="55"/>
      <c r="AT16" s="55"/>
      <c r="AV16" s="55"/>
      <c r="AW16" s="55"/>
      <c r="AY16" s="55"/>
      <c r="AZ16" s="55"/>
      <c r="BB16" s="55"/>
      <c r="BC16" s="55"/>
      <c r="BE16" s="55"/>
      <c r="BF16" s="55"/>
      <c r="BH16" s="55"/>
      <c r="BI16" s="55"/>
      <c r="BK16" s="55"/>
      <c r="BL16" s="55"/>
      <c r="BM16" s="55"/>
      <c r="BO16" s="55"/>
      <c r="BP16" s="55"/>
      <c r="BR16" s="55"/>
      <c r="BS16" s="55"/>
      <c r="BU16" s="55"/>
      <c r="BV16" s="55"/>
      <c r="BX16" s="55"/>
      <c r="BY16" s="55"/>
      <c r="CA16" s="55"/>
      <c r="CB16" s="55"/>
      <c r="CD16" s="55"/>
      <c r="CE16" s="55"/>
      <c r="CF16" s="55"/>
      <c r="CH16" s="55"/>
      <c r="CI16" s="55"/>
      <c r="CK16" s="55"/>
      <c r="CL16" s="55"/>
      <c r="CN16" s="55"/>
      <c r="CO16" s="55"/>
      <c r="CQ16" s="55"/>
      <c r="CR16" s="55"/>
      <c r="CT16" s="55"/>
      <c r="CU16" s="55"/>
      <c r="CW16" s="55"/>
      <c r="CX16" s="55"/>
      <c r="CY16" s="55"/>
      <c r="DA16" s="55"/>
      <c r="DB16" s="55"/>
      <c r="DD16" s="55"/>
      <c r="DE16" s="55"/>
      <c r="DG16" s="55"/>
      <c r="DH16" s="55"/>
      <c r="DJ16" s="55"/>
      <c r="DK16" s="55"/>
      <c r="DM16" s="55"/>
      <c r="DN16" s="55"/>
      <c r="DP16" s="55"/>
      <c r="DQ16" s="55"/>
      <c r="DR16" s="55"/>
      <c r="DT16" s="55"/>
      <c r="DU16" s="55"/>
      <c r="DW16" s="55"/>
      <c r="DX16" s="55"/>
      <c r="DZ16" s="55"/>
      <c r="EA16" s="55"/>
      <c r="EC16" s="55"/>
      <c r="ED16" s="55"/>
      <c r="EF16" s="55"/>
      <c r="EG16" s="55"/>
      <c r="EI16" s="55"/>
      <c r="EJ16" s="55"/>
    </row>
    <row r="17" spans="1:140" x14ac:dyDescent="0.2">
      <c r="G17" s="55"/>
      <c r="H17" s="55"/>
      <c r="J17" s="55"/>
      <c r="K17" s="55"/>
      <c r="M17" s="55"/>
      <c r="N17" s="55"/>
      <c r="P17" s="55"/>
      <c r="Q17" s="55"/>
      <c r="S17" s="55"/>
      <c r="T17" s="55"/>
      <c r="V17" s="55"/>
      <c r="W17" s="55"/>
      <c r="Y17" s="55"/>
      <c r="Z17" s="55"/>
      <c r="AA17" s="55"/>
      <c r="AC17" s="55"/>
      <c r="AD17" s="55"/>
      <c r="AF17" s="55"/>
      <c r="AG17" s="55"/>
      <c r="AI17" s="55"/>
      <c r="AJ17" s="55"/>
      <c r="AL17" s="55"/>
      <c r="AM17" s="55"/>
      <c r="AO17" s="55"/>
      <c r="AP17" s="55"/>
      <c r="AR17" s="55"/>
      <c r="AS17" s="55"/>
      <c r="AT17" s="55"/>
      <c r="AV17" s="55"/>
      <c r="AW17" s="55"/>
      <c r="AY17" s="55"/>
      <c r="AZ17" s="55"/>
      <c r="BB17" s="55"/>
      <c r="BC17" s="55"/>
      <c r="BE17" s="55"/>
      <c r="BF17" s="55"/>
      <c r="BH17" s="55"/>
      <c r="BI17" s="55"/>
      <c r="BK17" s="55"/>
      <c r="BL17" s="55"/>
      <c r="BM17" s="55"/>
      <c r="BO17" s="55"/>
      <c r="BP17" s="55"/>
      <c r="BR17" s="55"/>
      <c r="BS17" s="55"/>
      <c r="BU17" s="55"/>
      <c r="BV17" s="55"/>
      <c r="BX17" s="55"/>
      <c r="BY17" s="55"/>
      <c r="CA17" s="55"/>
      <c r="CB17" s="55"/>
      <c r="CD17" s="55"/>
      <c r="CE17" s="55"/>
      <c r="CF17" s="55"/>
      <c r="CH17" s="55"/>
      <c r="CI17" s="55"/>
      <c r="CK17" s="55"/>
      <c r="CL17" s="55"/>
      <c r="CN17" s="55"/>
      <c r="CO17" s="55"/>
      <c r="CQ17" s="55"/>
      <c r="CR17" s="55"/>
      <c r="CT17" s="55"/>
      <c r="CU17" s="55"/>
      <c r="CW17" s="55"/>
      <c r="CX17" s="55"/>
      <c r="CY17" s="55"/>
      <c r="DA17" s="55"/>
      <c r="DB17" s="55"/>
      <c r="DD17" s="55"/>
      <c r="DE17" s="55"/>
      <c r="DG17" s="55"/>
      <c r="DH17" s="55"/>
      <c r="DJ17" s="55"/>
      <c r="DK17" s="55"/>
      <c r="DM17" s="55"/>
      <c r="DN17" s="55"/>
      <c r="DP17" s="55"/>
      <c r="DQ17" s="55"/>
      <c r="DR17" s="55"/>
      <c r="DT17" s="55"/>
      <c r="DU17" s="55"/>
      <c r="DW17" s="55"/>
      <c r="DX17" s="55"/>
      <c r="DZ17" s="55"/>
      <c r="EA17" s="55"/>
      <c r="EC17" s="55"/>
      <c r="ED17" s="55"/>
      <c r="EF17" s="55"/>
      <c r="EG17" s="55"/>
      <c r="EI17" s="55"/>
      <c r="EJ17" s="55"/>
    </row>
    <row r="18" spans="1:140" x14ac:dyDescent="0.2">
      <c r="A18" s="11" t="s">
        <v>36</v>
      </c>
      <c r="C18" s="75">
        <f t="shared" ref="C18:AH18" si="0">(1-(C12/100))/(C12/100)</f>
        <v>3.5616275887236566</v>
      </c>
      <c r="D18" s="55">
        <f t="shared" si="0"/>
        <v>3.0180006428801027</v>
      </c>
      <c r="E18" s="13">
        <f t="shared" si="0"/>
        <v>1.733958498509993</v>
      </c>
      <c r="F18" s="12">
        <f t="shared" si="0"/>
        <v>2.9488232506712997</v>
      </c>
      <c r="G18" s="55">
        <f t="shared" si="0"/>
        <v>1.65484376244458</v>
      </c>
      <c r="H18" s="55">
        <f t="shared" si="0"/>
        <v>2.6484366448976617</v>
      </c>
      <c r="I18" s="12">
        <f t="shared" si="0"/>
        <v>1.8605755478002175</v>
      </c>
      <c r="J18" s="55">
        <f t="shared" si="0"/>
        <v>2.1274433150899137</v>
      </c>
      <c r="K18" s="55">
        <f t="shared" si="0"/>
        <v>2.6778227289444643</v>
      </c>
      <c r="L18" s="12">
        <f t="shared" si="0"/>
        <v>1.9924888529790223</v>
      </c>
      <c r="M18" s="55">
        <f t="shared" si="0"/>
        <v>2.012048192771084</v>
      </c>
      <c r="N18" s="55">
        <f t="shared" si="0"/>
        <v>1.7128943870215132</v>
      </c>
      <c r="O18" s="12">
        <f t="shared" si="0"/>
        <v>4.1926472115484472</v>
      </c>
      <c r="P18" s="55">
        <f t="shared" si="0"/>
        <v>66.888662593346908</v>
      </c>
      <c r="Q18" s="55">
        <f t="shared" si="0"/>
        <v>0.99322304165836139</v>
      </c>
      <c r="R18" s="12">
        <f t="shared" si="0"/>
        <v>1.0102118763317653</v>
      </c>
      <c r="S18" s="55">
        <f t="shared" si="0"/>
        <v>98.206349206349202</v>
      </c>
      <c r="T18" s="55">
        <f t="shared" si="0"/>
        <v>188.75332068311195</v>
      </c>
      <c r="U18" s="12">
        <f t="shared" si="0"/>
        <v>108.40919037199123</v>
      </c>
      <c r="V18" s="55">
        <f t="shared" si="0"/>
        <v>1.0237998866672062</v>
      </c>
      <c r="W18" s="55">
        <f t="shared" si="0"/>
        <v>203.91803278688525</v>
      </c>
      <c r="X18" s="12">
        <f t="shared" si="0"/>
        <v>4.1926472115484472</v>
      </c>
      <c r="Y18" s="55">
        <f t="shared" si="0"/>
        <v>98.206349206349202</v>
      </c>
      <c r="Z18" s="55">
        <f t="shared" si="0"/>
        <v>1.0237998866672062</v>
      </c>
      <c r="AA18" s="55" t="e">
        <f t="shared" si="0"/>
        <v>#DIV/0!</v>
      </c>
      <c r="AB18" s="12" t="e">
        <f t="shared" si="0"/>
        <v>#DIV/0!</v>
      </c>
      <c r="AC18" s="55" t="e">
        <f t="shared" si="0"/>
        <v>#DIV/0!</v>
      </c>
      <c r="AD18" s="55" t="e">
        <f t="shared" si="0"/>
        <v>#DIV/0!</v>
      </c>
      <c r="AE18" s="12" t="e">
        <f t="shared" si="0"/>
        <v>#DIV/0!</v>
      </c>
      <c r="AF18" s="55" t="e">
        <f t="shared" si="0"/>
        <v>#DIV/0!</v>
      </c>
      <c r="AG18" s="55" t="e">
        <f t="shared" si="0"/>
        <v>#DIV/0!</v>
      </c>
      <c r="AH18" s="12" t="e">
        <f t="shared" si="0"/>
        <v>#DIV/0!</v>
      </c>
      <c r="AI18" s="55" t="e">
        <f t="shared" ref="AI18:BN18" si="1">(1-(AI12/100))/(AI12/100)</f>
        <v>#DIV/0!</v>
      </c>
      <c r="AJ18" s="55" t="e">
        <f t="shared" si="1"/>
        <v>#DIV/0!</v>
      </c>
      <c r="AK18" s="12" t="e">
        <f t="shared" si="1"/>
        <v>#DIV/0!</v>
      </c>
      <c r="AL18" s="55" t="e">
        <f t="shared" si="1"/>
        <v>#DIV/0!</v>
      </c>
      <c r="AM18" s="55" t="e">
        <f t="shared" si="1"/>
        <v>#DIV/0!</v>
      </c>
      <c r="AN18" s="12" t="e">
        <f t="shared" si="1"/>
        <v>#DIV/0!</v>
      </c>
      <c r="AO18" s="55" t="e">
        <f t="shared" si="1"/>
        <v>#DIV/0!</v>
      </c>
      <c r="AP18" s="55" t="e">
        <f t="shared" si="1"/>
        <v>#DIV/0!</v>
      </c>
      <c r="AQ18" s="12" t="e">
        <f t="shared" si="1"/>
        <v>#DIV/0!</v>
      </c>
      <c r="AR18" s="55" t="e">
        <f t="shared" si="1"/>
        <v>#DIV/0!</v>
      </c>
      <c r="AS18" s="55" t="e">
        <f t="shared" si="1"/>
        <v>#DIV/0!</v>
      </c>
      <c r="AT18" s="55" t="e">
        <f t="shared" si="1"/>
        <v>#DIV/0!</v>
      </c>
      <c r="AU18" s="12" t="e">
        <f t="shared" si="1"/>
        <v>#DIV/0!</v>
      </c>
      <c r="AV18" s="55" t="e">
        <f t="shared" si="1"/>
        <v>#DIV/0!</v>
      </c>
      <c r="AW18" s="55" t="e">
        <f t="shared" si="1"/>
        <v>#DIV/0!</v>
      </c>
      <c r="AX18" s="12" t="e">
        <f t="shared" si="1"/>
        <v>#DIV/0!</v>
      </c>
      <c r="AY18" s="55" t="e">
        <f t="shared" si="1"/>
        <v>#DIV/0!</v>
      </c>
      <c r="AZ18" s="55" t="e">
        <f t="shared" si="1"/>
        <v>#DIV/0!</v>
      </c>
      <c r="BA18" s="12" t="e">
        <f t="shared" si="1"/>
        <v>#DIV/0!</v>
      </c>
      <c r="BB18" s="55" t="e">
        <f t="shared" si="1"/>
        <v>#DIV/0!</v>
      </c>
      <c r="BC18" s="55" t="e">
        <f t="shared" si="1"/>
        <v>#DIV/0!</v>
      </c>
      <c r="BD18" s="12" t="e">
        <f t="shared" si="1"/>
        <v>#DIV/0!</v>
      </c>
      <c r="BE18" s="55" t="e">
        <f t="shared" si="1"/>
        <v>#DIV/0!</v>
      </c>
      <c r="BF18" s="55" t="e">
        <f t="shared" si="1"/>
        <v>#DIV/0!</v>
      </c>
      <c r="BG18" s="12" t="e">
        <f t="shared" si="1"/>
        <v>#DIV/0!</v>
      </c>
      <c r="BH18" s="55" t="e">
        <f t="shared" si="1"/>
        <v>#DIV/0!</v>
      </c>
      <c r="BI18" s="55" t="e">
        <f t="shared" si="1"/>
        <v>#DIV/0!</v>
      </c>
      <c r="BJ18" s="12" t="e">
        <f t="shared" si="1"/>
        <v>#DIV/0!</v>
      </c>
      <c r="BK18" s="55" t="e">
        <f t="shared" si="1"/>
        <v>#DIV/0!</v>
      </c>
      <c r="BL18" s="55" t="e">
        <f t="shared" si="1"/>
        <v>#DIV/0!</v>
      </c>
      <c r="BM18" s="55" t="e">
        <f t="shared" si="1"/>
        <v>#DIV/0!</v>
      </c>
      <c r="BN18" s="12" t="e">
        <f t="shared" si="1"/>
        <v>#DIV/0!</v>
      </c>
      <c r="BO18" s="55" t="e">
        <f t="shared" ref="BO18:CT18" si="2">(1-(BO12/100))/(BO12/100)</f>
        <v>#DIV/0!</v>
      </c>
      <c r="BP18" s="55" t="e">
        <f t="shared" si="2"/>
        <v>#DIV/0!</v>
      </c>
      <c r="BQ18" s="12" t="e">
        <f t="shared" si="2"/>
        <v>#DIV/0!</v>
      </c>
      <c r="BR18" s="55" t="e">
        <f t="shared" si="2"/>
        <v>#DIV/0!</v>
      </c>
      <c r="BS18" s="55" t="e">
        <f t="shared" si="2"/>
        <v>#DIV/0!</v>
      </c>
      <c r="BT18" s="12" t="e">
        <f t="shared" si="2"/>
        <v>#DIV/0!</v>
      </c>
      <c r="BU18" s="55" t="e">
        <f t="shared" si="2"/>
        <v>#DIV/0!</v>
      </c>
      <c r="BV18" s="55" t="e">
        <f t="shared" si="2"/>
        <v>#DIV/0!</v>
      </c>
      <c r="BW18" s="12" t="e">
        <f t="shared" si="2"/>
        <v>#DIV/0!</v>
      </c>
      <c r="BX18" s="55" t="e">
        <f t="shared" si="2"/>
        <v>#DIV/0!</v>
      </c>
      <c r="BY18" s="55" t="e">
        <f t="shared" si="2"/>
        <v>#DIV/0!</v>
      </c>
      <c r="BZ18" s="12" t="e">
        <f t="shared" si="2"/>
        <v>#DIV/0!</v>
      </c>
      <c r="CA18" s="55" t="e">
        <f t="shared" si="2"/>
        <v>#DIV/0!</v>
      </c>
      <c r="CB18" s="55" t="e">
        <f t="shared" si="2"/>
        <v>#DIV/0!</v>
      </c>
      <c r="CC18" s="12" t="e">
        <f t="shared" si="2"/>
        <v>#DIV/0!</v>
      </c>
      <c r="CD18" s="55" t="e">
        <f t="shared" si="2"/>
        <v>#DIV/0!</v>
      </c>
      <c r="CE18" s="55" t="e">
        <f t="shared" si="2"/>
        <v>#DIV/0!</v>
      </c>
      <c r="CF18" s="55" t="e">
        <f t="shared" si="2"/>
        <v>#DIV/0!</v>
      </c>
      <c r="CG18" s="12" t="e">
        <f t="shared" si="2"/>
        <v>#DIV/0!</v>
      </c>
      <c r="CH18" s="55" t="e">
        <f t="shared" si="2"/>
        <v>#DIV/0!</v>
      </c>
      <c r="CI18" s="55" t="e">
        <f t="shared" si="2"/>
        <v>#DIV/0!</v>
      </c>
      <c r="CJ18" s="12" t="e">
        <f t="shared" si="2"/>
        <v>#DIV/0!</v>
      </c>
      <c r="CK18" s="55" t="e">
        <f t="shared" si="2"/>
        <v>#DIV/0!</v>
      </c>
      <c r="CL18" s="55" t="e">
        <f t="shared" si="2"/>
        <v>#DIV/0!</v>
      </c>
      <c r="CM18" s="12" t="e">
        <f t="shared" si="2"/>
        <v>#DIV/0!</v>
      </c>
      <c r="CN18" s="55" t="e">
        <f t="shared" si="2"/>
        <v>#DIV/0!</v>
      </c>
      <c r="CO18" s="55" t="e">
        <f t="shared" si="2"/>
        <v>#DIV/0!</v>
      </c>
      <c r="CP18" s="12" t="e">
        <f t="shared" si="2"/>
        <v>#DIV/0!</v>
      </c>
      <c r="CQ18" s="55" t="e">
        <f t="shared" si="2"/>
        <v>#DIV/0!</v>
      </c>
      <c r="CR18" s="55" t="e">
        <f t="shared" si="2"/>
        <v>#DIV/0!</v>
      </c>
      <c r="CS18" s="12" t="e">
        <f t="shared" si="2"/>
        <v>#DIV/0!</v>
      </c>
      <c r="CT18" s="55" t="e">
        <f t="shared" si="2"/>
        <v>#DIV/0!</v>
      </c>
      <c r="CU18" s="55" t="e">
        <f t="shared" ref="CU18:DZ18" si="3">(1-(CU12/100))/(CU12/100)</f>
        <v>#DIV/0!</v>
      </c>
      <c r="CV18" s="12" t="e">
        <f t="shared" si="3"/>
        <v>#DIV/0!</v>
      </c>
      <c r="CW18" s="55" t="e">
        <f t="shared" si="3"/>
        <v>#DIV/0!</v>
      </c>
      <c r="CX18" s="55" t="e">
        <f t="shared" si="3"/>
        <v>#DIV/0!</v>
      </c>
      <c r="CY18" s="55" t="e">
        <f t="shared" si="3"/>
        <v>#DIV/0!</v>
      </c>
      <c r="CZ18" s="12" t="e">
        <f t="shared" si="3"/>
        <v>#DIV/0!</v>
      </c>
      <c r="DA18" s="55" t="e">
        <f t="shared" si="3"/>
        <v>#DIV/0!</v>
      </c>
      <c r="DB18" s="55" t="e">
        <f t="shared" si="3"/>
        <v>#DIV/0!</v>
      </c>
      <c r="DC18" s="12" t="e">
        <f t="shared" si="3"/>
        <v>#DIV/0!</v>
      </c>
      <c r="DD18" s="55" t="e">
        <f t="shared" si="3"/>
        <v>#DIV/0!</v>
      </c>
      <c r="DE18" s="55" t="e">
        <f t="shared" si="3"/>
        <v>#DIV/0!</v>
      </c>
      <c r="DF18" s="12" t="e">
        <f t="shared" si="3"/>
        <v>#DIV/0!</v>
      </c>
      <c r="DG18" s="55" t="e">
        <f t="shared" si="3"/>
        <v>#DIV/0!</v>
      </c>
      <c r="DH18" s="55" t="e">
        <f t="shared" si="3"/>
        <v>#DIV/0!</v>
      </c>
      <c r="DI18" s="12" t="e">
        <f t="shared" si="3"/>
        <v>#DIV/0!</v>
      </c>
      <c r="DJ18" s="55" t="e">
        <f t="shared" si="3"/>
        <v>#DIV/0!</v>
      </c>
      <c r="DK18" s="55" t="e">
        <f t="shared" si="3"/>
        <v>#DIV/0!</v>
      </c>
      <c r="DL18" s="12" t="e">
        <f t="shared" si="3"/>
        <v>#DIV/0!</v>
      </c>
      <c r="DM18" s="55" t="e">
        <f t="shared" si="3"/>
        <v>#DIV/0!</v>
      </c>
      <c r="DN18" s="55" t="e">
        <f t="shared" si="3"/>
        <v>#DIV/0!</v>
      </c>
      <c r="DO18" s="12" t="e">
        <f t="shared" si="3"/>
        <v>#DIV/0!</v>
      </c>
      <c r="DP18" s="55" t="e">
        <f t="shared" si="3"/>
        <v>#DIV/0!</v>
      </c>
      <c r="DQ18" s="55" t="e">
        <f t="shared" si="3"/>
        <v>#DIV/0!</v>
      </c>
      <c r="DR18" s="55" t="e">
        <f t="shared" si="3"/>
        <v>#DIV/0!</v>
      </c>
      <c r="DS18" s="12" t="e">
        <f t="shared" si="3"/>
        <v>#DIV/0!</v>
      </c>
      <c r="DT18" s="55" t="e">
        <f t="shared" si="3"/>
        <v>#DIV/0!</v>
      </c>
      <c r="DU18" s="55" t="e">
        <f t="shared" si="3"/>
        <v>#DIV/0!</v>
      </c>
      <c r="DV18" s="12" t="e">
        <f t="shared" si="3"/>
        <v>#DIV/0!</v>
      </c>
      <c r="DW18" s="55" t="e">
        <f t="shared" si="3"/>
        <v>#DIV/0!</v>
      </c>
      <c r="DX18" s="55" t="e">
        <f t="shared" si="3"/>
        <v>#DIV/0!</v>
      </c>
      <c r="DY18" s="12" t="e">
        <f t="shared" si="3"/>
        <v>#DIV/0!</v>
      </c>
      <c r="DZ18" s="55" t="e">
        <f t="shared" si="3"/>
        <v>#DIV/0!</v>
      </c>
      <c r="EA18" s="55" t="e">
        <f t="shared" ref="EA18:EJ18" si="4">(1-(EA12/100))/(EA12/100)</f>
        <v>#DIV/0!</v>
      </c>
      <c r="EB18" s="12" t="e">
        <f t="shared" si="4"/>
        <v>#DIV/0!</v>
      </c>
      <c r="EC18" s="55" t="e">
        <f t="shared" si="4"/>
        <v>#DIV/0!</v>
      </c>
      <c r="ED18" s="55" t="e">
        <f t="shared" si="4"/>
        <v>#DIV/0!</v>
      </c>
      <c r="EE18" s="12" t="e">
        <f t="shared" si="4"/>
        <v>#DIV/0!</v>
      </c>
      <c r="EF18" s="55" t="e">
        <f t="shared" si="4"/>
        <v>#DIV/0!</v>
      </c>
      <c r="EG18" s="55" t="e">
        <f t="shared" si="4"/>
        <v>#DIV/0!</v>
      </c>
      <c r="EH18" s="12" t="e">
        <f t="shared" si="4"/>
        <v>#DIV/0!</v>
      </c>
      <c r="EI18" s="55" t="e">
        <f t="shared" si="4"/>
        <v>#DIV/0!</v>
      </c>
      <c r="EJ18" s="55" t="e">
        <f t="shared" si="4"/>
        <v>#DIV/0!</v>
      </c>
    </row>
    <row r="19" spans="1:140" x14ac:dyDescent="0.2">
      <c r="A19" s="11" t="s">
        <v>37</v>
      </c>
      <c r="C19" s="75">
        <f t="shared" ref="C19:AH19" si="5">(1-(C13/100))/(C13/100)</f>
        <v>15.417665407978985</v>
      </c>
      <c r="D19" s="55">
        <f t="shared" si="5"/>
        <v>13.501160092807426</v>
      </c>
      <c r="E19" s="13">
        <f t="shared" si="5"/>
        <v>19.242914979757082</v>
      </c>
      <c r="F19" s="12">
        <f t="shared" si="5"/>
        <v>12.493455673998112</v>
      </c>
      <c r="G19" s="55">
        <f t="shared" si="5"/>
        <v>11.199585214102722</v>
      </c>
      <c r="H19" s="55">
        <f t="shared" si="5"/>
        <v>11.850167052171678</v>
      </c>
      <c r="I19" s="12">
        <f t="shared" si="5"/>
        <v>14.281173594132031</v>
      </c>
      <c r="J19" s="55">
        <f t="shared" si="5"/>
        <v>14.008254539996997</v>
      </c>
      <c r="K19" s="55">
        <f t="shared" si="5"/>
        <v>11.600806451612904</v>
      </c>
      <c r="L19" s="12">
        <f t="shared" si="5"/>
        <v>11.965123816932451</v>
      </c>
      <c r="M19" s="55">
        <f t="shared" si="5"/>
        <v>13.058765640376775</v>
      </c>
      <c r="N19" s="55">
        <f t="shared" si="5"/>
        <v>13.214641080312722</v>
      </c>
      <c r="O19" s="12">
        <f t="shared" si="5"/>
        <v>10.646866992778941</v>
      </c>
      <c r="P19" s="55">
        <f t="shared" si="5"/>
        <v>1.7530765630592189</v>
      </c>
      <c r="Q19" s="55">
        <f t="shared" si="5"/>
        <v>2.1531815601942363</v>
      </c>
      <c r="R19" s="12">
        <f t="shared" si="5"/>
        <v>8.3580385551188474</v>
      </c>
      <c r="S19" s="55">
        <f t="shared" si="5"/>
        <v>8.874592673052236</v>
      </c>
      <c r="T19" s="55">
        <f t="shared" si="5"/>
        <v>24.72678157962439</v>
      </c>
      <c r="U19" s="12">
        <f t="shared" si="5"/>
        <v>10.817537225242258</v>
      </c>
      <c r="V19" s="55">
        <f t="shared" si="5"/>
        <v>10.606313834726091</v>
      </c>
      <c r="W19" s="55">
        <f t="shared" si="5"/>
        <v>8.461633077869239</v>
      </c>
      <c r="X19" s="12">
        <f t="shared" si="5"/>
        <v>10.646866992778941</v>
      </c>
      <c r="Y19" s="55">
        <f t="shared" si="5"/>
        <v>10.910433539780847</v>
      </c>
      <c r="Z19" s="55">
        <f t="shared" si="5"/>
        <v>8.3475415965601041</v>
      </c>
      <c r="AA19" s="55" t="e">
        <f t="shared" si="5"/>
        <v>#DIV/0!</v>
      </c>
      <c r="AB19" s="12" t="e">
        <f t="shared" si="5"/>
        <v>#DIV/0!</v>
      </c>
      <c r="AC19" s="55" t="e">
        <f t="shared" si="5"/>
        <v>#DIV/0!</v>
      </c>
      <c r="AD19" s="55" t="e">
        <f t="shared" si="5"/>
        <v>#DIV/0!</v>
      </c>
      <c r="AE19" s="12" t="e">
        <f t="shared" si="5"/>
        <v>#DIV/0!</v>
      </c>
      <c r="AF19" s="55" t="e">
        <f t="shared" si="5"/>
        <v>#DIV/0!</v>
      </c>
      <c r="AG19" s="55" t="e">
        <f t="shared" si="5"/>
        <v>#DIV/0!</v>
      </c>
      <c r="AH19" s="12" t="e">
        <f t="shared" si="5"/>
        <v>#DIV/0!</v>
      </c>
      <c r="AI19" s="55" t="e">
        <f t="shared" ref="AI19:BN19" si="6">(1-(AI13/100))/(AI13/100)</f>
        <v>#DIV/0!</v>
      </c>
      <c r="AJ19" s="55" t="e">
        <f t="shared" si="6"/>
        <v>#DIV/0!</v>
      </c>
      <c r="AK19" s="12" t="e">
        <f t="shared" si="6"/>
        <v>#DIV/0!</v>
      </c>
      <c r="AL19" s="55" t="e">
        <f t="shared" si="6"/>
        <v>#DIV/0!</v>
      </c>
      <c r="AM19" s="55" t="e">
        <f t="shared" si="6"/>
        <v>#DIV/0!</v>
      </c>
      <c r="AN19" s="12" t="e">
        <f t="shared" si="6"/>
        <v>#DIV/0!</v>
      </c>
      <c r="AO19" s="55" t="e">
        <f t="shared" si="6"/>
        <v>#DIV/0!</v>
      </c>
      <c r="AP19" s="55" t="e">
        <f t="shared" si="6"/>
        <v>#DIV/0!</v>
      </c>
      <c r="AQ19" s="12" t="e">
        <f t="shared" si="6"/>
        <v>#DIV/0!</v>
      </c>
      <c r="AR19" s="55" t="e">
        <f t="shared" si="6"/>
        <v>#DIV/0!</v>
      </c>
      <c r="AS19" s="55" t="e">
        <f t="shared" si="6"/>
        <v>#DIV/0!</v>
      </c>
      <c r="AT19" s="55" t="e">
        <f t="shared" si="6"/>
        <v>#DIV/0!</v>
      </c>
      <c r="AU19" s="12" t="e">
        <f t="shared" si="6"/>
        <v>#DIV/0!</v>
      </c>
      <c r="AV19" s="55" t="e">
        <f t="shared" si="6"/>
        <v>#DIV/0!</v>
      </c>
      <c r="AW19" s="55" t="e">
        <f t="shared" si="6"/>
        <v>#DIV/0!</v>
      </c>
      <c r="AX19" s="12" t="e">
        <f t="shared" si="6"/>
        <v>#DIV/0!</v>
      </c>
      <c r="AY19" s="55" t="e">
        <f t="shared" si="6"/>
        <v>#DIV/0!</v>
      </c>
      <c r="AZ19" s="55" t="e">
        <f t="shared" si="6"/>
        <v>#DIV/0!</v>
      </c>
      <c r="BA19" s="12" t="e">
        <f t="shared" si="6"/>
        <v>#DIV/0!</v>
      </c>
      <c r="BB19" s="55" t="e">
        <f t="shared" si="6"/>
        <v>#DIV/0!</v>
      </c>
      <c r="BC19" s="55" t="e">
        <f t="shared" si="6"/>
        <v>#DIV/0!</v>
      </c>
      <c r="BD19" s="12" t="e">
        <f t="shared" si="6"/>
        <v>#DIV/0!</v>
      </c>
      <c r="BE19" s="55" t="e">
        <f t="shared" si="6"/>
        <v>#DIV/0!</v>
      </c>
      <c r="BF19" s="55" t="e">
        <f t="shared" si="6"/>
        <v>#DIV/0!</v>
      </c>
      <c r="BG19" s="12" t="e">
        <f t="shared" si="6"/>
        <v>#DIV/0!</v>
      </c>
      <c r="BH19" s="55" t="e">
        <f t="shared" si="6"/>
        <v>#DIV/0!</v>
      </c>
      <c r="BI19" s="55" t="e">
        <f t="shared" si="6"/>
        <v>#DIV/0!</v>
      </c>
      <c r="BJ19" s="12" t="e">
        <f t="shared" si="6"/>
        <v>#DIV/0!</v>
      </c>
      <c r="BK19" s="55" t="e">
        <f t="shared" si="6"/>
        <v>#DIV/0!</v>
      </c>
      <c r="BL19" s="55" t="e">
        <f t="shared" si="6"/>
        <v>#DIV/0!</v>
      </c>
      <c r="BM19" s="55" t="e">
        <f t="shared" si="6"/>
        <v>#DIV/0!</v>
      </c>
      <c r="BN19" s="12" t="e">
        <f t="shared" si="6"/>
        <v>#DIV/0!</v>
      </c>
      <c r="BO19" s="55" t="e">
        <f t="shared" ref="BO19:CT19" si="7">(1-(BO13/100))/(BO13/100)</f>
        <v>#DIV/0!</v>
      </c>
      <c r="BP19" s="55" t="e">
        <f t="shared" si="7"/>
        <v>#DIV/0!</v>
      </c>
      <c r="BQ19" s="12" t="e">
        <f t="shared" si="7"/>
        <v>#DIV/0!</v>
      </c>
      <c r="BR19" s="55" t="e">
        <f t="shared" si="7"/>
        <v>#DIV/0!</v>
      </c>
      <c r="BS19" s="55" t="e">
        <f t="shared" si="7"/>
        <v>#DIV/0!</v>
      </c>
      <c r="BT19" s="12" t="e">
        <f t="shared" si="7"/>
        <v>#DIV/0!</v>
      </c>
      <c r="BU19" s="55" t="e">
        <f t="shared" si="7"/>
        <v>#DIV/0!</v>
      </c>
      <c r="BV19" s="55" t="e">
        <f t="shared" si="7"/>
        <v>#DIV/0!</v>
      </c>
      <c r="BW19" s="12" t="e">
        <f t="shared" si="7"/>
        <v>#DIV/0!</v>
      </c>
      <c r="BX19" s="55" t="e">
        <f t="shared" si="7"/>
        <v>#DIV/0!</v>
      </c>
      <c r="BY19" s="55" t="e">
        <f t="shared" si="7"/>
        <v>#DIV/0!</v>
      </c>
      <c r="BZ19" s="12" t="e">
        <f t="shared" si="7"/>
        <v>#DIV/0!</v>
      </c>
      <c r="CA19" s="55" t="e">
        <f t="shared" si="7"/>
        <v>#DIV/0!</v>
      </c>
      <c r="CB19" s="55" t="e">
        <f t="shared" si="7"/>
        <v>#DIV/0!</v>
      </c>
      <c r="CC19" s="12" t="e">
        <f t="shared" si="7"/>
        <v>#DIV/0!</v>
      </c>
      <c r="CD19" s="55" t="e">
        <f t="shared" si="7"/>
        <v>#DIV/0!</v>
      </c>
      <c r="CE19" s="55" t="e">
        <f t="shared" si="7"/>
        <v>#DIV/0!</v>
      </c>
      <c r="CF19" s="55" t="e">
        <f t="shared" si="7"/>
        <v>#DIV/0!</v>
      </c>
      <c r="CG19" s="12" t="e">
        <f t="shared" si="7"/>
        <v>#DIV/0!</v>
      </c>
      <c r="CH19" s="55" t="e">
        <f t="shared" si="7"/>
        <v>#DIV/0!</v>
      </c>
      <c r="CI19" s="55" t="e">
        <f t="shared" si="7"/>
        <v>#DIV/0!</v>
      </c>
      <c r="CJ19" s="12" t="e">
        <f t="shared" si="7"/>
        <v>#DIV/0!</v>
      </c>
      <c r="CK19" s="55" t="e">
        <f t="shared" si="7"/>
        <v>#DIV/0!</v>
      </c>
      <c r="CL19" s="55" t="e">
        <f t="shared" si="7"/>
        <v>#DIV/0!</v>
      </c>
      <c r="CM19" s="12" t="e">
        <f t="shared" si="7"/>
        <v>#DIV/0!</v>
      </c>
      <c r="CN19" s="55" t="e">
        <f t="shared" si="7"/>
        <v>#DIV/0!</v>
      </c>
      <c r="CO19" s="55" t="e">
        <f t="shared" si="7"/>
        <v>#DIV/0!</v>
      </c>
      <c r="CP19" s="12" t="e">
        <f t="shared" si="7"/>
        <v>#DIV/0!</v>
      </c>
      <c r="CQ19" s="55" t="e">
        <f t="shared" si="7"/>
        <v>#DIV/0!</v>
      </c>
      <c r="CR19" s="55" t="e">
        <f t="shared" si="7"/>
        <v>#DIV/0!</v>
      </c>
      <c r="CS19" s="12" t="e">
        <f t="shared" si="7"/>
        <v>#DIV/0!</v>
      </c>
      <c r="CT19" s="55" t="e">
        <f t="shared" si="7"/>
        <v>#DIV/0!</v>
      </c>
      <c r="CU19" s="55" t="e">
        <f t="shared" ref="CU19:DZ19" si="8">(1-(CU13/100))/(CU13/100)</f>
        <v>#DIV/0!</v>
      </c>
      <c r="CV19" s="12" t="e">
        <f t="shared" si="8"/>
        <v>#DIV/0!</v>
      </c>
      <c r="CW19" s="55" t="e">
        <f t="shared" si="8"/>
        <v>#DIV/0!</v>
      </c>
      <c r="CX19" s="55" t="e">
        <f t="shared" si="8"/>
        <v>#DIV/0!</v>
      </c>
      <c r="CY19" s="55" t="e">
        <f t="shared" si="8"/>
        <v>#DIV/0!</v>
      </c>
      <c r="CZ19" s="12" t="e">
        <f t="shared" si="8"/>
        <v>#DIV/0!</v>
      </c>
      <c r="DA19" s="55" t="e">
        <f t="shared" si="8"/>
        <v>#DIV/0!</v>
      </c>
      <c r="DB19" s="55" t="e">
        <f t="shared" si="8"/>
        <v>#DIV/0!</v>
      </c>
      <c r="DC19" s="12" t="e">
        <f t="shared" si="8"/>
        <v>#DIV/0!</v>
      </c>
      <c r="DD19" s="55" t="e">
        <f t="shared" si="8"/>
        <v>#DIV/0!</v>
      </c>
      <c r="DE19" s="55" t="e">
        <f t="shared" si="8"/>
        <v>#DIV/0!</v>
      </c>
      <c r="DF19" s="12" t="e">
        <f t="shared" si="8"/>
        <v>#DIV/0!</v>
      </c>
      <c r="DG19" s="55" t="e">
        <f t="shared" si="8"/>
        <v>#DIV/0!</v>
      </c>
      <c r="DH19" s="55" t="e">
        <f t="shared" si="8"/>
        <v>#DIV/0!</v>
      </c>
      <c r="DI19" s="12" t="e">
        <f t="shared" si="8"/>
        <v>#DIV/0!</v>
      </c>
      <c r="DJ19" s="55" t="e">
        <f t="shared" si="8"/>
        <v>#DIV/0!</v>
      </c>
      <c r="DK19" s="55" t="e">
        <f t="shared" si="8"/>
        <v>#DIV/0!</v>
      </c>
      <c r="DL19" s="12" t="e">
        <f t="shared" si="8"/>
        <v>#DIV/0!</v>
      </c>
      <c r="DM19" s="55" t="e">
        <f t="shared" si="8"/>
        <v>#DIV/0!</v>
      </c>
      <c r="DN19" s="55" t="e">
        <f t="shared" si="8"/>
        <v>#DIV/0!</v>
      </c>
      <c r="DO19" s="12" t="e">
        <f t="shared" si="8"/>
        <v>#DIV/0!</v>
      </c>
      <c r="DP19" s="55" t="e">
        <f t="shared" si="8"/>
        <v>#DIV/0!</v>
      </c>
      <c r="DQ19" s="55" t="e">
        <f t="shared" si="8"/>
        <v>#DIV/0!</v>
      </c>
      <c r="DR19" s="55" t="e">
        <f t="shared" si="8"/>
        <v>#DIV/0!</v>
      </c>
      <c r="DS19" s="12" t="e">
        <f t="shared" si="8"/>
        <v>#DIV/0!</v>
      </c>
      <c r="DT19" s="55" t="e">
        <f t="shared" si="8"/>
        <v>#DIV/0!</v>
      </c>
      <c r="DU19" s="55" t="e">
        <f t="shared" si="8"/>
        <v>#DIV/0!</v>
      </c>
      <c r="DV19" s="12" t="e">
        <f t="shared" si="8"/>
        <v>#DIV/0!</v>
      </c>
      <c r="DW19" s="55" t="e">
        <f t="shared" si="8"/>
        <v>#DIV/0!</v>
      </c>
      <c r="DX19" s="55" t="e">
        <f t="shared" si="8"/>
        <v>#DIV/0!</v>
      </c>
      <c r="DY19" s="12" t="e">
        <f t="shared" si="8"/>
        <v>#DIV/0!</v>
      </c>
      <c r="DZ19" s="55" t="e">
        <f t="shared" si="8"/>
        <v>#DIV/0!</v>
      </c>
      <c r="EA19" s="55" t="e">
        <f t="shared" ref="EA19:EJ19" si="9">(1-(EA13/100))/(EA13/100)</f>
        <v>#DIV/0!</v>
      </c>
      <c r="EB19" s="12" t="e">
        <f t="shared" si="9"/>
        <v>#DIV/0!</v>
      </c>
      <c r="EC19" s="55" t="e">
        <f t="shared" si="9"/>
        <v>#DIV/0!</v>
      </c>
      <c r="ED19" s="55" t="e">
        <f t="shared" si="9"/>
        <v>#DIV/0!</v>
      </c>
      <c r="EE19" s="12" t="e">
        <f t="shared" si="9"/>
        <v>#DIV/0!</v>
      </c>
      <c r="EF19" s="55" t="e">
        <f t="shared" si="9"/>
        <v>#DIV/0!</v>
      </c>
      <c r="EG19" s="55" t="e">
        <f t="shared" si="9"/>
        <v>#DIV/0!</v>
      </c>
      <c r="EH19" s="12" t="e">
        <f t="shared" si="9"/>
        <v>#DIV/0!</v>
      </c>
      <c r="EI19" s="55" t="e">
        <f t="shared" si="9"/>
        <v>#DIV/0!</v>
      </c>
      <c r="EJ19" s="55" t="e">
        <f t="shared" si="9"/>
        <v>#DIV/0!</v>
      </c>
    </row>
    <row r="20" spans="1:140" x14ac:dyDescent="0.2">
      <c r="G20" s="55"/>
      <c r="H20" s="55"/>
      <c r="J20" s="55"/>
      <c r="K20" s="55"/>
      <c r="M20" s="55"/>
      <c r="N20" s="55"/>
      <c r="P20" s="55"/>
      <c r="Q20" s="55"/>
      <c r="S20" s="55"/>
      <c r="T20" s="55"/>
      <c r="V20" s="55"/>
      <c r="W20" s="55"/>
      <c r="Y20" s="55"/>
      <c r="Z20" s="55"/>
      <c r="AA20" s="55"/>
      <c r="AC20" s="55"/>
      <c r="AD20" s="55"/>
      <c r="AF20" s="55"/>
      <c r="AG20" s="55"/>
      <c r="AI20" s="55"/>
      <c r="AJ20" s="55"/>
      <c r="AL20" s="55"/>
      <c r="AM20" s="55"/>
      <c r="AO20" s="55"/>
      <c r="AP20" s="55"/>
      <c r="AR20" s="55"/>
      <c r="AS20" s="55"/>
      <c r="AT20" s="55"/>
      <c r="AV20" s="55"/>
      <c r="AW20" s="55"/>
      <c r="AY20" s="55"/>
      <c r="AZ20" s="55"/>
      <c r="BB20" s="55"/>
      <c r="BC20" s="55"/>
      <c r="BE20" s="55"/>
      <c r="BF20" s="55"/>
      <c r="BH20" s="55"/>
      <c r="BI20" s="55"/>
      <c r="BK20" s="55"/>
      <c r="BL20" s="55"/>
      <c r="BM20" s="55"/>
      <c r="BO20" s="55"/>
      <c r="BP20" s="55"/>
      <c r="BR20" s="55"/>
      <c r="BS20" s="55"/>
      <c r="BU20" s="55"/>
      <c r="BV20" s="55"/>
      <c r="BX20" s="55"/>
      <c r="BY20" s="55"/>
      <c r="CA20" s="55"/>
      <c r="CB20" s="55"/>
      <c r="CD20" s="55"/>
      <c r="CE20" s="55"/>
      <c r="CF20" s="55"/>
      <c r="CH20" s="55"/>
      <c r="CI20" s="55"/>
      <c r="CK20" s="55"/>
      <c r="CL20" s="55"/>
      <c r="CN20" s="55"/>
      <c r="CO20" s="55"/>
      <c r="CQ20" s="55"/>
      <c r="CR20" s="55"/>
      <c r="CT20" s="55"/>
      <c r="CU20" s="55"/>
      <c r="CW20" s="55"/>
      <c r="CX20" s="55"/>
      <c r="CY20" s="55"/>
      <c r="DA20" s="55"/>
      <c r="DB20" s="55"/>
      <c r="DD20" s="55"/>
      <c r="DE20" s="55"/>
      <c r="DG20" s="55"/>
      <c r="DH20" s="55"/>
      <c r="DJ20" s="55"/>
      <c r="DK20" s="55"/>
      <c r="DM20" s="55"/>
      <c r="DN20" s="55"/>
      <c r="DP20" s="55"/>
      <c r="DQ20" s="55"/>
      <c r="DR20" s="55"/>
      <c r="DT20" s="55"/>
      <c r="DU20" s="55"/>
      <c r="DW20" s="55"/>
      <c r="DX20" s="55"/>
      <c r="DZ20" s="55"/>
      <c r="EA20" s="55"/>
      <c r="EC20" s="55"/>
      <c r="ED20" s="55"/>
      <c r="EF20" s="55"/>
      <c r="EG20" s="55"/>
      <c r="EI20" s="55"/>
      <c r="EJ20" s="55"/>
    </row>
    <row r="21" spans="1:140" x14ac:dyDescent="0.2">
      <c r="A21" s="29" t="s">
        <v>38</v>
      </c>
      <c r="B21" s="91"/>
      <c r="C21" s="78"/>
      <c r="D21" s="58"/>
      <c r="E21" s="1"/>
      <c r="F21" s="15"/>
      <c r="G21" s="58"/>
      <c r="H21" s="58"/>
      <c r="I21" s="15"/>
      <c r="J21" s="58"/>
      <c r="K21" s="58"/>
      <c r="L21" s="15"/>
      <c r="M21" s="58"/>
      <c r="N21" s="58"/>
      <c r="O21" s="15"/>
      <c r="P21" s="58"/>
      <c r="Q21" s="58"/>
      <c r="R21" s="15"/>
      <c r="S21" s="58"/>
      <c r="T21" s="58"/>
      <c r="U21" s="15"/>
      <c r="V21" s="58"/>
      <c r="W21" s="58"/>
      <c r="X21" s="15"/>
      <c r="Y21" s="58"/>
      <c r="Z21" s="58"/>
      <c r="AA21" s="58"/>
      <c r="AB21" s="15"/>
      <c r="AC21" s="58"/>
      <c r="AD21" s="58"/>
      <c r="AE21" s="15"/>
      <c r="AF21" s="58"/>
      <c r="AG21" s="58"/>
      <c r="AH21" s="15"/>
      <c r="AI21" s="58"/>
      <c r="AJ21" s="58"/>
      <c r="AK21" s="15"/>
      <c r="AL21" s="58"/>
      <c r="AM21" s="58"/>
      <c r="AN21" s="15"/>
      <c r="AO21" s="58"/>
      <c r="AP21" s="58"/>
      <c r="AQ21" s="15"/>
      <c r="AR21" s="58"/>
      <c r="AS21" s="58"/>
      <c r="AT21" s="58"/>
      <c r="AU21" s="15"/>
      <c r="AV21" s="58"/>
      <c r="AW21" s="58"/>
      <c r="AX21" s="15"/>
      <c r="AY21" s="58"/>
      <c r="AZ21" s="58"/>
      <c r="BA21" s="15"/>
      <c r="BB21" s="58"/>
      <c r="BC21" s="58"/>
      <c r="BD21" s="15"/>
      <c r="BE21" s="58"/>
      <c r="BF21" s="58"/>
      <c r="BG21" s="15"/>
      <c r="BH21" s="58"/>
      <c r="BI21" s="58"/>
      <c r="BJ21" s="15"/>
      <c r="BK21" s="58"/>
      <c r="BL21" s="58"/>
      <c r="BM21" s="58"/>
      <c r="BN21" s="15"/>
      <c r="BO21" s="58"/>
      <c r="BP21" s="58"/>
      <c r="BQ21" s="15"/>
      <c r="BR21" s="58"/>
      <c r="BS21" s="58"/>
      <c r="BT21" s="15"/>
      <c r="BU21" s="58"/>
      <c r="BV21" s="58"/>
      <c r="BW21" s="15"/>
      <c r="BX21" s="58"/>
      <c r="BY21" s="58"/>
      <c r="BZ21" s="15"/>
      <c r="CA21" s="58"/>
      <c r="CB21" s="58"/>
      <c r="CC21" s="15"/>
      <c r="CD21" s="58"/>
      <c r="CE21" s="58"/>
      <c r="CF21" s="58"/>
      <c r="CG21" s="15"/>
      <c r="CH21" s="58"/>
      <c r="CI21" s="58"/>
      <c r="CJ21" s="15"/>
      <c r="CK21" s="58"/>
      <c r="CL21" s="58"/>
      <c r="CM21" s="15"/>
      <c r="CN21" s="58"/>
      <c r="CO21" s="58"/>
      <c r="CP21" s="15"/>
      <c r="CQ21" s="58"/>
      <c r="CR21" s="58"/>
      <c r="CS21" s="15"/>
      <c r="CT21" s="58"/>
      <c r="CU21" s="58"/>
      <c r="CV21" s="15"/>
      <c r="CW21" s="58"/>
      <c r="CX21" s="58"/>
      <c r="CY21" s="58"/>
      <c r="CZ21" s="15"/>
      <c r="DA21" s="58"/>
      <c r="DB21" s="58"/>
      <c r="DC21" s="15"/>
      <c r="DD21" s="58"/>
      <c r="DE21" s="58"/>
      <c r="DF21" s="15"/>
      <c r="DG21" s="58"/>
      <c r="DH21" s="58"/>
      <c r="DI21" s="15"/>
      <c r="DJ21" s="58"/>
      <c r="DK21" s="58"/>
      <c r="DL21" s="15"/>
      <c r="DM21" s="58"/>
      <c r="DN21" s="58"/>
      <c r="DO21" s="15"/>
      <c r="DP21" s="58"/>
      <c r="DQ21" s="58"/>
      <c r="DR21" s="58"/>
      <c r="DS21" s="15"/>
      <c r="DT21" s="58"/>
      <c r="DU21" s="58"/>
      <c r="DV21" s="15"/>
      <c r="DW21" s="58"/>
      <c r="DX21" s="58"/>
      <c r="DY21" s="15"/>
      <c r="DZ21" s="58"/>
      <c r="EA21" s="58"/>
      <c r="EB21" s="15"/>
      <c r="EC21" s="58"/>
      <c r="ED21" s="58"/>
      <c r="EE21" s="15"/>
      <c r="EF21" s="58"/>
      <c r="EG21" s="58"/>
      <c r="EH21" s="15"/>
      <c r="EI21" s="58"/>
      <c r="EJ21" s="58"/>
    </row>
    <row r="22" spans="1:140" x14ac:dyDescent="0.2">
      <c r="A22" t="s">
        <v>39</v>
      </c>
      <c r="B22" s="15" t="s">
        <v>40</v>
      </c>
      <c r="C22" s="78">
        <f>VLOOKUP(C6,'Lipid_Params '!$A:$C,2,FALSE)</f>
        <v>710.17</v>
      </c>
      <c r="D22" s="58">
        <f>VLOOKUP(D6,'Lipid_Params '!$A:$C,2,FALSE)</f>
        <v>710.17</v>
      </c>
      <c r="E22" s="1">
        <f>VLOOKUP(E6,'Lipid_Params '!$A:$C,2,FALSE)</f>
        <v>710.17</v>
      </c>
      <c r="F22" s="15">
        <f>VLOOKUP(F6,'Lipid_Params '!$A:$C,2,FALSE)</f>
        <v>710.17</v>
      </c>
      <c r="G22" s="58">
        <f>VLOOKUP(G6,'Lipid_Params '!$A:$C,2,FALSE)</f>
        <v>710.17</v>
      </c>
      <c r="H22" s="58">
        <f>VLOOKUP(H6,'Lipid_Params '!$A:$C,2,FALSE)</f>
        <v>710.17</v>
      </c>
      <c r="I22" s="15">
        <f>VLOOKUP(I6,'Lipid_Params '!$A:$C,2,FALSE)</f>
        <v>710.17</v>
      </c>
      <c r="J22" s="58">
        <f>VLOOKUP(J6,'Lipid_Params '!$A:$C,2,FALSE)</f>
        <v>710.17</v>
      </c>
      <c r="K22" s="58">
        <f>VLOOKUP(K6,'Lipid_Params '!$A:$C,2,FALSE)</f>
        <v>710.17</v>
      </c>
      <c r="L22" s="15">
        <f>VLOOKUP(L6,'Lipid_Params '!$A:$C,2,FALSE)</f>
        <v>710.17</v>
      </c>
      <c r="M22" s="58">
        <f>VLOOKUP(M6,'Lipid_Params '!$A:$C,2,FALSE)</f>
        <v>710.17</v>
      </c>
      <c r="N22" s="58">
        <f>VLOOKUP(N6,'Lipid_Params '!$A:$C,2,FALSE)</f>
        <v>710.17</v>
      </c>
      <c r="O22" s="15">
        <f>VLOOKUP(O6,'Lipid_Params '!$A:$C,2,FALSE)</f>
        <v>710.17</v>
      </c>
      <c r="P22" s="58">
        <f>VLOOKUP(P6,'Lipid_Params '!$A:$C,2,FALSE)</f>
        <v>710.17</v>
      </c>
      <c r="Q22" s="58">
        <f>VLOOKUP(Q6,'Lipid_Params '!$A:$C,2,FALSE)</f>
        <v>710.17</v>
      </c>
      <c r="R22" s="15">
        <f>VLOOKUP(R6,'Lipid_Params '!$A:$C,2,FALSE)</f>
        <v>710.17</v>
      </c>
      <c r="S22" s="58">
        <f>VLOOKUP(S6,'Lipid_Params '!$A:$C,2,FALSE)</f>
        <v>710.17</v>
      </c>
      <c r="T22" s="58">
        <f>VLOOKUP(T6,'Lipid_Params '!$A:$C,2,FALSE)</f>
        <v>710.17</v>
      </c>
      <c r="U22" s="15">
        <f>VLOOKUP(U6,'Lipid_Params '!$A:$C,2,FALSE)</f>
        <v>710.17</v>
      </c>
      <c r="V22" s="58">
        <f>VLOOKUP(V6,'Lipid_Params '!$A:$C,2,FALSE)</f>
        <v>710.17</v>
      </c>
      <c r="W22" s="58">
        <f>VLOOKUP(W6,'Lipid_Params '!$A:$C,2,FALSE)</f>
        <v>710.17</v>
      </c>
      <c r="X22" s="15">
        <f>VLOOKUP(X6,'Lipid_Params '!$A:$C,2,FALSE)</f>
        <v>710.17</v>
      </c>
      <c r="Y22" s="58">
        <f>VLOOKUP(Y6,'Lipid_Params '!$A:$C,2,FALSE)</f>
        <v>710.17</v>
      </c>
      <c r="Z22" s="58">
        <f>VLOOKUP(Z6,'Lipid_Params '!$A:$C,2,FALSE)</f>
        <v>710.17</v>
      </c>
      <c r="AA22" s="58" t="e">
        <f>VLOOKUP(AA6,'Lipid_Params '!$A:$C,2,FALSE)</f>
        <v>#N/A</v>
      </c>
      <c r="AB22" s="15" t="e">
        <f>VLOOKUP(AB6,'Lipid_Params '!$A:$C,2,FALSE)</f>
        <v>#N/A</v>
      </c>
      <c r="AC22" s="58" t="e">
        <f>VLOOKUP(AC6,'Lipid_Params '!$A:$C,2,FALSE)</f>
        <v>#N/A</v>
      </c>
      <c r="AD22" s="58" t="e">
        <f>VLOOKUP(AD6,'Lipid_Params '!$A:$C,2,FALSE)</f>
        <v>#N/A</v>
      </c>
      <c r="AE22" s="15" t="e">
        <f>VLOOKUP(AE6,'Lipid_Params '!$A:$C,2,FALSE)</f>
        <v>#N/A</v>
      </c>
      <c r="AF22" s="58" t="e">
        <f>VLOOKUP(AF6,'Lipid_Params '!$A:$C,2,FALSE)</f>
        <v>#N/A</v>
      </c>
      <c r="AG22" s="58" t="e">
        <f>VLOOKUP(AG6,'Lipid_Params '!$A:$C,2,FALSE)</f>
        <v>#N/A</v>
      </c>
      <c r="AH22" s="15" t="e">
        <f>VLOOKUP(AH6,'Lipid_Params '!$A:$C,2,FALSE)</f>
        <v>#N/A</v>
      </c>
      <c r="AI22" s="58" t="e">
        <f>VLOOKUP(AI6,'Lipid_Params '!$A:$C,2,FALSE)</f>
        <v>#N/A</v>
      </c>
      <c r="AJ22" s="58" t="e">
        <f>VLOOKUP(AJ6,'Lipid_Params '!$A:$C,2,FALSE)</f>
        <v>#N/A</v>
      </c>
      <c r="AK22" s="15" t="e">
        <f>VLOOKUP(AK6,'Lipid_Params '!$A:$C,2,FALSE)</f>
        <v>#N/A</v>
      </c>
      <c r="AL22" s="58" t="e">
        <f>VLOOKUP(AL6,'Lipid_Params '!$A:$C,2,FALSE)</f>
        <v>#N/A</v>
      </c>
      <c r="AM22" s="58" t="e">
        <f>VLOOKUP(AM6,'Lipid_Params '!$A:$C,2,FALSE)</f>
        <v>#N/A</v>
      </c>
      <c r="AN22" s="15" t="e">
        <f>VLOOKUP(AN6,'Lipid_Params '!$A:$C,2,FALSE)</f>
        <v>#N/A</v>
      </c>
      <c r="AO22" s="58" t="e">
        <f>VLOOKUP(AO6,'Lipid_Params '!$A:$C,2,FALSE)</f>
        <v>#N/A</v>
      </c>
      <c r="AP22" s="58" t="e">
        <f>VLOOKUP(AP6,'Lipid_Params '!$A:$C,2,FALSE)</f>
        <v>#N/A</v>
      </c>
      <c r="AQ22" s="15" t="e">
        <f>VLOOKUP(AQ6,'Lipid_Params '!$A:$C,2,FALSE)</f>
        <v>#N/A</v>
      </c>
      <c r="AR22" s="58" t="e">
        <f>VLOOKUP(AR6,'Lipid_Params '!$A:$C,2,FALSE)</f>
        <v>#N/A</v>
      </c>
      <c r="AS22" s="58" t="e">
        <f>VLOOKUP(AS6,'Lipid_Params '!$A:$C,2,FALSE)</f>
        <v>#N/A</v>
      </c>
      <c r="AT22" s="58" t="e">
        <f>VLOOKUP(AT6,'Lipid_Params '!$A:$C,2,FALSE)</f>
        <v>#N/A</v>
      </c>
      <c r="AU22" s="15" t="e">
        <f>VLOOKUP(AU6,'Lipid_Params '!$A:$C,2,FALSE)</f>
        <v>#N/A</v>
      </c>
      <c r="AV22" s="58" t="e">
        <f>VLOOKUP(AV6,'Lipid_Params '!$A:$C,2,FALSE)</f>
        <v>#N/A</v>
      </c>
      <c r="AW22" s="58" t="e">
        <f>VLOOKUP(AW6,'Lipid_Params '!$A:$C,2,FALSE)</f>
        <v>#N/A</v>
      </c>
      <c r="AX22" s="15" t="e">
        <f>VLOOKUP(AX6,'Lipid_Params '!$A:$C,2,FALSE)</f>
        <v>#N/A</v>
      </c>
      <c r="AY22" s="58" t="e">
        <f>VLOOKUP(AY6,'Lipid_Params '!$A:$C,2,FALSE)</f>
        <v>#N/A</v>
      </c>
      <c r="AZ22" s="58" t="e">
        <f>VLOOKUP(AZ6,'Lipid_Params '!$A:$C,2,FALSE)</f>
        <v>#N/A</v>
      </c>
      <c r="BA22" s="15" t="e">
        <f>VLOOKUP(BA6,'Lipid_Params '!$A:$C,2,FALSE)</f>
        <v>#N/A</v>
      </c>
      <c r="BB22" s="58" t="e">
        <f>VLOOKUP(BB6,'Lipid_Params '!$A:$C,2,FALSE)</f>
        <v>#N/A</v>
      </c>
      <c r="BC22" s="58" t="e">
        <f>VLOOKUP(BC6,'Lipid_Params '!$A:$C,2,FALSE)</f>
        <v>#N/A</v>
      </c>
      <c r="BD22" s="15" t="e">
        <f>VLOOKUP(BD6,'Lipid_Params '!$A:$C,2,FALSE)</f>
        <v>#N/A</v>
      </c>
      <c r="BE22" s="58" t="e">
        <f>VLOOKUP(BE6,'Lipid_Params '!$A:$C,2,FALSE)</f>
        <v>#N/A</v>
      </c>
      <c r="BF22" s="58" t="e">
        <f>VLOOKUP(BF6,'Lipid_Params '!$A:$C,2,FALSE)</f>
        <v>#N/A</v>
      </c>
      <c r="BG22" s="15" t="e">
        <f>VLOOKUP(BG6,'Lipid_Params '!$A:$C,2,FALSE)</f>
        <v>#N/A</v>
      </c>
      <c r="BH22" s="58" t="e">
        <f>VLOOKUP(BH6,'Lipid_Params '!$A:$C,2,FALSE)</f>
        <v>#N/A</v>
      </c>
      <c r="BI22" s="58" t="e">
        <f>VLOOKUP(BI6,'Lipid_Params '!$A:$C,2,FALSE)</f>
        <v>#N/A</v>
      </c>
      <c r="BJ22" s="15" t="e">
        <f>VLOOKUP(BJ6,'Lipid_Params '!$A:$C,2,FALSE)</f>
        <v>#N/A</v>
      </c>
      <c r="BK22" s="58" t="e">
        <f>VLOOKUP(BK6,'Lipid_Params '!$A:$C,2,FALSE)</f>
        <v>#N/A</v>
      </c>
      <c r="BL22" s="58" t="e">
        <f>VLOOKUP(BL6,'Lipid_Params '!$A:$C,2,FALSE)</f>
        <v>#N/A</v>
      </c>
      <c r="BM22" s="58" t="e">
        <f>VLOOKUP(BM6,'Lipid_Params '!$A:$C,2,FALSE)</f>
        <v>#N/A</v>
      </c>
      <c r="BN22" s="15" t="e">
        <f>VLOOKUP(BN6,'Lipid_Params '!$A:$C,2,FALSE)</f>
        <v>#N/A</v>
      </c>
      <c r="BO22" s="58" t="e">
        <f>VLOOKUP(BO6,'Lipid_Params '!$A:$C,2,FALSE)</f>
        <v>#N/A</v>
      </c>
      <c r="BP22" s="58" t="e">
        <f>VLOOKUP(BP6,'Lipid_Params '!$A:$C,2,FALSE)</f>
        <v>#N/A</v>
      </c>
      <c r="BQ22" s="15" t="e">
        <f>VLOOKUP(BQ6,'Lipid_Params '!$A:$C,2,FALSE)</f>
        <v>#N/A</v>
      </c>
      <c r="BR22" s="58" t="e">
        <f>VLOOKUP(BR6,'Lipid_Params '!$A:$C,2,FALSE)</f>
        <v>#N/A</v>
      </c>
      <c r="BS22" s="58" t="e">
        <f>VLOOKUP(BS6,'Lipid_Params '!$A:$C,2,FALSE)</f>
        <v>#N/A</v>
      </c>
      <c r="BT22" s="15" t="e">
        <f>VLOOKUP(BT6,'Lipid_Params '!$A:$C,2,FALSE)</f>
        <v>#N/A</v>
      </c>
      <c r="BU22" s="58" t="e">
        <f>VLOOKUP(BU6,'Lipid_Params '!$A:$C,2,FALSE)</f>
        <v>#N/A</v>
      </c>
      <c r="BV22" s="58" t="e">
        <f>VLOOKUP(BV6,'Lipid_Params '!$A:$C,2,FALSE)</f>
        <v>#N/A</v>
      </c>
      <c r="BW22" s="15" t="e">
        <f>VLOOKUP(BW6,'Lipid_Params '!$A:$C,2,FALSE)</f>
        <v>#N/A</v>
      </c>
      <c r="BX22" s="58" t="e">
        <f>VLOOKUP(BX6,'Lipid_Params '!$A:$C,2,FALSE)</f>
        <v>#N/A</v>
      </c>
      <c r="BY22" s="58" t="e">
        <f>VLOOKUP(BY6,'Lipid_Params '!$A:$C,2,FALSE)</f>
        <v>#N/A</v>
      </c>
      <c r="BZ22" s="15" t="e">
        <f>VLOOKUP(BZ6,'Lipid_Params '!$A:$C,2,FALSE)</f>
        <v>#N/A</v>
      </c>
      <c r="CA22" s="58" t="e">
        <f>VLOOKUP(CA6,'Lipid_Params '!$A:$C,2,FALSE)</f>
        <v>#N/A</v>
      </c>
      <c r="CB22" s="58" t="e">
        <f>VLOOKUP(CB6,'Lipid_Params '!$A:$C,2,FALSE)</f>
        <v>#N/A</v>
      </c>
      <c r="CC22" s="15" t="e">
        <f>VLOOKUP(CC6,'Lipid_Params '!$A:$C,2,FALSE)</f>
        <v>#N/A</v>
      </c>
      <c r="CD22" s="58" t="e">
        <f>VLOOKUP(CD6,'Lipid_Params '!$A:$C,2,FALSE)</f>
        <v>#N/A</v>
      </c>
      <c r="CE22" s="58" t="e">
        <f>VLOOKUP(CE6,'Lipid_Params '!$A:$C,2,FALSE)</f>
        <v>#N/A</v>
      </c>
      <c r="CF22" s="58" t="e">
        <f>VLOOKUP(CF6,'Lipid_Params '!$A:$C,2,FALSE)</f>
        <v>#N/A</v>
      </c>
      <c r="CG22" s="15" t="e">
        <f>VLOOKUP(CG6,'Lipid_Params '!$A:$C,2,FALSE)</f>
        <v>#N/A</v>
      </c>
      <c r="CH22" s="58" t="e">
        <f>VLOOKUP(CH6,'Lipid_Params '!$A:$C,2,FALSE)</f>
        <v>#N/A</v>
      </c>
      <c r="CI22" s="58" t="e">
        <f>VLOOKUP(CI6,'Lipid_Params '!$A:$C,2,FALSE)</f>
        <v>#N/A</v>
      </c>
      <c r="CJ22" s="15" t="e">
        <f>VLOOKUP(CJ6,'Lipid_Params '!$A:$C,2,FALSE)</f>
        <v>#N/A</v>
      </c>
      <c r="CK22" s="58" t="e">
        <f>VLOOKUP(CK6,'Lipid_Params '!$A:$C,2,FALSE)</f>
        <v>#N/A</v>
      </c>
      <c r="CL22" s="58" t="e">
        <f>VLOOKUP(CL6,'Lipid_Params '!$A:$C,2,FALSE)</f>
        <v>#N/A</v>
      </c>
      <c r="CM22" s="15" t="e">
        <f>VLOOKUP(CM6,'Lipid_Params '!$A:$C,2,FALSE)</f>
        <v>#N/A</v>
      </c>
      <c r="CN22" s="58" t="e">
        <f>VLOOKUP(CN6,'Lipid_Params '!$A:$C,2,FALSE)</f>
        <v>#N/A</v>
      </c>
      <c r="CO22" s="58" t="e">
        <f>VLOOKUP(CO6,'Lipid_Params '!$A:$C,2,FALSE)</f>
        <v>#N/A</v>
      </c>
      <c r="CP22" s="15" t="e">
        <f>VLOOKUP(CP6,'Lipid_Params '!$A:$C,2,FALSE)</f>
        <v>#N/A</v>
      </c>
      <c r="CQ22" s="58" t="e">
        <f>VLOOKUP(CQ6,'Lipid_Params '!$A:$C,2,FALSE)</f>
        <v>#N/A</v>
      </c>
      <c r="CR22" s="58" t="e">
        <f>VLOOKUP(CR6,'Lipid_Params '!$A:$C,2,FALSE)</f>
        <v>#N/A</v>
      </c>
      <c r="CS22" s="15" t="e">
        <f>VLOOKUP(CS6,'Lipid_Params '!$A:$C,2,FALSE)</f>
        <v>#N/A</v>
      </c>
      <c r="CT22" s="58" t="e">
        <f>VLOOKUP(CT6,'Lipid_Params '!$A:$C,2,FALSE)</f>
        <v>#N/A</v>
      </c>
      <c r="CU22" s="58" t="e">
        <f>VLOOKUP(CU6,'Lipid_Params '!$A:$C,2,FALSE)</f>
        <v>#N/A</v>
      </c>
      <c r="CV22" s="15" t="e">
        <f>VLOOKUP(CV6,'Lipid_Params '!$A:$C,2,FALSE)</f>
        <v>#N/A</v>
      </c>
      <c r="CW22" s="58" t="e">
        <f>VLOOKUP(CW6,'Lipid_Params '!$A:$C,2,FALSE)</f>
        <v>#N/A</v>
      </c>
      <c r="CX22" s="58" t="e">
        <f>VLOOKUP(CX6,'Lipid_Params '!$A:$C,2,FALSE)</f>
        <v>#N/A</v>
      </c>
      <c r="CY22" s="58" t="e">
        <f>VLOOKUP(CY6,'Lipid_Params '!$A:$C,2,FALSE)</f>
        <v>#N/A</v>
      </c>
      <c r="CZ22" s="15" t="e">
        <f>VLOOKUP(CZ6,'Lipid_Params '!$A:$C,2,FALSE)</f>
        <v>#N/A</v>
      </c>
      <c r="DA22" s="58" t="e">
        <f>VLOOKUP(DA6,'Lipid_Params '!$A:$C,2,FALSE)</f>
        <v>#N/A</v>
      </c>
      <c r="DB22" s="58" t="e">
        <f>VLOOKUP(DB6,'Lipid_Params '!$A:$C,2,FALSE)</f>
        <v>#N/A</v>
      </c>
      <c r="DC22" s="15" t="e">
        <f>VLOOKUP(DC6,'Lipid_Params '!$A:$C,2,FALSE)</f>
        <v>#N/A</v>
      </c>
      <c r="DD22" s="58" t="e">
        <f>VLOOKUP(DD6,'Lipid_Params '!$A:$C,2,FALSE)</f>
        <v>#N/A</v>
      </c>
      <c r="DE22" s="58" t="e">
        <f>VLOOKUP(DE6,'Lipid_Params '!$A:$C,2,FALSE)</f>
        <v>#N/A</v>
      </c>
      <c r="DF22" s="15" t="e">
        <f>VLOOKUP(DF6,'Lipid_Params '!$A:$C,2,FALSE)</f>
        <v>#N/A</v>
      </c>
      <c r="DG22" s="58" t="e">
        <f>VLOOKUP(DG6,'Lipid_Params '!$A:$C,2,FALSE)</f>
        <v>#N/A</v>
      </c>
      <c r="DH22" s="58" t="e">
        <f>VLOOKUP(DH6,'Lipid_Params '!$A:$C,2,FALSE)</f>
        <v>#N/A</v>
      </c>
      <c r="DI22" s="15" t="e">
        <f>VLOOKUP(DI6,'Lipid_Params '!$A:$C,2,FALSE)</f>
        <v>#N/A</v>
      </c>
      <c r="DJ22" s="58" t="e">
        <f>VLOOKUP(DJ6,'Lipid_Params '!$A:$C,2,FALSE)</f>
        <v>#N/A</v>
      </c>
      <c r="DK22" s="58" t="e">
        <f>VLOOKUP(DK6,'Lipid_Params '!$A:$C,2,FALSE)</f>
        <v>#N/A</v>
      </c>
      <c r="DL22" s="15" t="e">
        <f>VLOOKUP(DL6,'Lipid_Params '!$A:$C,2,FALSE)</f>
        <v>#N/A</v>
      </c>
      <c r="DM22" s="58" t="e">
        <f>VLOOKUP(DM6,'Lipid_Params '!$A:$C,2,FALSE)</f>
        <v>#N/A</v>
      </c>
      <c r="DN22" s="58" t="e">
        <f>VLOOKUP(DN6,'Lipid_Params '!$A:$C,2,FALSE)</f>
        <v>#N/A</v>
      </c>
      <c r="DO22" s="15" t="e">
        <f>VLOOKUP(DO6,'Lipid_Params '!$A:$C,2,FALSE)</f>
        <v>#N/A</v>
      </c>
      <c r="DP22" s="58" t="e">
        <f>VLOOKUP(DP6,'Lipid_Params '!$A:$C,2,FALSE)</f>
        <v>#N/A</v>
      </c>
      <c r="DQ22" s="58" t="e">
        <f>VLOOKUP(DQ6,'Lipid_Params '!$A:$C,2,FALSE)</f>
        <v>#N/A</v>
      </c>
      <c r="DR22" s="58" t="e">
        <f>VLOOKUP(DR6,'Lipid_Params '!$A:$C,2,FALSE)</f>
        <v>#N/A</v>
      </c>
      <c r="DS22" s="15" t="e">
        <f>VLOOKUP(DS6,'Lipid_Params '!$A:$C,2,FALSE)</f>
        <v>#N/A</v>
      </c>
      <c r="DT22" s="58" t="e">
        <f>VLOOKUP(DT6,'Lipid_Params '!$A:$C,2,FALSE)</f>
        <v>#N/A</v>
      </c>
      <c r="DU22" s="58" t="e">
        <f>VLOOKUP(DU6,'Lipid_Params '!$A:$C,2,FALSE)</f>
        <v>#N/A</v>
      </c>
      <c r="DV22" s="15" t="e">
        <f>VLOOKUP(DV6,'Lipid_Params '!$A:$C,2,FALSE)</f>
        <v>#N/A</v>
      </c>
      <c r="DW22" s="58" t="e">
        <f>VLOOKUP(DW6,'Lipid_Params '!$A:$C,2,FALSE)</f>
        <v>#N/A</v>
      </c>
      <c r="DX22" s="58" t="e">
        <f>VLOOKUP(DX6,'Lipid_Params '!$A:$C,2,FALSE)</f>
        <v>#N/A</v>
      </c>
      <c r="DY22" s="15" t="e">
        <f>VLOOKUP(DY6,'Lipid_Params '!$A:$C,2,FALSE)</f>
        <v>#N/A</v>
      </c>
      <c r="DZ22" s="58" t="e">
        <f>VLOOKUP(DZ6,'Lipid_Params '!$A:$C,2,FALSE)</f>
        <v>#N/A</v>
      </c>
      <c r="EA22" s="58" t="e">
        <f>VLOOKUP(EA6,'Lipid_Params '!$A:$C,2,FALSE)</f>
        <v>#N/A</v>
      </c>
      <c r="EB22" s="15" t="e">
        <f>VLOOKUP(EB6,'Lipid_Params '!$A:$C,2,FALSE)</f>
        <v>#N/A</v>
      </c>
      <c r="EC22" s="58" t="e">
        <f>VLOOKUP(EC6,'Lipid_Params '!$A:$C,2,FALSE)</f>
        <v>#N/A</v>
      </c>
      <c r="ED22" s="58" t="e">
        <f>VLOOKUP(ED6,'Lipid_Params '!$A:$C,2,FALSE)</f>
        <v>#N/A</v>
      </c>
      <c r="EE22" s="15" t="e">
        <f>VLOOKUP(EE6,'Lipid_Params '!$A:$C,2,FALSE)</f>
        <v>#N/A</v>
      </c>
      <c r="EF22" s="58" t="e">
        <f>VLOOKUP(EF6,'Lipid_Params '!$A:$C,2,FALSE)</f>
        <v>#N/A</v>
      </c>
      <c r="EG22" s="58" t="e">
        <f>VLOOKUP(EG6,'Lipid_Params '!$A:$C,2,FALSE)</f>
        <v>#N/A</v>
      </c>
      <c r="EH22" s="15" t="e">
        <f>VLOOKUP(EH6,'Lipid_Params '!$A:$C,2,FALSE)</f>
        <v>#N/A</v>
      </c>
      <c r="EI22" s="58" t="e">
        <f>VLOOKUP(EI6,'Lipid_Params '!$A:$C,2,FALSE)</f>
        <v>#N/A</v>
      </c>
      <c r="EJ22" s="58" t="e">
        <f>VLOOKUP(EJ6,'Lipid_Params '!$A:$C,2,FALSE)</f>
        <v>#N/A</v>
      </c>
    </row>
    <row r="23" spans="1:140" x14ac:dyDescent="0.2">
      <c r="A23" t="s">
        <v>41</v>
      </c>
      <c r="B23" s="15" t="s">
        <v>40</v>
      </c>
      <c r="C23" s="78">
        <f>VLOOKUP(C7,'Lipid_Params '!$A:$C,2,FALSE)</f>
        <v>790.14499999999998</v>
      </c>
      <c r="D23" s="58">
        <f>VLOOKUP(D7,'Lipid_Params '!$A:$C,2,FALSE)</f>
        <v>790.14499999999998</v>
      </c>
      <c r="E23" s="1">
        <f>VLOOKUP(E7,'Lipid_Params '!$A:$C,2,FALSE)</f>
        <v>790.14499999999998</v>
      </c>
      <c r="F23" s="15">
        <f>VLOOKUP(F7,'Lipid_Params '!$A:$C,2,FALSE)</f>
        <v>790.14499999999998</v>
      </c>
      <c r="G23" s="58">
        <f>VLOOKUP(G7,'Lipid_Params '!$A:$C,2,FALSE)</f>
        <v>790.14499999999998</v>
      </c>
      <c r="H23" s="58">
        <f>VLOOKUP(H7,'Lipid_Params '!$A:$C,2,FALSE)</f>
        <v>790.14499999999998</v>
      </c>
      <c r="I23" s="15">
        <f>VLOOKUP(I7,'Lipid_Params '!$A:$C,2,FALSE)</f>
        <v>790.14499999999998</v>
      </c>
      <c r="J23" s="58">
        <f>VLOOKUP(J7,'Lipid_Params '!$A:$C,2,FALSE)</f>
        <v>790.14499999999998</v>
      </c>
      <c r="K23" s="58">
        <f>VLOOKUP(K7,'Lipid_Params '!$A:$C,2,FALSE)</f>
        <v>790.14499999999998</v>
      </c>
      <c r="L23" s="15">
        <f>VLOOKUP(L7,'Lipid_Params '!$A:$C,2,FALSE)</f>
        <v>790.14499999999998</v>
      </c>
      <c r="M23" s="58">
        <f>VLOOKUP(M7,'Lipid_Params '!$A:$C,2,FALSE)</f>
        <v>790.14499999999998</v>
      </c>
      <c r="N23" s="58">
        <f>VLOOKUP(N7,'Lipid_Params '!$A:$C,2,FALSE)</f>
        <v>790.14499999999998</v>
      </c>
      <c r="O23" s="15">
        <f>VLOOKUP(O7,'Lipid_Params '!$A:$C,2,FALSE)</f>
        <v>790.14499999999998</v>
      </c>
      <c r="P23" s="58">
        <f>VLOOKUP(P7,'Lipid_Params '!$A:$C,2,FALSE)</f>
        <v>790.14499999999998</v>
      </c>
      <c r="Q23" s="58">
        <f>VLOOKUP(Q7,'Lipid_Params '!$A:$C,2,FALSE)</f>
        <v>790.14499999999998</v>
      </c>
      <c r="R23" s="15">
        <f>VLOOKUP(R7,'Lipid_Params '!$A:$C,2,FALSE)</f>
        <v>790.14499999999998</v>
      </c>
      <c r="S23" s="58">
        <f>VLOOKUP(S7,'Lipid_Params '!$A:$C,2,FALSE)</f>
        <v>790.14499999999998</v>
      </c>
      <c r="T23" s="58">
        <f>VLOOKUP(T7,'Lipid_Params '!$A:$C,2,FALSE)</f>
        <v>790.14499999999998</v>
      </c>
      <c r="U23" s="15">
        <f>VLOOKUP(U7,'Lipid_Params '!$A:$C,2,FALSE)</f>
        <v>790.14499999999998</v>
      </c>
      <c r="V23" s="58">
        <f>VLOOKUP(V7,'Lipid_Params '!$A:$C,2,FALSE)</f>
        <v>790.14499999999998</v>
      </c>
      <c r="W23" s="58">
        <f>VLOOKUP(W7,'Lipid_Params '!$A:$C,2,FALSE)</f>
        <v>790.14499999999998</v>
      </c>
      <c r="X23" s="15">
        <f>VLOOKUP(X7,'Lipid_Params '!$A:$C,2,FALSE)</f>
        <v>790.14499999999998</v>
      </c>
      <c r="Y23" s="58">
        <f>VLOOKUP(Y7,'Lipid_Params '!$A:$C,2,FALSE)</f>
        <v>790.14499999999998</v>
      </c>
      <c r="Z23" s="58">
        <f>VLOOKUP(Z7,'Lipid_Params '!$A:$C,2,FALSE)</f>
        <v>790.14499999999998</v>
      </c>
      <c r="AA23" s="58" t="e">
        <f>VLOOKUP(AA7,'Lipid_Params '!$A:$C,2,FALSE)</f>
        <v>#N/A</v>
      </c>
      <c r="AB23" s="15" t="e">
        <f>VLOOKUP(AB7,'Lipid_Params '!$A:$C,2,FALSE)</f>
        <v>#N/A</v>
      </c>
      <c r="AC23" s="58" t="e">
        <f>VLOOKUP(AC7,'Lipid_Params '!$A:$C,2,FALSE)</f>
        <v>#N/A</v>
      </c>
      <c r="AD23" s="58" t="e">
        <f>VLOOKUP(AD7,'Lipid_Params '!$A:$C,2,FALSE)</f>
        <v>#N/A</v>
      </c>
      <c r="AE23" s="15" t="e">
        <f>VLOOKUP(AE7,'Lipid_Params '!$A:$C,2,FALSE)</f>
        <v>#N/A</v>
      </c>
      <c r="AF23" s="58" t="e">
        <f>VLOOKUP(AF7,'Lipid_Params '!$A:$C,2,FALSE)</f>
        <v>#N/A</v>
      </c>
      <c r="AG23" s="58" t="e">
        <f>VLOOKUP(AG7,'Lipid_Params '!$A:$C,2,FALSE)</f>
        <v>#N/A</v>
      </c>
      <c r="AH23" s="15" t="e">
        <f>VLOOKUP(AH7,'Lipid_Params '!$A:$C,2,FALSE)</f>
        <v>#N/A</v>
      </c>
      <c r="AI23" s="58" t="e">
        <f>VLOOKUP(AI7,'Lipid_Params '!$A:$C,2,FALSE)</f>
        <v>#N/A</v>
      </c>
      <c r="AJ23" s="58" t="e">
        <f>VLOOKUP(AJ7,'Lipid_Params '!$A:$C,2,FALSE)</f>
        <v>#N/A</v>
      </c>
      <c r="AK23" s="15" t="e">
        <f>VLOOKUP(AK7,'Lipid_Params '!$A:$C,2,FALSE)</f>
        <v>#N/A</v>
      </c>
      <c r="AL23" s="58" t="e">
        <f>VLOOKUP(AL7,'Lipid_Params '!$A:$C,2,FALSE)</f>
        <v>#N/A</v>
      </c>
      <c r="AM23" s="58" t="e">
        <f>VLOOKUP(AM7,'Lipid_Params '!$A:$C,2,FALSE)</f>
        <v>#N/A</v>
      </c>
      <c r="AN23" s="15" t="e">
        <f>VLOOKUP(AN7,'Lipid_Params '!$A:$C,2,FALSE)</f>
        <v>#N/A</v>
      </c>
      <c r="AO23" s="58" t="e">
        <f>VLOOKUP(AO7,'Lipid_Params '!$A:$C,2,FALSE)</f>
        <v>#N/A</v>
      </c>
      <c r="AP23" s="58" t="e">
        <f>VLOOKUP(AP7,'Lipid_Params '!$A:$C,2,FALSE)</f>
        <v>#N/A</v>
      </c>
      <c r="AQ23" s="15" t="e">
        <f>VLOOKUP(AQ7,'Lipid_Params '!$A:$C,2,FALSE)</f>
        <v>#N/A</v>
      </c>
      <c r="AR23" s="58" t="e">
        <f>VLOOKUP(AR7,'Lipid_Params '!$A:$C,2,FALSE)</f>
        <v>#N/A</v>
      </c>
      <c r="AS23" s="58" t="e">
        <f>VLOOKUP(AS7,'Lipid_Params '!$A:$C,2,FALSE)</f>
        <v>#N/A</v>
      </c>
      <c r="AT23" s="58" t="e">
        <f>VLOOKUP(AT7,'Lipid_Params '!$A:$C,2,FALSE)</f>
        <v>#N/A</v>
      </c>
      <c r="AU23" s="15" t="e">
        <f>VLOOKUP(AU7,'Lipid_Params '!$A:$C,2,FALSE)</f>
        <v>#N/A</v>
      </c>
      <c r="AV23" s="58" t="e">
        <f>VLOOKUP(AV7,'Lipid_Params '!$A:$C,2,FALSE)</f>
        <v>#N/A</v>
      </c>
      <c r="AW23" s="58" t="e">
        <f>VLOOKUP(AW7,'Lipid_Params '!$A:$C,2,FALSE)</f>
        <v>#N/A</v>
      </c>
      <c r="AX23" s="15" t="e">
        <f>VLOOKUP(AX7,'Lipid_Params '!$A:$C,2,FALSE)</f>
        <v>#N/A</v>
      </c>
      <c r="AY23" s="58" t="e">
        <f>VLOOKUP(AY7,'Lipid_Params '!$A:$C,2,FALSE)</f>
        <v>#N/A</v>
      </c>
      <c r="AZ23" s="58" t="e">
        <f>VLOOKUP(AZ7,'Lipid_Params '!$A:$C,2,FALSE)</f>
        <v>#N/A</v>
      </c>
      <c r="BA23" s="15" t="e">
        <f>VLOOKUP(BA7,'Lipid_Params '!$A:$C,2,FALSE)</f>
        <v>#N/A</v>
      </c>
      <c r="BB23" s="58" t="e">
        <f>VLOOKUP(BB7,'Lipid_Params '!$A:$C,2,FALSE)</f>
        <v>#N/A</v>
      </c>
      <c r="BC23" s="58" t="e">
        <f>VLOOKUP(BC7,'Lipid_Params '!$A:$C,2,FALSE)</f>
        <v>#N/A</v>
      </c>
      <c r="BD23" s="15" t="e">
        <f>VLOOKUP(BD7,'Lipid_Params '!$A:$C,2,FALSE)</f>
        <v>#N/A</v>
      </c>
      <c r="BE23" s="58" t="e">
        <f>VLOOKUP(BE7,'Lipid_Params '!$A:$C,2,FALSE)</f>
        <v>#N/A</v>
      </c>
      <c r="BF23" s="58" t="e">
        <f>VLOOKUP(BF7,'Lipid_Params '!$A:$C,2,FALSE)</f>
        <v>#N/A</v>
      </c>
      <c r="BG23" s="15" t="e">
        <f>VLOOKUP(BG7,'Lipid_Params '!$A:$C,2,FALSE)</f>
        <v>#N/A</v>
      </c>
      <c r="BH23" s="58" t="e">
        <f>VLOOKUP(BH7,'Lipid_Params '!$A:$C,2,FALSE)</f>
        <v>#N/A</v>
      </c>
      <c r="BI23" s="58" t="e">
        <f>VLOOKUP(BI7,'Lipid_Params '!$A:$C,2,FALSE)</f>
        <v>#N/A</v>
      </c>
      <c r="BJ23" s="15" t="e">
        <f>VLOOKUP(BJ7,'Lipid_Params '!$A:$C,2,FALSE)</f>
        <v>#N/A</v>
      </c>
      <c r="BK23" s="58" t="e">
        <f>VLOOKUP(BK7,'Lipid_Params '!$A:$C,2,FALSE)</f>
        <v>#N/A</v>
      </c>
      <c r="BL23" s="58" t="e">
        <f>VLOOKUP(BL7,'Lipid_Params '!$A:$C,2,FALSE)</f>
        <v>#N/A</v>
      </c>
      <c r="BM23" s="58" t="e">
        <f>VLOOKUP(BM7,'Lipid_Params '!$A:$C,2,FALSE)</f>
        <v>#N/A</v>
      </c>
      <c r="BN23" s="15" t="e">
        <f>VLOOKUP(BN7,'Lipid_Params '!$A:$C,2,FALSE)</f>
        <v>#N/A</v>
      </c>
      <c r="BO23" s="58" t="e">
        <f>VLOOKUP(BO7,'Lipid_Params '!$A:$C,2,FALSE)</f>
        <v>#N/A</v>
      </c>
      <c r="BP23" s="58" t="e">
        <f>VLOOKUP(BP7,'Lipid_Params '!$A:$C,2,FALSE)</f>
        <v>#N/A</v>
      </c>
      <c r="BQ23" s="15" t="e">
        <f>VLOOKUP(BQ7,'Lipid_Params '!$A:$C,2,FALSE)</f>
        <v>#N/A</v>
      </c>
      <c r="BR23" s="58" t="e">
        <f>VLOOKUP(BR7,'Lipid_Params '!$A:$C,2,FALSE)</f>
        <v>#N/A</v>
      </c>
      <c r="BS23" s="58" t="e">
        <f>VLOOKUP(BS7,'Lipid_Params '!$A:$C,2,FALSE)</f>
        <v>#N/A</v>
      </c>
      <c r="BT23" s="15" t="e">
        <f>VLOOKUP(BT7,'Lipid_Params '!$A:$C,2,FALSE)</f>
        <v>#N/A</v>
      </c>
      <c r="BU23" s="58" t="e">
        <f>VLOOKUP(BU7,'Lipid_Params '!$A:$C,2,FALSE)</f>
        <v>#N/A</v>
      </c>
      <c r="BV23" s="58" t="e">
        <f>VLOOKUP(BV7,'Lipid_Params '!$A:$C,2,FALSE)</f>
        <v>#N/A</v>
      </c>
      <c r="BW23" s="15" t="e">
        <f>VLOOKUP(BW7,'Lipid_Params '!$A:$C,2,FALSE)</f>
        <v>#N/A</v>
      </c>
      <c r="BX23" s="58" t="e">
        <f>VLOOKUP(BX7,'Lipid_Params '!$A:$C,2,FALSE)</f>
        <v>#N/A</v>
      </c>
      <c r="BY23" s="58" t="e">
        <f>VLOOKUP(BY7,'Lipid_Params '!$A:$C,2,FALSE)</f>
        <v>#N/A</v>
      </c>
      <c r="BZ23" s="15" t="e">
        <f>VLOOKUP(BZ7,'Lipid_Params '!$A:$C,2,FALSE)</f>
        <v>#N/A</v>
      </c>
      <c r="CA23" s="58" t="e">
        <f>VLOOKUP(CA7,'Lipid_Params '!$A:$C,2,FALSE)</f>
        <v>#N/A</v>
      </c>
      <c r="CB23" s="58" t="e">
        <f>VLOOKUP(CB7,'Lipid_Params '!$A:$C,2,FALSE)</f>
        <v>#N/A</v>
      </c>
      <c r="CC23" s="15" t="e">
        <f>VLOOKUP(CC7,'Lipid_Params '!$A:$C,2,FALSE)</f>
        <v>#N/A</v>
      </c>
      <c r="CD23" s="58" t="e">
        <f>VLOOKUP(CD7,'Lipid_Params '!$A:$C,2,FALSE)</f>
        <v>#N/A</v>
      </c>
      <c r="CE23" s="58" t="e">
        <f>VLOOKUP(CE7,'Lipid_Params '!$A:$C,2,FALSE)</f>
        <v>#N/A</v>
      </c>
      <c r="CF23" s="58" t="e">
        <f>VLOOKUP(CF7,'Lipid_Params '!$A:$C,2,FALSE)</f>
        <v>#N/A</v>
      </c>
      <c r="CG23" s="15" t="e">
        <f>VLOOKUP(CG7,'Lipid_Params '!$A:$C,2,FALSE)</f>
        <v>#N/A</v>
      </c>
      <c r="CH23" s="58" t="e">
        <f>VLOOKUP(CH7,'Lipid_Params '!$A:$C,2,FALSE)</f>
        <v>#N/A</v>
      </c>
      <c r="CI23" s="58" t="e">
        <f>VLOOKUP(CI7,'Lipid_Params '!$A:$C,2,FALSE)</f>
        <v>#N/A</v>
      </c>
      <c r="CJ23" s="15" t="e">
        <f>VLOOKUP(CJ7,'Lipid_Params '!$A:$C,2,FALSE)</f>
        <v>#N/A</v>
      </c>
      <c r="CK23" s="58" t="e">
        <f>VLOOKUP(CK7,'Lipid_Params '!$A:$C,2,FALSE)</f>
        <v>#N/A</v>
      </c>
      <c r="CL23" s="58" t="e">
        <f>VLOOKUP(CL7,'Lipid_Params '!$A:$C,2,FALSE)</f>
        <v>#N/A</v>
      </c>
      <c r="CM23" s="15" t="e">
        <f>VLOOKUP(CM7,'Lipid_Params '!$A:$C,2,FALSE)</f>
        <v>#N/A</v>
      </c>
      <c r="CN23" s="58" t="e">
        <f>VLOOKUP(CN7,'Lipid_Params '!$A:$C,2,FALSE)</f>
        <v>#N/A</v>
      </c>
      <c r="CO23" s="58" t="e">
        <f>VLOOKUP(CO7,'Lipid_Params '!$A:$C,2,FALSE)</f>
        <v>#N/A</v>
      </c>
      <c r="CP23" s="15" t="e">
        <f>VLOOKUP(CP7,'Lipid_Params '!$A:$C,2,FALSE)</f>
        <v>#N/A</v>
      </c>
      <c r="CQ23" s="58" t="e">
        <f>VLOOKUP(CQ7,'Lipid_Params '!$A:$C,2,FALSE)</f>
        <v>#N/A</v>
      </c>
      <c r="CR23" s="58" t="e">
        <f>VLOOKUP(CR7,'Lipid_Params '!$A:$C,2,FALSE)</f>
        <v>#N/A</v>
      </c>
      <c r="CS23" s="15" t="e">
        <f>VLOOKUP(CS7,'Lipid_Params '!$A:$C,2,FALSE)</f>
        <v>#N/A</v>
      </c>
      <c r="CT23" s="58" t="e">
        <f>VLOOKUP(CT7,'Lipid_Params '!$A:$C,2,FALSE)</f>
        <v>#N/A</v>
      </c>
      <c r="CU23" s="58" t="e">
        <f>VLOOKUP(CU7,'Lipid_Params '!$A:$C,2,FALSE)</f>
        <v>#N/A</v>
      </c>
      <c r="CV23" s="15" t="e">
        <f>VLOOKUP(CV7,'Lipid_Params '!$A:$C,2,FALSE)</f>
        <v>#N/A</v>
      </c>
      <c r="CW23" s="58" t="e">
        <f>VLOOKUP(CW7,'Lipid_Params '!$A:$C,2,FALSE)</f>
        <v>#N/A</v>
      </c>
      <c r="CX23" s="58" t="e">
        <f>VLOOKUP(CX7,'Lipid_Params '!$A:$C,2,FALSE)</f>
        <v>#N/A</v>
      </c>
      <c r="CY23" s="58" t="e">
        <f>VLOOKUP(CY7,'Lipid_Params '!$A:$C,2,FALSE)</f>
        <v>#N/A</v>
      </c>
      <c r="CZ23" s="15" t="e">
        <f>VLOOKUP(CZ7,'Lipid_Params '!$A:$C,2,FALSE)</f>
        <v>#N/A</v>
      </c>
      <c r="DA23" s="58" t="e">
        <f>VLOOKUP(DA7,'Lipid_Params '!$A:$C,2,FALSE)</f>
        <v>#N/A</v>
      </c>
      <c r="DB23" s="58" t="e">
        <f>VLOOKUP(DB7,'Lipid_Params '!$A:$C,2,FALSE)</f>
        <v>#N/A</v>
      </c>
      <c r="DC23" s="15" t="e">
        <f>VLOOKUP(DC7,'Lipid_Params '!$A:$C,2,FALSE)</f>
        <v>#N/A</v>
      </c>
      <c r="DD23" s="58" t="e">
        <f>VLOOKUP(DD7,'Lipid_Params '!$A:$C,2,FALSE)</f>
        <v>#N/A</v>
      </c>
      <c r="DE23" s="58" t="e">
        <f>VLOOKUP(DE7,'Lipid_Params '!$A:$C,2,FALSE)</f>
        <v>#N/A</v>
      </c>
      <c r="DF23" s="15" t="e">
        <f>VLOOKUP(DF7,'Lipid_Params '!$A:$C,2,FALSE)</f>
        <v>#N/A</v>
      </c>
      <c r="DG23" s="58" t="e">
        <f>VLOOKUP(DG7,'Lipid_Params '!$A:$C,2,FALSE)</f>
        <v>#N/A</v>
      </c>
      <c r="DH23" s="58" t="e">
        <f>VLOOKUP(DH7,'Lipid_Params '!$A:$C,2,FALSE)</f>
        <v>#N/A</v>
      </c>
      <c r="DI23" s="15" t="e">
        <f>VLOOKUP(DI7,'Lipid_Params '!$A:$C,2,FALSE)</f>
        <v>#N/A</v>
      </c>
      <c r="DJ23" s="58" t="e">
        <f>VLOOKUP(DJ7,'Lipid_Params '!$A:$C,2,FALSE)</f>
        <v>#N/A</v>
      </c>
      <c r="DK23" s="58" t="e">
        <f>VLOOKUP(DK7,'Lipid_Params '!$A:$C,2,FALSE)</f>
        <v>#N/A</v>
      </c>
      <c r="DL23" s="15" t="e">
        <f>VLOOKUP(DL7,'Lipid_Params '!$A:$C,2,FALSE)</f>
        <v>#N/A</v>
      </c>
      <c r="DM23" s="58" t="e">
        <f>VLOOKUP(DM7,'Lipid_Params '!$A:$C,2,FALSE)</f>
        <v>#N/A</v>
      </c>
      <c r="DN23" s="58" t="e">
        <f>VLOOKUP(DN7,'Lipid_Params '!$A:$C,2,FALSE)</f>
        <v>#N/A</v>
      </c>
      <c r="DO23" s="15" t="e">
        <f>VLOOKUP(DO7,'Lipid_Params '!$A:$C,2,FALSE)</f>
        <v>#N/A</v>
      </c>
      <c r="DP23" s="58" t="e">
        <f>VLOOKUP(DP7,'Lipid_Params '!$A:$C,2,FALSE)</f>
        <v>#N/A</v>
      </c>
      <c r="DQ23" s="58" t="e">
        <f>VLOOKUP(DQ7,'Lipid_Params '!$A:$C,2,FALSE)</f>
        <v>#N/A</v>
      </c>
      <c r="DR23" s="58" t="e">
        <f>VLOOKUP(DR7,'Lipid_Params '!$A:$C,2,FALSE)</f>
        <v>#N/A</v>
      </c>
      <c r="DS23" s="15" t="e">
        <f>VLOOKUP(DS7,'Lipid_Params '!$A:$C,2,FALSE)</f>
        <v>#N/A</v>
      </c>
      <c r="DT23" s="58" t="e">
        <f>VLOOKUP(DT7,'Lipid_Params '!$A:$C,2,FALSE)</f>
        <v>#N/A</v>
      </c>
      <c r="DU23" s="58" t="e">
        <f>VLOOKUP(DU7,'Lipid_Params '!$A:$C,2,FALSE)</f>
        <v>#N/A</v>
      </c>
      <c r="DV23" s="15" t="e">
        <f>VLOOKUP(DV7,'Lipid_Params '!$A:$C,2,FALSE)</f>
        <v>#N/A</v>
      </c>
      <c r="DW23" s="58" t="e">
        <f>VLOOKUP(DW7,'Lipid_Params '!$A:$C,2,FALSE)</f>
        <v>#N/A</v>
      </c>
      <c r="DX23" s="58" t="e">
        <f>VLOOKUP(DX7,'Lipid_Params '!$A:$C,2,FALSE)</f>
        <v>#N/A</v>
      </c>
      <c r="DY23" s="15" t="e">
        <f>VLOOKUP(DY7,'Lipid_Params '!$A:$C,2,FALSE)</f>
        <v>#N/A</v>
      </c>
      <c r="DZ23" s="58" t="e">
        <f>VLOOKUP(DZ7,'Lipid_Params '!$A:$C,2,FALSE)</f>
        <v>#N/A</v>
      </c>
      <c r="EA23" s="58" t="e">
        <f>VLOOKUP(EA7,'Lipid_Params '!$A:$C,2,FALSE)</f>
        <v>#N/A</v>
      </c>
      <c r="EB23" s="15" t="e">
        <f>VLOOKUP(EB7,'Lipid_Params '!$A:$C,2,FALSE)</f>
        <v>#N/A</v>
      </c>
      <c r="EC23" s="58" t="e">
        <f>VLOOKUP(EC7,'Lipid_Params '!$A:$C,2,FALSE)</f>
        <v>#N/A</v>
      </c>
      <c r="ED23" s="58" t="e">
        <f>VLOOKUP(ED7,'Lipid_Params '!$A:$C,2,FALSE)</f>
        <v>#N/A</v>
      </c>
      <c r="EE23" s="15" t="e">
        <f>VLOOKUP(EE7,'Lipid_Params '!$A:$C,2,FALSE)</f>
        <v>#N/A</v>
      </c>
      <c r="EF23" s="58" t="e">
        <f>VLOOKUP(EF7,'Lipid_Params '!$A:$C,2,FALSE)</f>
        <v>#N/A</v>
      </c>
      <c r="EG23" s="58" t="e">
        <f>VLOOKUP(EG7,'Lipid_Params '!$A:$C,2,FALSE)</f>
        <v>#N/A</v>
      </c>
      <c r="EH23" s="15" t="e">
        <f>VLOOKUP(EH7,'Lipid_Params '!$A:$C,2,FALSE)</f>
        <v>#N/A</v>
      </c>
      <c r="EI23" s="58" t="e">
        <f>VLOOKUP(EI7,'Lipid_Params '!$A:$C,2,FALSE)</f>
        <v>#N/A</v>
      </c>
      <c r="EJ23" s="58" t="e">
        <f>VLOOKUP(EJ7,'Lipid_Params '!$A:$C,2,FALSE)</f>
        <v>#N/A</v>
      </c>
    </row>
    <row r="24" spans="1:140" x14ac:dyDescent="0.2">
      <c r="A24" t="s">
        <v>42</v>
      </c>
      <c r="B24" s="15" t="s">
        <v>40</v>
      </c>
      <c r="C24" s="78">
        <f>VLOOKUP(C8,'Lipid_Params '!$A:$C,2,FALSE)</f>
        <v>386.654</v>
      </c>
      <c r="D24" s="58">
        <f>VLOOKUP(D8,'Lipid_Params '!$A:$C,2,FALSE)</f>
        <v>386.654</v>
      </c>
      <c r="E24" s="1">
        <f>VLOOKUP(E8,'Lipid_Params '!$A:$C,2,FALSE)</f>
        <v>386.654</v>
      </c>
      <c r="F24" s="15">
        <f>VLOOKUP(F8,'Lipid_Params '!$A:$C,2,FALSE)</f>
        <v>386.654</v>
      </c>
      <c r="G24" s="58">
        <f>VLOOKUP(G8,'Lipid_Params '!$A:$C,2,FALSE)</f>
        <v>386.654</v>
      </c>
      <c r="H24" s="58">
        <f>VLOOKUP(H8,'Lipid_Params '!$A:$C,2,FALSE)</f>
        <v>386.654</v>
      </c>
      <c r="I24" s="15">
        <f>VLOOKUP(I8,'Lipid_Params '!$A:$C,2,FALSE)</f>
        <v>386.654</v>
      </c>
      <c r="J24" s="58">
        <f>VLOOKUP(J8,'Lipid_Params '!$A:$C,2,FALSE)</f>
        <v>386.654</v>
      </c>
      <c r="K24" s="58">
        <f>VLOOKUP(K8,'Lipid_Params '!$A:$C,2,FALSE)</f>
        <v>386.654</v>
      </c>
      <c r="L24" s="15">
        <f>VLOOKUP(L8,'Lipid_Params '!$A:$C,2,FALSE)</f>
        <v>386.654</v>
      </c>
      <c r="M24" s="58">
        <f>VLOOKUP(M8,'Lipid_Params '!$A:$C,2,FALSE)</f>
        <v>386.654</v>
      </c>
      <c r="N24" s="58">
        <f>VLOOKUP(N8,'Lipid_Params '!$A:$C,2,FALSE)</f>
        <v>386.654</v>
      </c>
      <c r="O24" s="15">
        <f>VLOOKUP(O8,'Lipid_Params '!$A:$C,2,FALSE)</f>
        <v>386.654</v>
      </c>
      <c r="P24" s="58">
        <f>VLOOKUP(P8,'Lipid_Params '!$A:$C,2,FALSE)</f>
        <v>386.654</v>
      </c>
      <c r="Q24" s="58">
        <f>VLOOKUP(Q8,'Lipid_Params '!$A:$C,2,FALSE)</f>
        <v>386.654</v>
      </c>
      <c r="R24" s="15">
        <f>VLOOKUP(R8,'Lipid_Params '!$A:$C,2,FALSE)</f>
        <v>386.654</v>
      </c>
      <c r="S24" s="58">
        <f>VLOOKUP(S8,'Lipid_Params '!$A:$C,2,FALSE)</f>
        <v>386.654</v>
      </c>
      <c r="T24" s="58">
        <f>VLOOKUP(T8,'Lipid_Params '!$A:$C,2,FALSE)</f>
        <v>386.654</v>
      </c>
      <c r="U24" s="15">
        <f>VLOOKUP(U8,'Lipid_Params '!$A:$C,2,FALSE)</f>
        <v>386.654</v>
      </c>
      <c r="V24" s="58">
        <f>VLOOKUP(V8,'Lipid_Params '!$A:$C,2,FALSE)</f>
        <v>386.654</v>
      </c>
      <c r="W24" s="58">
        <f>VLOOKUP(W8,'Lipid_Params '!$A:$C,2,FALSE)</f>
        <v>386.654</v>
      </c>
      <c r="X24" s="15">
        <f>VLOOKUP(X8,'Lipid_Params '!$A:$C,2,FALSE)</f>
        <v>386.654</v>
      </c>
      <c r="Y24" s="58">
        <f>VLOOKUP(Y8,'Lipid_Params '!$A:$C,2,FALSE)</f>
        <v>386.654</v>
      </c>
      <c r="Z24" s="58">
        <f>VLOOKUP(Z8,'Lipid_Params '!$A:$C,2,FALSE)</f>
        <v>386.654</v>
      </c>
      <c r="AA24" s="58" t="e">
        <f>VLOOKUP(AA8,'Lipid_Params '!$A:$C,2,FALSE)</f>
        <v>#N/A</v>
      </c>
      <c r="AB24" s="15" t="e">
        <f>VLOOKUP(AB8,'Lipid_Params '!$A:$C,2,FALSE)</f>
        <v>#N/A</v>
      </c>
      <c r="AC24" s="58" t="e">
        <f>VLOOKUP(AC8,'Lipid_Params '!$A:$C,2,FALSE)</f>
        <v>#N/A</v>
      </c>
      <c r="AD24" s="58" t="e">
        <f>VLOOKUP(AD8,'Lipid_Params '!$A:$C,2,FALSE)</f>
        <v>#N/A</v>
      </c>
      <c r="AE24" s="15" t="e">
        <f>VLOOKUP(AE8,'Lipid_Params '!$A:$C,2,FALSE)</f>
        <v>#N/A</v>
      </c>
      <c r="AF24" s="58" t="e">
        <f>VLOOKUP(AF8,'Lipid_Params '!$A:$C,2,FALSE)</f>
        <v>#N/A</v>
      </c>
      <c r="AG24" s="58" t="e">
        <f>VLOOKUP(AG8,'Lipid_Params '!$A:$C,2,FALSE)</f>
        <v>#N/A</v>
      </c>
      <c r="AH24" s="15" t="e">
        <f>VLOOKUP(AH8,'Lipid_Params '!$A:$C,2,FALSE)</f>
        <v>#N/A</v>
      </c>
      <c r="AI24" s="58" t="e">
        <f>VLOOKUP(AI8,'Lipid_Params '!$A:$C,2,FALSE)</f>
        <v>#N/A</v>
      </c>
      <c r="AJ24" s="58" t="e">
        <f>VLOOKUP(AJ8,'Lipid_Params '!$A:$C,2,FALSE)</f>
        <v>#N/A</v>
      </c>
      <c r="AK24" s="15" t="e">
        <f>VLOOKUP(AK8,'Lipid_Params '!$A:$C,2,FALSE)</f>
        <v>#N/A</v>
      </c>
      <c r="AL24" s="58" t="e">
        <f>VLOOKUP(AL8,'Lipid_Params '!$A:$C,2,FALSE)</f>
        <v>#N/A</v>
      </c>
      <c r="AM24" s="58" t="e">
        <f>VLOOKUP(AM8,'Lipid_Params '!$A:$C,2,FALSE)</f>
        <v>#N/A</v>
      </c>
      <c r="AN24" s="15" t="e">
        <f>VLOOKUP(AN8,'Lipid_Params '!$A:$C,2,FALSE)</f>
        <v>#N/A</v>
      </c>
      <c r="AO24" s="58" t="e">
        <f>VLOOKUP(AO8,'Lipid_Params '!$A:$C,2,FALSE)</f>
        <v>#N/A</v>
      </c>
      <c r="AP24" s="58" t="e">
        <f>VLOOKUP(AP8,'Lipid_Params '!$A:$C,2,FALSE)</f>
        <v>#N/A</v>
      </c>
      <c r="AQ24" s="15" t="e">
        <f>VLOOKUP(AQ8,'Lipid_Params '!$A:$C,2,FALSE)</f>
        <v>#N/A</v>
      </c>
      <c r="AR24" s="58" t="e">
        <f>VLOOKUP(AR8,'Lipid_Params '!$A:$C,2,FALSE)</f>
        <v>#N/A</v>
      </c>
      <c r="AS24" s="58" t="e">
        <f>VLOOKUP(AS8,'Lipid_Params '!$A:$C,2,FALSE)</f>
        <v>#N/A</v>
      </c>
      <c r="AT24" s="58" t="e">
        <f>VLOOKUP(AT8,'Lipid_Params '!$A:$C,2,FALSE)</f>
        <v>#N/A</v>
      </c>
      <c r="AU24" s="15" t="e">
        <f>VLOOKUP(AU8,'Lipid_Params '!$A:$C,2,FALSE)</f>
        <v>#N/A</v>
      </c>
      <c r="AV24" s="58" t="e">
        <f>VLOOKUP(AV8,'Lipid_Params '!$A:$C,2,FALSE)</f>
        <v>#N/A</v>
      </c>
      <c r="AW24" s="58" t="e">
        <f>VLOOKUP(AW8,'Lipid_Params '!$A:$C,2,FALSE)</f>
        <v>#N/A</v>
      </c>
      <c r="AX24" s="15" t="e">
        <f>VLOOKUP(AX8,'Lipid_Params '!$A:$C,2,FALSE)</f>
        <v>#N/A</v>
      </c>
      <c r="AY24" s="58" t="e">
        <f>VLOOKUP(AY8,'Lipid_Params '!$A:$C,2,FALSE)</f>
        <v>#N/A</v>
      </c>
      <c r="AZ24" s="58" t="e">
        <f>VLOOKUP(AZ8,'Lipid_Params '!$A:$C,2,FALSE)</f>
        <v>#N/A</v>
      </c>
      <c r="BA24" s="15" t="e">
        <f>VLOOKUP(BA8,'Lipid_Params '!$A:$C,2,FALSE)</f>
        <v>#N/A</v>
      </c>
      <c r="BB24" s="58" t="e">
        <f>VLOOKUP(BB8,'Lipid_Params '!$A:$C,2,FALSE)</f>
        <v>#N/A</v>
      </c>
      <c r="BC24" s="58" t="e">
        <f>VLOOKUP(BC8,'Lipid_Params '!$A:$C,2,FALSE)</f>
        <v>#N/A</v>
      </c>
      <c r="BD24" s="15" t="e">
        <f>VLOOKUP(BD8,'Lipid_Params '!$A:$C,2,FALSE)</f>
        <v>#N/A</v>
      </c>
      <c r="BE24" s="58" t="e">
        <f>VLOOKUP(BE8,'Lipid_Params '!$A:$C,2,FALSE)</f>
        <v>#N/A</v>
      </c>
      <c r="BF24" s="58" t="e">
        <f>VLOOKUP(BF8,'Lipid_Params '!$A:$C,2,FALSE)</f>
        <v>#N/A</v>
      </c>
      <c r="BG24" s="15" t="e">
        <f>VLOOKUP(BG8,'Lipid_Params '!$A:$C,2,FALSE)</f>
        <v>#N/A</v>
      </c>
      <c r="BH24" s="58" t="e">
        <f>VLOOKUP(BH8,'Lipid_Params '!$A:$C,2,FALSE)</f>
        <v>#N/A</v>
      </c>
      <c r="BI24" s="58" t="e">
        <f>VLOOKUP(BI8,'Lipid_Params '!$A:$C,2,FALSE)</f>
        <v>#N/A</v>
      </c>
      <c r="BJ24" s="15" t="e">
        <f>VLOOKUP(BJ8,'Lipid_Params '!$A:$C,2,FALSE)</f>
        <v>#N/A</v>
      </c>
      <c r="BK24" s="58" t="e">
        <f>VLOOKUP(BK8,'Lipid_Params '!$A:$C,2,FALSE)</f>
        <v>#N/A</v>
      </c>
      <c r="BL24" s="58" t="e">
        <f>VLOOKUP(BL8,'Lipid_Params '!$A:$C,2,FALSE)</f>
        <v>#N/A</v>
      </c>
      <c r="BM24" s="58" t="e">
        <f>VLOOKUP(BM8,'Lipid_Params '!$A:$C,2,FALSE)</f>
        <v>#N/A</v>
      </c>
      <c r="BN24" s="15" t="e">
        <f>VLOOKUP(BN8,'Lipid_Params '!$A:$C,2,FALSE)</f>
        <v>#N/A</v>
      </c>
      <c r="BO24" s="58" t="e">
        <f>VLOOKUP(BO8,'Lipid_Params '!$A:$C,2,FALSE)</f>
        <v>#N/A</v>
      </c>
      <c r="BP24" s="58" t="e">
        <f>VLOOKUP(BP8,'Lipid_Params '!$A:$C,2,FALSE)</f>
        <v>#N/A</v>
      </c>
      <c r="BQ24" s="15" t="e">
        <f>VLOOKUP(BQ8,'Lipid_Params '!$A:$C,2,FALSE)</f>
        <v>#N/A</v>
      </c>
      <c r="BR24" s="58" t="e">
        <f>VLOOKUP(BR8,'Lipid_Params '!$A:$C,2,FALSE)</f>
        <v>#N/A</v>
      </c>
      <c r="BS24" s="58" t="e">
        <f>VLOOKUP(BS8,'Lipid_Params '!$A:$C,2,FALSE)</f>
        <v>#N/A</v>
      </c>
      <c r="BT24" s="15" t="e">
        <f>VLOOKUP(BT8,'Lipid_Params '!$A:$C,2,FALSE)</f>
        <v>#N/A</v>
      </c>
      <c r="BU24" s="58" t="e">
        <f>VLOOKUP(BU8,'Lipid_Params '!$A:$C,2,FALSE)</f>
        <v>#N/A</v>
      </c>
      <c r="BV24" s="58" t="e">
        <f>VLOOKUP(BV8,'Lipid_Params '!$A:$C,2,FALSE)</f>
        <v>#N/A</v>
      </c>
      <c r="BW24" s="15" t="e">
        <f>VLOOKUP(BW8,'Lipid_Params '!$A:$C,2,FALSE)</f>
        <v>#N/A</v>
      </c>
      <c r="BX24" s="58" t="e">
        <f>VLOOKUP(BX8,'Lipid_Params '!$A:$C,2,FALSE)</f>
        <v>#N/A</v>
      </c>
      <c r="BY24" s="58" t="e">
        <f>VLOOKUP(BY8,'Lipid_Params '!$A:$C,2,FALSE)</f>
        <v>#N/A</v>
      </c>
      <c r="BZ24" s="15" t="e">
        <f>VLOOKUP(BZ8,'Lipid_Params '!$A:$C,2,FALSE)</f>
        <v>#N/A</v>
      </c>
      <c r="CA24" s="58" t="e">
        <f>VLOOKUP(CA8,'Lipid_Params '!$A:$C,2,FALSE)</f>
        <v>#N/A</v>
      </c>
      <c r="CB24" s="58" t="e">
        <f>VLOOKUP(CB8,'Lipid_Params '!$A:$C,2,FALSE)</f>
        <v>#N/A</v>
      </c>
      <c r="CC24" s="15" t="e">
        <f>VLOOKUP(CC8,'Lipid_Params '!$A:$C,2,FALSE)</f>
        <v>#N/A</v>
      </c>
      <c r="CD24" s="58" t="e">
        <f>VLOOKUP(CD8,'Lipid_Params '!$A:$C,2,FALSE)</f>
        <v>#N/A</v>
      </c>
      <c r="CE24" s="58" t="e">
        <f>VLOOKUP(CE8,'Lipid_Params '!$A:$C,2,FALSE)</f>
        <v>#N/A</v>
      </c>
      <c r="CF24" s="58" t="e">
        <f>VLOOKUP(CF8,'Lipid_Params '!$A:$C,2,FALSE)</f>
        <v>#N/A</v>
      </c>
      <c r="CG24" s="15" t="e">
        <f>VLOOKUP(CG8,'Lipid_Params '!$A:$C,2,FALSE)</f>
        <v>#N/A</v>
      </c>
      <c r="CH24" s="58" t="e">
        <f>VLOOKUP(CH8,'Lipid_Params '!$A:$C,2,FALSE)</f>
        <v>#N/A</v>
      </c>
      <c r="CI24" s="58" t="e">
        <f>VLOOKUP(CI8,'Lipid_Params '!$A:$C,2,FALSE)</f>
        <v>#N/A</v>
      </c>
      <c r="CJ24" s="15" t="e">
        <f>VLOOKUP(CJ8,'Lipid_Params '!$A:$C,2,FALSE)</f>
        <v>#N/A</v>
      </c>
      <c r="CK24" s="58" t="e">
        <f>VLOOKUP(CK8,'Lipid_Params '!$A:$C,2,FALSE)</f>
        <v>#N/A</v>
      </c>
      <c r="CL24" s="58" t="e">
        <f>VLOOKUP(CL8,'Lipid_Params '!$A:$C,2,FALSE)</f>
        <v>#N/A</v>
      </c>
      <c r="CM24" s="15" t="e">
        <f>VLOOKUP(CM8,'Lipid_Params '!$A:$C,2,FALSE)</f>
        <v>#N/A</v>
      </c>
      <c r="CN24" s="58" t="e">
        <f>VLOOKUP(CN8,'Lipid_Params '!$A:$C,2,FALSE)</f>
        <v>#N/A</v>
      </c>
      <c r="CO24" s="58" t="e">
        <f>VLOOKUP(CO8,'Lipid_Params '!$A:$C,2,FALSE)</f>
        <v>#N/A</v>
      </c>
      <c r="CP24" s="15" t="e">
        <f>VLOOKUP(CP8,'Lipid_Params '!$A:$C,2,FALSE)</f>
        <v>#N/A</v>
      </c>
      <c r="CQ24" s="58" t="e">
        <f>VLOOKUP(CQ8,'Lipid_Params '!$A:$C,2,FALSE)</f>
        <v>#N/A</v>
      </c>
      <c r="CR24" s="58" t="e">
        <f>VLOOKUP(CR8,'Lipid_Params '!$A:$C,2,FALSE)</f>
        <v>#N/A</v>
      </c>
      <c r="CS24" s="15" t="e">
        <f>VLOOKUP(CS8,'Lipid_Params '!$A:$C,2,FALSE)</f>
        <v>#N/A</v>
      </c>
      <c r="CT24" s="58" t="e">
        <f>VLOOKUP(CT8,'Lipid_Params '!$A:$C,2,FALSE)</f>
        <v>#N/A</v>
      </c>
      <c r="CU24" s="58" t="e">
        <f>VLOOKUP(CU8,'Lipid_Params '!$A:$C,2,FALSE)</f>
        <v>#N/A</v>
      </c>
      <c r="CV24" s="15" t="e">
        <f>VLOOKUP(CV8,'Lipid_Params '!$A:$C,2,FALSE)</f>
        <v>#N/A</v>
      </c>
      <c r="CW24" s="58" t="e">
        <f>VLOOKUP(CW8,'Lipid_Params '!$A:$C,2,FALSE)</f>
        <v>#N/A</v>
      </c>
      <c r="CX24" s="58" t="e">
        <f>VLOOKUP(CX8,'Lipid_Params '!$A:$C,2,FALSE)</f>
        <v>#N/A</v>
      </c>
      <c r="CY24" s="58" t="e">
        <f>VLOOKUP(CY8,'Lipid_Params '!$A:$C,2,FALSE)</f>
        <v>#N/A</v>
      </c>
      <c r="CZ24" s="15" t="e">
        <f>VLOOKUP(CZ8,'Lipid_Params '!$A:$C,2,FALSE)</f>
        <v>#N/A</v>
      </c>
      <c r="DA24" s="58" t="e">
        <f>VLOOKUP(DA8,'Lipid_Params '!$A:$C,2,FALSE)</f>
        <v>#N/A</v>
      </c>
      <c r="DB24" s="58" t="e">
        <f>VLOOKUP(DB8,'Lipid_Params '!$A:$C,2,FALSE)</f>
        <v>#N/A</v>
      </c>
      <c r="DC24" s="15" t="e">
        <f>VLOOKUP(DC8,'Lipid_Params '!$A:$C,2,FALSE)</f>
        <v>#N/A</v>
      </c>
      <c r="DD24" s="58" t="e">
        <f>VLOOKUP(DD8,'Lipid_Params '!$A:$C,2,FALSE)</f>
        <v>#N/A</v>
      </c>
      <c r="DE24" s="58" t="e">
        <f>VLOOKUP(DE8,'Lipid_Params '!$A:$C,2,FALSE)</f>
        <v>#N/A</v>
      </c>
      <c r="DF24" s="15" t="e">
        <f>VLOOKUP(DF8,'Lipid_Params '!$A:$C,2,FALSE)</f>
        <v>#N/A</v>
      </c>
      <c r="DG24" s="58" t="e">
        <f>VLOOKUP(DG8,'Lipid_Params '!$A:$C,2,FALSE)</f>
        <v>#N/A</v>
      </c>
      <c r="DH24" s="58" t="e">
        <f>VLOOKUP(DH8,'Lipid_Params '!$A:$C,2,FALSE)</f>
        <v>#N/A</v>
      </c>
      <c r="DI24" s="15" t="e">
        <f>VLOOKUP(DI8,'Lipid_Params '!$A:$C,2,FALSE)</f>
        <v>#N/A</v>
      </c>
      <c r="DJ24" s="58" t="e">
        <f>VLOOKUP(DJ8,'Lipid_Params '!$A:$C,2,FALSE)</f>
        <v>#N/A</v>
      </c>
      <c r="DK24" s="58" t="e">
        <f>VLOOKUP(DK8,'Lipid_Params '!$A:$C,2,FALSE)</f>
        <v>#N/A</v>
      </c>
      <c r="DL24" s="15" t="e">
        <f>VLOOKUP(DL8,'Lipid_Params '!$A:$C,2,FALSE)</f>
        <v>#N/A</v>
      </c>
      <c r="DM24" s="58" t="e">
        <f>VLOOKUP(DM8,'Lipid_Params '!$A:$C,2,FALSE)</f>
        <v>#N/A</v>
      </c>
      <c r="DN24" s="58" t="e">
        <f>VLOOKUP(DN8,'Lipid_Params '!$A:$C,2,FALSE)</f>
        <v>#N/A</v>
      </c>
      <c r="DO24" s="15" t="e">
        <f>VLOOKUP(DO8,'Lipid_Params '!$A:$C,2,FALSE)</f>
        <v>#N/A</v>
      </c>
      <c r="DP24" s="58" t="e">
        <f>VLOOKUP(DP8,'Lipid_Params '!$A:$C,2,FALSE)</f>
        <v>#N/A</v>
      </c>
      <c r="DQ24" s="58" t="e">
        <f>VLOOKUP(DQ8,'Lipid_Params '!$A:$C,2,FALSE)</f>
        <v>#N/A</v>
      </c>
      <c r="DR24" s="58" t="e">
        <f>VLOOKUP(DR8,'Lipid_Params '!$A:$C,2,FALSE)</f>
        <v>#N/A</v>
      </c>
      <c r="DS24" s="15" t="e">
        <f>VLOOKUP(DS8,'Lipid_Params '!$A:$C,2,FALSE)</f>
        <v>#N/A</v>
      </c>
      <c r="DT24" s="58" t="e">
        <f>VLOOKUP(DT8,'Lipid_Params '!$A:$C,2,FALSE)</f>
        <v>#N/A</v>
      </c>
      <c r="DU24" s="58" t="e">
        <f>VLOOKUP(DU8,'Lipid_Params '!$A:$C,2,FALSE)</f>
        <v>#N/A</v>
      </c>
      <c r="DV24" s="15" t="e">
        <f>VLOOKUP(DV8,'Lipid_Params '!$A:$C,2,FALSE)</f>
        <v>#N/A</v>
      </c>
      <c r="DW24" s="58" t="e">
        <f>VLOOKUP(DW8,'Lipid_Params '!$A:$C,2,FALSE)</f>
        <v>#N/A</v>
      </c>
      <c r="DX24" s="58" t="e">
        <f>VLOOKUP(DX8,'Lipid_Params '!$A:$C,2,FALSE)</f>
        <v>#N/A</v>
      </c>
      <c r="DY24" s="15" t="e">
        <f>VLOOKUP(DY8,'Lipid_Params '!$A:$C,2,FALSE)</f>
        <v>#N/A</v>
      </c>
      <c r="DZ24" s="58" t="e">
        <f>VLOOKUP(DZ8,'Lipid_Params '!$A:$C,2,FALSE)</f>
        <v>#N/A</v>
      </c>
      <c r="EA24" s="58" t="e">
        <f>VLOOKUP(EA8,'Lipid_Params '!$A:$C,2,FALSE)</f>
        <v>#N/A</v>
      </c>
      <c r="EB24" s="15" t="e">
        <f>VLOOKUP(EB8,'Lipid_Params '!$A:$C,2,FALSE)</f>
        <v>#N/A</v>
      </c>
      <c r="EC24" s="58" t="e">
        <f>VLOOKUP(EC8,'Lipid_Params '!$A:$C,2,FALSE)</f>
        <v>#N/A</v>
      </c>
      <c r="ED24" s="58" t="e">
        <f>VLOOKUP(ED8,'Lipid_Params '!$A:$C,2,FALSE)</f>
        <v>#N/A</v>
      </c>
      <c r="EE24" s="15" t="e">
        <f>VLOOKUP(EE8,'Lipid_Params '!$A:$C,2,FALSE)</f>
        <v>#N/A</v>
      </c>
      <c r="EF24" s="58" t="e">
        <f>VLOOKUP(EF8,'Lipid_Params '!$A:$C,2,FALSE)</f>
        <v>#N/A</v>
      </c>
      <c r="EG24" s="58" t="e">
        <f>VLOOKUP(EG8,'Lipid_Params '!$A:$C,2,FALSE)</f>
        <v>#N/A</v>
      </c>
      <c r="EH24" s="15" t="e">
        <f>VLOOKUP(EH8,'Lipid_Params '!$A:$C,2,FALSE)</f>
        <v>#N/A</v>
      </c>
      <c r="EI24" s="58" t="e">
        <f>VLOOKUP(EI8,'Lipid_Params '!$A:$C,2,FALSE)</f>
        <v>#N/A</v>
      </c>
      <c r="EJ24" s="58" t="e">
        <f>VLOOKUP(EJ8,'Lipid_Params '!$A:$C,2,FALSE)</f>
        <v>#N/A</v>
      </c>
    </row>
    <row r="25" spans="1:140" x14ac:dyDescent="0.2">
      <c r="A25" t="s">
        <v>43</v>
      </c>
      <c r="B25" s="15" t="s">
        <v>40</v>
      </c>
      <c r="C25" s="78">
        <f>VLOOKUP(C9,'Lipid_Params '!$A:$C,2,FALSE)</f>
        <v>2500</v>
      </c>
      <c r="D25" s="58">
        <f>VLOOKUP(D9,'Lipid_Params '!$A:$C,2,FALSE)</f>
        <v>2500</v>
      </c>
      <c r="E25" s="1">
        <f>VLOOKUP(E9,'Lipid_Params '!$A:$C,2,FALSE)</f>
        <v>2500</v>
      </c>
      <c r="F25" s="15">
        <f>VLOOKUP(F9,'Lipid_Params '!$A:$C,2,FALSE)</f>
        <v>2500</v>
      </c>
      <c r="G25" s="58">
        <f>VLOOKUP(G9,'Lipid_Params '!$A:$C,2,FALSE)</f>
        <v>2500</v>
      </c>
      <c r="H25" s="58">
        <f>VLOOKUP(H9,'Lipid_Params '!$A:$C,2,FALSE)</f>
        <v>2500</v>
      </c>
      <c r="I25" s="15">
        <f>VLOOKUP(I9,'Lipid_Params '!$A:$C,2,FALSE)</f>
        <v>2500</v>
      </c>
      <c r="J25" s="58">
        <f>VLOOKUP(J9,'Lipid_Params '!$A:$C,2,FALSE)</f>
        <v>2500</v>
      </c>
      <c r="K25" s="58">
        <f>VLOOKUP(K9,'Lipid_Params '!$A:$C,2,FALSE)</f>
        <v>2500</v>
      </c>
      <c r="L25" s="15">
        <f>VLOOKUP(L9,'Lipid_Params '!$A:$C,2,FALSE)</f>
        <v>2500</v>
      </c>
      <c r="M25" s="58">
        <f>VLOOKUP(M9,'Lipid_Params '!$A:$C,2,FALSE)</f>
        <v>2500</v>
      </c>
      <c r="N25" s="58">
        <f>VLOOKUP(N9,'Lipid_Params '!$A:$C,2,FALSE)</f>
        <v>2500</v>
      </c>
      <c r="O25" s="15">
        <f>VLOOKUP(O9,'Lipid_Params '!$A:$C,2,FALSE)</f>
        <v>2500</v>
      </c>
      <c r="P25" s="58">
        <f>VLOOKUP(P9,'Lipid_Params '!$A:$C,2,FALSE)</f>
        <v>2500</v>
      </c>
      <c r="Q25" s="58">
        <f>VLOOKUP(Q9,'Lipid_Params '!$A:$C,2,FALSE)</f>
        <v>2500</v>
      </c>
      <c r="R25" s="15">
        <f>VLOOKUP(R9,'Lipid_Params '!$A:$C,2,FALSE)</f>
        <v>2500</v>
      </c>
      <c r="S25" s="58">
        <f>VLOOKUP(S9,'Lipid_Params '!$A:$C,2,FALSE)</f>
        <v>2500</v>
      </c>
      <c r="T25" s="58">
        <f>VLOOKUP(T9,'Lipid_Params '!$A:$C,2,FALSE)</f>
        <v>2500</v>
      </c>
      <c r="U25" s="15">
        <f>VLOOKUP(U9,'Lipid_Params '!$A:$C,2,FALSE)</f>
        <v>2500</v>
      </c>
      <c r="V25" s="58">
        <f>VLOOKUP(V9,'Lipid_Params '!$A:$C,2,FALSE)</f>
        <v>2500</v>
      </c>
      <c r="W25" s="58">
        <f>VLOOKUP(W9,'Lipid_Params '!$A:$C,2,FALSE)</f>
        <v>2500</v>
      </c>
      <c r="X25" s="15">
        <f>VLOOKUP(X9,'Lipid_Params '!$A:$C,2,FALSE)</f>
        <v>2500</v>
      </c>
      <c r="Y25" s="58">
        <f>VLOOKUP(Y9,'Lipid_Params '!$A:$C,2,FALSE)</f>
        <v>2500</v>
      </c>
      <c r="Z25" s="58">
        <f>VLOOKUP(Z9,'Lipid_Params '!$A:$C,2,FALSE)</f>
        <v>2500</v>
      </c>
      <c r="AA25" s="58" t="e">
        <f>VLOOKUP(AA9,'Lipid_Params '!$A:$C,2,FALSE)</f>
        <v>#N/A</v>
      </c>
      <c r="AB25" s="15" t="e">
        <f>VLOOKUP(AB9,'Lipid_Params '!$A:$C,2,FALSE)</f>
        <v>#N/A</v>
      </c>
      <c r="AC25" s="58" t="e">
        <f>VLOOKUP(AC9,'Lipid_Params '!$A:$C,2,FALSE)</f>
        <v>#N/A</v>
      </c>
      <c r="AD25" s="58" t="e">
        <f>VLOOKUP(AD9,'Lipid_Params '!$A:$C,2,FALSE)</f>
        <v>#N/A</v>
      </c>
      <c r="AE25" s="15" t="e">
        <f>VLOOKUP(AE9,'Lipid_Params '!$A:$C,2,FALSE)</f>
        <v>#N/A</v>
      </c>
      <c r="AF25" s="58" t="e">
        <f>VLOOKUP(AF9,'Lipid_Params '!$A:$C,2,FALSE)</f>
        <v>#N/A</v>
      </c>
      <c r="AG25" s="58" t="e">
        <f>VLOOKUP(AG9,'Lipid_Params '!$A:$C,2,FALSE)</f>
        <v>#N/A</v>
      </c>
      <c r="AH25" s="15" t="e">
        <f>VLOOKUP(AH9,'Lipid_Params '!$A:$C,2,FALSE)</f>
        <v>#N/A</v>
      </c>
      <c r="AI25" s="58" t="e">
        <f>VLOOKUP(AI9,'Lipid_Params '!$A:$C,2,FALSE)</f>
        <v>#N/A</v>
      </c>
      <c r="AJ25" s="58" t="e">
        <f>VLOOKUP(AJ9,'Lipid_Params '!$A:$C,2,FALSE)</f>
        <v>#N/A</v>
      </c>
      <c r="AK25" s="15" t="e">
        <f>VLOOKUP(AK9,'Lipid_Params '!$A:$C,2,FALSE)</f>
        <v>#N/A</v>
      </c>
      <c r="AL25" s="58" t="e">
        <f>VLOOKUP(AL9,'Lipid_Params '!$A:$C,2,FALSE)</f>
        <v>#N/A</v>
      </c>
      <c r="AM25" s="58" t="e">
        <f>VLOOKUP(AM9,'Lipid_Params '!$A:$C,2,FALSE)</f>
        <v>#N/A</v>
      </c>
      <c r="AN25" s="15" t="e">
        <f>VLOOKUP(AN9,'Lipid_Params '!$A:$C,2,FALSE)</f>
        <v>#N/A</v>
      </c>
      <c r="AO25" s="58" t="e">
        <f>VLOOKUP(AO9,'Lipid_Params '!$A:$C,2,FALSE)</f>
        <v>#N/A</v>
      </c>
      <c r="AP25" s="58" t="e">
        <f>VLOOKUP(AP9,'Lipid_Params '!$A:$C,2,FALSE)</f>
        <v>#N/A</v>
      </c>
      <c r="AQ25" s="15" t="e">
        <f>VLOOKUP(AQ9,'Lipid_Params '!$A:$C,2,FALSE)</f>
        <v>#N/A</v>
      </c>
      <c r="AR25" s="58" t="e">
        <f>VLOOKUP(AR9,'Lipid_Params '!$A:$C,2,FALSE)</f>
        <v>#N/A</v>
      </c>
      <c r="AS25" s="58" t="e">
        <f>VLOOKUP(AS9,'Lipid_Params '!$A:$C,2,FALSE)</f>
        <v>#N/A</v>
      </c>
      <c r="AT25" s="58" t="e">
        <f>VLOOKUP(AT9,'Lipid_Params '!$A:$C,2,FALSE)</f>
        <v>#N/A</v>
      </c>
      <c r="AU25" s="15" t="e">
        <f>VLOOKUP(AU9,'Lipid_Params '!$A:$C,2,FALSE)</f>
        <v>#N/A</v>
      </c>
      <c r="AV25" s="58" t="e">
        <f>VLOOKUP(AV9,'Lipid_Params '!$A:$C,2,FALSE)</f>
        <v>#N/A</v>
      </c>
      <c r="AW25" s="58" t="e">
        <f>VLOOKUP(AW9,'Lipid_Params '!$A:$C,2,FALSE)</f>
        <v>#N/A</v>
      </c>
      <c r="AX25" s="15" t="e">
        <f>VLOOKUP(AX9,'Lipid_Params '!$A:$C,2,FALSE)</f>
        <v>#N/A</v>
      </c>
      <c r="AY25" s="58" t="e">
        <f>VLOOKUP(AY9,'Lipid_Params '!$A:$C,2,FALSE)</f>
        <v>#N/A</v>
      </c>
      <c r="AZ25" s="58" t="e">
        <f>VLOOKUP(AZ9,'Lipid_Params '!$A:$C,2,FALSE)</f>
        <v>#N/A</v>
      </c>
      <c r="BA25" s="15" t="e">
        <f>VLOOKUP(BA9,'Lipid_Params '!$A:$C,2,FALSE)</f>
        <v>#N/A</v>
      </c>
      <c r="BB25" s="58" t="e">
        <f>VLOOKUP(BB9,'Lipid_Params '!$A:$C,2,FALSE)</f>
        <v>#N/A</v>
      </c>
      <c r="BC25" s="58" t="e">
        <f>VLOOKUP(BC9,'Lipid_Params '!$A:$C,2,FALSE)</f>
        <v>#N/A</v>
      </c>
      <c r="BD25" s="15" t="e">
        <f>VLOOKUP(BD9,'Lipid_Params '!$A:$C,2,FALSE)</f>
        <v>#N/A</v>
      </c>
      <c r="BE25" s="58" t="e">
        <f>VLOOKUP(BE9,'Lipid_Params '!$A:$C,2,FALSE)</f>
        <v>#N/A</v>
      </c>
      <c r="BF25" s="58" t="e">
        <f>VLOOKUP(BF9,'Lipid_Params '!$A:$C,2,FALSE)</f>
        <v>#N/A</v>
      </c>
      <c r="BG25" s="15" t="e">
        <f>VLOOKUP(BG9,'Lipid_Params '!$A:$C,2,FALSE)</f>
        <v>#N/A</v>
      </c>
      <c r="BH25" s="58" t="e">
        <f>VLOOKUP(BH9,'Lipid_Params '!$A:$C,2,FALSE)</f>
        <v>#N/A</v>
      </c>
      <c r="BI25" s="58" t="e">
        <f>VLOOKUP(BI9,'Lipid_Params '!$A:$C,2,FALSE)</f>
        <v>#N/A</v>
      </c>
      <c r="BJ25" s="15" t="e">
        <f>VLOOKUP(BJ9,'Lipid_Params '!$A:$C,2,FALSE)</f>
        <v>#N/A</v>
      </c>
      <c r="BK25" s="58" t="e">
        <f>VLOOKUP(BK9,'Lipid_Params '!$A:$C,2,FALSE)</f>
        <v>#N/A</v>
      </c>
      <c r="BL25" s="58" t="e">
        <f>VLOOKUP(BL9,'Lipid_Params '!$A:$C,2,FALSE)</f>
        <v>#N/A</v>
      </c>
      <c r="BM25" s="58" t="e">
        <f>VLOOKUP(BM9,'Lipid_Params '!$A:$C,2,FALSE)</f>
        <v>#N/A</v>
      </c>
      <c r="BN25" s="15" t="e">
        <f>VLOOKUP(BN9,'Lipid_Params '!$A:$C,2,FALSE)</f>
        <v>#N/A</v>
      </c>
      <c r="BO25" s="58" t="e">
        <f>VLOOKUP(BO9,'Lipid_Params '!$A:$C,2,FALSE)</f>
        <v>#N/A</v>
      </c>
      <c r="BP25" s="58" t="e">
        <f>VLOOKUP(BP9,'Lipid_Params '!$A:$C,2,FALSE)</f>
        <v>#N/A</v>
      </c>
      <c r="BQ25" s="15" t="e">
        <f>VLOOKUP(BQ9,'Lipid_Params '!$A:$C,2,FALSE)</f>
        <v>#N/A</v>
      </c>
      <c r="BR25" s="58" t="e">
        <f>VLOOKUP(BR9,'Lipid_Params '!$A:$C,2,FALSE)</f>
        <v>#N/A</v>
      </c>
      <c r="BS25" s="58" t="e">
        <f>VLOOKUP(BS9,'Lipid_Params '!$A:$C,2,FALSE)</f>
        <v>#N/A</v>
      </c>
      <c r="BT25" s="15" t="e">
        <f>VLOOKUP(BT9,'Lipid_Params '!$A:$C,2,FALSE)</f>
        <v>#N/A</v>
      </c>
      <c r="BU25" s="58" t="e">
        <f>VLOOKUP(BU9,'Lipid_Params '!$A:$C,2,FALSE)</f>
        <v>#N/A</v>
      </c>
      <c r="BV25" s="58" t="e">
        <f>VLOOKUP(BV9,'Lipid_Params '!$A:$C,2,FALSE)</f>
        <v>#N/A</v>
      </c>
      <c r="BW25" s="15" t="e">
        <f>VLOOKUP(BW9,'Lipid_Params '!$A:$C,2,FALSE)</f>
        <v>#N/A</v>
      </c>
      <c r="BX25" s="58" t="e">
        <f>VLOOKUP(BX9,'Lipid_Params '!$A:$C,2,FALSE)</f>
        <v>#N/A</v>
      </c>
      <c r="BY25" s="58" t="e">
        <f>VLOOKUP(BY9,'Lipid_Params '!$A:$C,2,FALSE)</f>
        <v>#N/A</v>
      </c>
      <c r="BZ25" s="15" t="e">
        <f>VLOOKUP(BZ9,'Lipid_Params '!$A:$C,2,FALSE)</f>
        <v>#N/A</v>
      </c>
      <c r="CA25" s="58" t="e">
        <f>VLOOKUP(CA9,'Lipid_Params '!$A:$C,2,FALSE)</f>
        <v>#N/A</v>
      </c>
      <c r="CB25" s="58" t="e">
        <f>VLOOKUP(CB9,'Lipid_Params '!$A:$C,2,FALSE)</f>
        <v>#N/A</v>
      </c>
      <c r="CC25" s="15" t="e">
        <f>VLOOKUP(CC9,'Lipid_Params '!$A:$C,2,FALSE)</f>
        <v>#N/A</v>
      </c>
      <c r="CD25" s="58" t="e">
        <f>VLOOKUP(CD9,'Lipid_Params '!$A:$C,2,FALSE)</f>
        <v>#N/A</v>
      </c>
      <c r="CE25" s="58" t="e">
        <f>VLOOKUP(CE9,'Lipid_Params '!$A:$C,2,FALSE)</f>
        <v>#N/A</v>
      </c>
      <c r="CF25" s="58" t="e">
        <f>VLOOKUP(CF9,'Lipid_Params '!$A:$C,2,FALSE)</f>
        <v>#N/A</v>
      </c>
      <c r="CG25" s="15" t="e">
        <f>VLOOKUP(CG9,'Lipid_Params '!$A:$C,2,FALSE)</f>
        <v>#N/A</v>
      </c>
      <c r="CH25" s="58" t="e">
        <f>VLOOKUP(CH9,'Lipid_Params '!$A:$C,2,FALSE)</f>
        <v>#N/A</v>
      </c>
      <c r="CI25" s="58" t="e">
        <f>VLOOKUP(CI9,'Lipid_Params '!$A:$C,2,FALSE)</f>
        <v>#N/A</v>
      </c>
      <c r="CJ25" s="15" t="e">
        <f>VLOOKUP(CJ9,'Lipid_Params '!$A:$C,2,FALSE)</f>
        <v>#N/A</v>
      </c>
      <c r="CK25" s="58" t="e">
        <f>VLOOKUP(CK9,'Lipid_Params '!$A:$C,2,FALSE)</f>
        <v>#N/A</v>
      </c>
      <c r="CL25" s="58" t="e">
        <f>VLOOKUP(CL9,'Lipid_Params '!$A:$C,2,FALSE)</f>
        <v>#N/A</v>
      </c>
      <c r="CM25" s="15" t="e">
        <f>VLOOKUP(CM9,'Lipid_Params '!$A:$C,2,FALSE)</f>
        <v>#N/A</v>
      </c>
      <c r="CN25" s="58" t="e">
        <f>VLOOKUP(CN9,'Lipid_Params '!$A:$C,2,FALSE)</f>
        <v>#N/A</v>
      </c>
      <c r="CO25" s="58" t="e">
        <f>VLOOKUP(CO9,'Lipid_Params '!$A:$C,2,FALSE)</f>
        <v>#N/A</v>
      </c>
      <c r="CP25" s="15" t="e">
        <f>VLOOKUP(CP9,'Lipid_Params '!$A:$C,2,FALSE)</f>
        <v>#N/A</v>
      </c>
      <c r="CQ25" s="58" t="e">
        <f>VLOOKUP(CQ9,'Lipid_Params '!$A:$C,2,FALSE)</f>
        <v>#N/A</v>
      </c>
      <c r="CR25" s="58" t="e">
        <f>VLOOKUP(CR9,'Lipid_Params '!$A:$C,2,FALSE)</f>
        <v>#N/A</v>
      </c>
      <c r="CS25" s="15" t="e">
        <f>VLOOKUP(CS9,'Lipid_Params '!$A:$C,2,FALSE)</f>
        <v>#N/A</v>
      </c>
      <c r="CT25" s="58" t="e">
        <f>VLOOKUP(CT9,'Lipid_Params '!$A:$C,2,FALSE)</f>
        <v>#N/A</v>
      </c>
      <c r="CU25" s="58" t="e">
        <f>VLOOKUP(CU9,'Lipid_Params '!$A:$C,2,FALSE)</f>
        <v>#N/A</v>
      </c>
      <c r="CV25" s="15" t="e">
        <f>VLOOKUP(CV9,'Lipid_Params '!$A:$C,2,FALSE)</f>
        <v>#N/A</v>
      </c>
      <c r="CW25" s="58" t="e">
        <f>VLOOKUP(CW9,'Lipid_Params '!$A:$C,2,FALSE)</f>
        <v>#N/A</v>
      </c>
      <c r="CX25" s="58" t="e">
        <f>VLOOKUP(CX9,'Lipid_Params '!$A:$C,2,FALSE)</f>
        <v>#N/A</v>
      </c>
      <c r="CY25" s="58" t="e">
        <f>VLOOKUP(CY9,'Lipid_Params '!$A:$C,2,FALSE)</f>
        <v>#N/A</v>
      </c>
      <c r="CZ25" s="15" t="e">
        <f>VLOOKUP(CZ9,'Lipid_Params '!$A:$C,2,FALSE)</f>
        <v>#N/A</v>
      </c>
      <c r="DA25" s="58" t="e">
        <f>VLOOKUP(DA9,'Lipid_Params '!$A:$C,2,FALSE)</f>
        <v>#N/A</v>
      </c>
      <c r="DB25" s="58" t="e">
        <f>VLOOKUP(DB9,'Lipid_Params '!$A:$C,2,FALSE)</f>
        <v>#N/A</v>
      </c>
      <c r="DC25" s="15" t="e">
        <f>VLOOKUP(DC9,'Lipid_Params '!$A:$C,2,FALSE)</f>
        <v>#N/A</v>
      </c>
      <c r="DD25" s="58" t="e">
        <f>VLOOKUP(DD9,'Lipid_Params '!$A:$C,2,FALSE)</f>
        <v>#N/A</v>
      </c>
      <c r="DE25" s="58" t="e">
        <f>VLOOKUP(DE9,'Lipid_Params '!$A:$C,2,FALSE)</f>
        <v>#N/A</v>
      </c>
      <c r="DF25" s="15" t="e">
        <f>VLOOKUP(DF9,'Lipid_Params '!$A:$C,2,FALSE)</f>
        <v>#N/A</v>
      </c>
      <c r="DG25" s="58" t="e">
        <f>VLOOKUP(DG9,'Lipid_Params '!$A:$C,2,FALSE)</f>
        <v>#N/A</v>
      </c>
      <c r="DH25" s="58" t="e">
        <f>VLOOKUP(DH9,'Lipid_Params '!$A:$C,2,FALSE)</f>
        <v>#N/A</v>
      </c>
      <c r="DI25" s="15" t="e">
        <f>VLOOKUP(DI9,'Lipid_Params '!$A:$C,2,FALSE)</f>
        <v>#N/A</v>
      </c>
      <c r="DJ25" s="58" t="e">
        <f>VLOOKUP(DJ9,'Lipid_Params '!$A:$C,2,FALSE)</f>
        <v>#N/A</v>
      </c>
      <c r="DK25" s="58" t="e">
        <f>VLOOKUP(DK9,'Lipid_Params '!$A:$C,2,FALSE)</f>
        <v>#N/A</v>
      </c>
      <c r="DL25" s="15" t="e">
        <f>VLOOKUP(DL9,'Lipid_Params '!$A:$C,2,FALSE)</f>
        <v>#N/A</v>
      </c>
      <c r="DM25" s="58" t="e">
        <f>VLOOKUP(DM9,'Lipid_Params '!$A:$C,2,FALSE)</f>
        <v>#N/A</v>
      </c>
      <c r="DN25" s="58" t="e">
        <f>VLOOKUP(DN9,'Lipid_Params '!$A:$C,2,FALSE)</f>
        <v>#N/A</v>
      </c>
      <c r="DO25" s="15" t="e">
        <f>VLOOKUP(DO9,'Lipid_Params '!$A:$C,2,FALSE)</f>
        <v>#N/A</v>
      </c>
      <c r="DP25" s="58" t="e">
        <f>VLOOKUP(DP9,'Lipid_Params '!$A:$C,2,FALSE)</f>
        <v>#N/A</v>
      </c>
      <c r="DQ25" s="58" t="e">
        <f>VLOOKUP(DQ9,'Lipid_Params '!$A:$C,2,FALSE)</f>
        <v>#N/A</v>
      </c>
      <c r="DR25" s="58" t="e">
        <f>VLOOKUP(DR9,'Lipid_Params '!$A:$C,2,FALSE)</f>
        <v>#N/A</v>
      </c>
      <c r="DS25" s="15" t="e">
        <f>VLOOKUP(DS9,'Lipid_Params '!$A:$C,2,FALSE)</f>
        <v>#N/A</v>
      </c>
      <c r="DT25" s="58" t="e">
        <f>VLOOKUP(DT9,'Lipid_Params '!$A:$C,2,FALSE)</f>
        <v>#N/A</v>
      </c>
      <c r="DU25" s="58" t="e">
        <f>VLOOKUP(DU9,'Lipid_Params '!$A:$C,2,FALSE)</f>
        <v>#N/A</v>
      </c>
      <c r="DV25" s="15" t="e">
        <f>VLOOKUP(DV9,'Lipid_Params '!$A:$C,2,FALSE)</f>
        <v>#N/A</v>
      </c>
      <c r="DW25" s="58" t="e">
        <f>VLOOKUP(DW9,'Lipid_Params '!$A:$C,2,FALSE)</f>
        <v>#N/A</v>
      </c>
      <c r="DX25" s="58" t="e">
        <f>VLOOKUP(DX9,'Lipid_Params '!$A:$C,2,FALSE)</f>
        <v>#N/A</v>
      </c>
      <c r="DY25" s="15" t="e">
        <f>VLOOKUP(DY9,'Lipid_Params '!$A:$C,2,FALSE)</f>
        <v>#N/A</v>
      </c>
      <c r="DZ25" s="58" t="e">
        <f>VLOOKUP(DZ9,'Lipid_Params '!$A:$C,2,FALSE)</f>
        <v>#N/A</v>
      </c>
      <c r="EA25" s="58" t="e">
        <f>VLOOKUP(EA9,'Lipid_Params '!$A:$C,2,FALSE)</f>
        <v>#N/A</v>
      </c>
      <c r="EB25" s="15" t="e">
        <f>VLOOKUP(EB9,'Lipid_Params '!$A:$C,2,FALSE)</f>
        <v>#N/A</v>
      </c>
      <c r="EC25" s="58" t="e">
        <f>VLOOKUP(EC9,'Lipid_Params '!$A:$C,2,FALSE)</f>
        <v>#N/A</v>
      </c>
      <c r="ED25" s="58" t="e">
        <f>VLOOKUP(ED9,'Lipid_Params '!$A:$C,2,FALSE)</f>
        <v>#N/A</v>
      </c>
      <c r="EE25" s="15" t="e">
        <f>VLOOKUP(EE9,'Lipid_Params '!$A:$C,2,FALSE)</f>
        <v>#N/A</v>
      </c>
      <c r="EF25" s="58" t="e">
        <f>VLOOKUP(EF9,'Lipid_Params '!$A:$C,2,FALSE)</f>
        <v>#N/A</v>
      </c>
      <c r="EG25" s="58" t="e">
        <f>VLOOKUP(EG9,'Lipid_Params '!$A:$C,2,FALSE)</f>
        <v>#N/A</v>
      </c>
      <c r="EH25" s="15" t="e">
        <f>VLOOKUP(EH9,'Lipid_Params '!$A:$C,2,FALSE)</f>
        <v>#N/A</v>
      </c>
      <c r="EI25" s="58" t="e">
        <f>VLOOKUP(EI9,'Lipid_Params '!$A:$C,2,FALSE)</f>
        <v>#N/A</v>
      </c>
      <c r="EJ25" s="58" t="e">
        <f>VLOOKUP(EJ9,'Lipid_Params '!$A:$C,2,FALSE)</f>
        <v>#N/A</v>
      </c>
    </row>
    <row r="26" spans="1:140" x14ac:dyDescent="0.2">
      <c r="A26" t="s">
        <v>44</v>
      </c>
      <c r="B26" s="15" t="s">
        <v>45</v>
      </c>
      <c r="C26" s="78">
        <v>3</v>
      </c>
      <c r="D26" s="58">
        <v>3</v>
      </c>
      <c r="E26" s="1">
        <v>3</v>
      </c>
      <c r="F26" s="15">
        <v>3</v>
      </c>
      <c r="G26" s="58">
        <v>3</v>
      </c>
      <c r="H26" s="58">
        <v>3</v>
      </c>
      <c r="I26" s="15">
        <v>3</v>
      </c>
      <c r="J26" s="58">
        <v>3</v>
      </c>
      <c r="K26" s="58">
        <v>3</v>
      </c>
      <c r="L26" s="15">
        <v>3</v>
      </c>
      <c r="M26" s="58">
        <v>3</v>
      </c>
      <c r="N26" s="58">
        <v>3</v>
      </c>
      <c r="O26" s="15">
        <v>3</v>
      </c>
      <c r="P26" s="58">
        <v>3</v>
      </c>
      <c r="Q26" s="58">
        <v>3</v>
      </c>
      <c r="R26" s="15">
        <v>3</v>
      </c>
      <c r="S26" s="58">
        <v>3</v>
      </c>
      <c r="T26" s="58">
        <v>3</v>
      </c>
      <c r="U26" s="15">
        <v>3</v>
      </c>
      <c r="V26" s="58">
        <v>3</v>
      </c>
      <c r="W26" s="58">
        <v>3</v>
      </c>
      <c r="X26" s="15">
        <v>3</v>
      </c>
      <c r="Y26" s="58">
        <v>3</v>
      </c>
      <c r="Z26" s="58">
        <v>3</v>
      </c>
      <c r="AA26" s="58">
        <v>3</v>
      </c>
      <c r="AB26" s="15">
        <v>3</v>
      </c>
      <c r="AC26" s="58">
        <v>3</v>
      </c>
      <c r="AD26" s="58">
        <v>3</v>
      </c>
      <c r="AE26" s="15">
        <v>3</v>
      </c>
      <c r="AF26" s="58">
        <v>3</v>
      </c>
      <c r="AG26" s="58">
        <v>3</v>
      </c>
      <c r="AH26" s="15">
        <v>3</v>
      </c>
      <c r="AI26" s="58">
        <v>3</v>
      </c>
      <c r="AJ26" s="58">
        <v>3</v>
      </c>
      <c r="AK26" s="15">
        <v>3</v>
      </c>
      <c r="AL26" s="58">
        <v>3</v>
      </c>
      <c r="AM26" s="58">
        <v>3</v>
      </c>
      <c r="AN26" s="15">
        <v>3</v>
      </c>
      <c r="AO26" s="58">
        <v>3</v>
      </c>
      <c r="AP26" s="58">
        <v>3</v>
      </c>
      <c r="AQ26" s="15">
        <v>3</v>
      </c>
      <c r="AR26" s="58">
        <v>3</v>
      </c>
      <c r="AS26" s="58">
        <v>3</v>
      </c>
      <c r="AT26" s="58">
        <v>3</v>
      </c>
      <c r="AU26" s="15">
        <v>3</v>
      </c>
      <c r="AV26" s="58">
        <v>3</v>
      </c>
      <c r="AW26" s="58">
        <v>3</v>
      </c>
      <c r="AX26" s="15">
        <v>3</v>
      </c>
      <c r="AY26" s="58">
        <v>3</v>
      </c>
      <c r="AZ26" s="58">
        <v>3</v>
      </c>
      <c r="BA26" s="15">
        <v>3</v>
      </c>
      <c r="BB26" s="58">
        <v>3</v>
      </c>
      <c r="BC26" s="58">
        <v>3</v>
      </c>
      <c r="BD26" s="15">
        <v>3</v>
      </c>
      <c r="BE26" s="58">
        <v>3</v>
      </c>
      <c r="BF26" s="58">
        <v>3</v>
      </c>
      <c r="BG26" s="15">
        <v>3</v>
      </c>
      <c r="BH26" s="58">
        <v>3</v>
      </c>
      <c r="BI26" s="58">
        <v>3</v>
      </c>
      <c r="BJ26" s="15">
        <v>3</v>
      </c>
      <c r="BK26" s="58">
        <v>3</v>
      </c>
      <c r="BL26" s="58">
        <v>3</v>
      </c>
      <c r="BM26" s="58">
        <v>3</v>
      </c>
      <c r="BN26" s="15">
        <v>3</v>
      </c>
      <c r="BO26" s="58">
        <v>3</v>
      </c>
      <c r="BP26" s="58">
        <v>3</v>
      </c>
      <c r="BQ26" s="15">
        <v>3</v>
      </c>
      <c r="BR26" s="58">
        <v>3</v>
      </c>
      <c r="BS26" s="58">
        <v>3</v>
      </c>
      <c r="BT26" s="15">
        <v>3</v>
      </c>
      <c r="BU26" s="58">
        <v>3</v>
      </c>
      <c r="BV26" s="58">
        <v>3</v>
      </c>
      <c r="BW26" s="15">
        <v>3</v>
      </c>
      <c r="BX26" s="58">
        <v>3</v>
      </c>
      <c r="BY26" s="58">
        <v>3</v>
      </c>
      <c r="BZ26" s="15">
        <v>3</v>
      </c>
      <c r="CA26" s="58">
        <v>3</v>
      </c>
      <c r="CB26" s="58">
        <v>3</v>
      </c>
      <c r="CC26" s="15">
        <v>3</v>
      </c>
      <c r="CD26" s="58">
        <v>3</v>
      </c>
      <c r="CE26" s="58">
        <v>3</v>
      </c>
      <c r="CF26" s="58">
        <v>3</v>
      </c>
      <c r="CG26" s="15">
        <v>3</v>
      </c>
      <c r="CH26" s="58">
        <v>3</v>
      </c>
      <c r="CI26" s="58">
        <v>3</v>
      </c>
      <c r="CJ26" s="15">
        <v>3</v>
      </c>
      <c r="CK26" s="58">
        <v>3</v>
      </c>
      <c r="CL26" s="58">
        <v>3</v>
      </c>
      <c r="CM26" s="15">
        <v>3</v>
      </c>
      <c r="CN26" s="58">
        <v>3</v>
      </c>
      <c r="CO26" s="58">
        <v>3</v>
      </c>
      <c r="CP26" s="15">
        <v>3</v>
      </c>
      <c r="CQ26" s="58">
        <v>3</v>
      </c>
      <c r="CR26" s="58">
        <v>3</v>
      </c>
      <c r="CS26" s="15">
        <v>3</v>
      </c>
      <c r="CT26" s="58">
        <v>3</v>
      </c>
      <c r="CU26" s="58">
        <v>3</v>
      </c>
      <c r="CV26" s="15">
        <v>3</v>
      </c>
      <c r="CW26" s="58">
        <v>3</v>
      </c>
      <c r="CX26" s="58">
        <v>3</v>
      </c>
      <c r="CY26" s="58">
        <v>3</v>
      </c>
      <c r="CZ26" s="15">
        <v>3</v>
      </c>
      <c r="DA26" s="58">
        <v>3</v>
      </c>
      <c r="DB26" s="58">
        <v>3</v>
      </c>
      <c r="DC26" s="15">
        <v>3</v>
      </c>
      <c r="DD26" s="58">
        <v>3</v>
      </c>
      <c r="DE26" s="58">
        <v>3</v>
      </c>
      <c r="DF26" s="15">
        <v>3</v>
      </c>
      <c r="DG26" s="58">
        <v>3</v>
      </c>
      <c r="DH26" s="58">
        <v>3</v>
      </c>
      <c r="DI26" s="15">
        <v>3</v>
      </c>
      <c r="DJ26" s="58">
        <v>3</v>
      </c>
      <c r="DK26" s="58">
        <v>3</v>
      </c>
      <c r="DL26" s="15">
        <v>3</v>
      </c>
      <c r="DM26" s="58">
        <v>3</v>
      </c>
      <c r="DN26" s="58">
        <v>3</v>
      </c>
      <c r="DO26" s="15">
        <v>3</v>
      </c>
      <c r="DP26" s="58">
        <v>3</v>
      </c>
      <c r="DQ26" s="58">
        <v>3</v>
      </c>
      <c r="DR26" s="58">
        <v>3</v>
      </c>
      <c r="DS26" s="15">
        <v>3</v>
      </c>
      <c r="DT26" s="58">
        <v>3</v>
      </c>
      <c r="DU26" s="58">
        <v>3</v>
      </c>
      <c r="DV26" s="15">
        <v>3</v>
      </c>
      <c r="DW26" s="58">
        <v>3</v>
      </c>
      <c r="DX26" s="58">
        <v>3</v>
      </c>
      <c r="DY26" s="15">
        <v>3</v>
      </c>
      <c r="DZ26" s="58">
        <v>3</v>
      </c>
      <c r="EA26" s="58">
        <v>3</v>
      </c>
      <c r="EB26" s="15">
        <v>3</v>
      </c>
      <c r="EC26" s="58">
        <v>3</v>
      </c>
      <c r="ED26" s="58">
        <v>3</v>
      </c>
      <c r="EE26" s="15">
        <v>3</v>
      </c>
      <c r="EF26" s="58">
        <v>3</v>
      </c>
      <c r="EG26" s="58">
        <v>3</v>
      </c>
      <c r="EH26" s="15">
        <v>3</v>
      </c>
      <c r="EI26" s="58">
        <v>3</v>
      </c>
      <c r="EJ26" s="58">
        <v>3</v>
      </c>
    </row>
    <row r="27" spans="1:140" x14ac:dyDescent="0.2">
      <c r="A27" t="s">
        <v>46</v>
      </c>
      <c r="B27" s="15" t="s">
        <v>47</v>
      </c>
      <c r="C27" s="78">
        <f>VLOOKUP(C6,'Lipid_Params '!$A:$C,3,FALSE)</f>
        <v>1</v>
      </c>
      <c r="D27" s="58">
        <f>VLOOKUP(D6,'Lipid_Params '!$A:$C,3,FALSE)</f>
        <v>1</v>
      </c>
      <c r="E27" s="1">
        <f>VLOOKUP(E6,'Lipid_Params '!$A:$C,3,FALSE)</f>
        <v>1</v>
      </c>
      <c r="F27" s="15">
        <f>VLOOKUP(F6,'Lipid_Params '!$A:$C,3,FALSE)</f>
        <v>1</v>
      </c>
      <c r="G27" s="58">
        <f>VLOOKUP(G6,'Lipid_Params '!$A:$C,3,FALSE)</f>
        <v>1</v>
      </c>
      <c r="H27" s="58">
        <f>VLOOKUP(H6,'Lipid_Params '!$A:$C,3,FALSE)</f>
        <v>1</v>
      </c>
      <c r="I27" s="15">
        <f>VLOOKUP(I6,'Lipid_Params '!$A:$C,3,FALSE)</f>
        <v>1</v>
      </c>
      <c r="J27" s="58">
        <f>VLOOKUP(J6,'Lipid_Params '!$A:$C,3,FALSE)</f>
        <v>1</v>
      </c>
      <c r="K27" s="58">
        <f>VLOOKUP(K6,'Lipid_Params '!$A:$C,3,FALSE)</f>
        <v>1</v>
      </c>
      <c r="L27" s="15">
        <f>VLOOKUP(L6,'Lipid_Params '!$A:$C,3,FALSE)</f>
        <v>1</v>
      </c>
      <c r="M27" s="58">
        <f>VLOOKUP(M6,'Lipid_Params '!$A:$C,3,FALSE)</f>
        <v>1</v>
      </c>
      <c r="N27" s="58">
        <f>VLOOKUP(N6,'Lipid_Params '!$A:$C,3,FALSE)</f>
        <v>1</v>
      </c>
      <c r="O27" s="15">
        <f>VLOOKUP(O6,'Lipid_Params '!$A:$C,3,FALSE)</f>
        <v>1</v>
      </c>
      <c r="P27" s="58">
        <f>VLOOKUP(P6,'Lipid_Params '!$A:$C,3,FALSE)</f>
        <v>1</v>
      </c>
      <c r="Q27" s="58">
        <f>VLOOKUP(Q6,'Lipid_Params '!$A:$C,3,FALSE)</f>
        <v>1</v>
      </c>
      <c r="R27" s="15">
        <f>VLOOKUP(R6,'Lipid_Params '!$A:$C,3,FALSE)</f>
        <v>1</v>
      </c>
      <c r="S27" s="58">
        <f>VLOOKUP(S6,'Lipid_Params '!$A:$C,3,FALSE)</f>
        <v>1</v>
      </c>
      <c r="T27" s="58">
        <f>VLOOKUP(T6,'Lipid_Params '!$A:$C,3,FALSE)</f>
        <v>1</v>
      </c>
      <c r="U27" s="15">
        <f>VLOOKUP(U6,'Lipid_Params '!$A:$C,3,FALSE)</f>
        <v>1</v>
      </c>
      <c r="V27" s="58">
        <f>VLOOKUP(V6,'Lipid_Params '!$A:$C,3,FALSE)</f>
        <v>1</v>
      </c>
      <c r="W27" s="58">
        <f>VLOOKUP(W6,'Lipid_Params '!$A:$C,3,FALSE)</f>
        <v>1</v>
      </c>
      <c r="X27" s="15">
        <f>VLOOKUP(X6,'Lipid_Params '!$A:$C,3,FALSE)</f>
        <v>1</v>
      </c>
      <c r="Y27" s="58">
        <f>VLOOKUP(Y6,'Lipid_Params '!$A:$C,3,FALSE)</f>
        <v>1</v>
      </c>
      <c r="Z27" s="58">
        <f>VLOOKUP(Z6,'Lipid_Params '!$A:$C,3,FALSE)</f>
        <v>1</v>
      </c>
      <c r="AA27" s="58" t="e">
        <f>VLOOKUP(AA6,'Lipid_Params '!$A:$C,3,FALSE)</f>
        <v>#N/A</v>
      </c>
      <c r="AB27" s="15" t="e">
        <f>VLOOKUP(AB6,'Lipid_Params '!$A:$C,3,FALSE)</f>
        <v>#N/A</v>
      </c>
      <c r="AC27" s="58" t="e">
        <f>VLOOKUP(AC6,'Lipid_Params '!$A:$C,3,FALSE)</f>
        <v>#N/A</v>
      </c>
      <c r="AD27" s="58" t="e">
        <f>VLOOKUP(AD6,'Lipid_Params '!$A:$C,3,FALSE)</f>
        <v>#N/A</v>
      </c>
      <c r="AE27" s="15" t="e">
        <f>VLOOKUP(AE6,'Lipid_Params '!$A:$C,3,FALSE)</f>
        <v>#N/A</v>
      </c>
      <c r="AF27" s="58" t="e">
        <f>VLOOKUP(AF6,'Lipid_Params '!$A:$C,3,FALSE)</f>
        <v>#N/A</v>
      </c>
      <c r="AG27" s="58" t="e">
        <f>VLOOKUP(AG6,'Lipid_Params '!$A:$C,3,FALSE)</f>
        <v>#N/A</v>
      </c>
      <c r="AH27" s="15" t="e">
        <f>VLOOKUP(AH6,'Lipid_Params '!$A:$C,3,FALSE)</f>
        <v>#N/A</v>
      </c>
      <c r="AI27" s="58" t="e">
        <f>VLOOKUP(AI6,'Lipid_Params '!$A:$C,3,FALSE)</f>
        <v>#N/A</v>
      </c>
      <c r="AJ27" s="58" t="e">
        <f>VLOOKUP(AJ6,'Lipid_Params '!$A:$C,3,FALSE)</f>
        <v>#N/A</v>
      </c>
      <c r="AK27" s="15" t="e">
        <f>VLOOKUP(AK6,'Lipid_Params '!$A:$C,3,FALSE)</f>
        <v>#N/A</v>
      </c>
      <c r="AL27" s="58" t="e">
        <f>VLOOKUP(AL6,'Lipid_Params '!$A:$C,3,FALSE)</f>
        <v>#N/A</v>
      </c>
      <c r="AM27" s="58" t="e">
        <f>VLOOKUP(AM6,'Lipid_Params '!$A:$C,3,FALSE)</f>
        <v>#N/A</v>
      </c>
      <c r="AN27" s="15" t="e">
        <f>VLOOKUP(AN6,'Lipid_Params '!$A:$C,3,FALSE)</f>
        <v>#N/A</v>
      </c>
      <c r="AO27" s="58" t="e">
        <f>VLOOKUP(AO6,'Lipid_Params '!$A:$C,3,FALSE)</f>
        <v>#N/A</v>
      </c>
      <c r="AP27" s="58" t="e">
        <f>VLOOKUP(AP6,'Lipid_Params '!$A:$C,3,FALSE)</f>
        <v>#N/A</v>
      </c>
      <c r="AQ27" s="15" t="e">
        <f>VLOOKUP(AQ6,'Lipid_Params '!$A:$C,3,FALSE)</f>
        <v>#N/A</v>
      </c>
      <c r="AR27" s="58" t="e">
        <f>VLOOKUP(AR6,'Lipid_Params '!$A:$C,3,FALSE)</f>
        <v>#N/A</v>
      </c>
      <c r="AS27" s="58" t="e">
        <f>VLOOKUP(AS6,'Lipid_Params '!$A:$C,3,FALSE)</f>
        <v>#N/A</v>
      </c>
      <c r="AT27" s="58" t="e">
        <f>VLOOKUP(AT6,'Lipid_Params '!$A:$C,3,FALSE)</f>
        <v>#N/A</v>
      </c>
      <c r="AU27" s="15" t="e">
        <f>VLOOKUP(AU6,'Lipid_Params '!$A:$C,3,FALSE)</f>
        <v>#N/A</v>
      </c>
      <c r="AV27" s="58" t="e">
        <f>VLOOKUP(AV6,'Lipid_Params '!$A:$C,3,FALSE)</f>
        <v>#N/A</v>
      </c>
      <c r="AW27" s="58" t="e">
        <f>VLOOKUP(AW6,'Lipid_Params '!$A:$C,3,FALSE)</f>
        <v>#N/A</v>
      </c>
      <c r="AX27" s="15" t="e">
        <f>VLOOKUP(AX6,'Lipid_Params '!$A:$C,3,FALSE)</f>
        <v>#N/A</v>
      </c>
      <c r="AY27" s="58" t="e">
        <f>VLOOKUP(AY6,'Lipid_Params '!$A:$C,3,FALSE)</f>
        <v>#N/A</v>
      </c>
      <c r="AZ27" s="58" t="e">
        <f>VLOOKUP(AZ6,'Lipid_Params '!$A:$C,3,FALSE)</f>
        <v>#N/A</v>
      </c>
      <c r="BA27" s="15" t="e">
        <f>VLOOKUP(BA6,'Lipid_Params '!$A:$C,3,FALSE)</f>
        <v>#N/A</v>
      </c>
      <c r="BB27" s="58" t="e">
        <f>VLOOKUP(BB6,'Lipid_Params '!$A:$C,3,FALSE)</f>
        <v>#N/A</v>
      </c>
      <c r="BC27" s="58" t="e">
        <f>VLOOKUP(BC6,'Lipid_Params '!$A:$C,3,FALSE)</f>
        <v>#N/A</v>
      </c>
      <c r="BD27" s="15" t="e">
        <f>VLOOKUP(BD6,'Lipid_Params '!$A:$C,3,FALSE)</f>
        <v>#N/A</v>
      </c>
      <c r="BE27" s="58" t="e">
        <f>VLOOKUP(BE6,'Lipid_Params '!$A:$C,3,FALSE)</f>
        <v>#N/A</v>
      </c>
      <c r="BF27" s="58" t="e">
        <f>VLOOKUP(BF6,'Lipid_Params '!$A:$C,3,FALSE)</f>
        <v>#N/A</v>
      </c>
      <c r="BG27" s="15" t="e">
        <f>VLOOKUP(BG6,'Lipid_Params '!$A:$C,3,FALSE)</f>
        <v>#N/A</v>
      </c>
      <c r="BH27" s="58" t="e">
        <f>VLOOKUP(BH6,'Lipid_Params '!$A:$C,3,FALSE)</f>
        <v>#N/A</v>
      </c>
      <c r="BI27" s="58" t="e">
        <f>VLOOKUP(BI6,'Lipid_Params '!$A:$C,3,FALSE)</f>
        <v>#N/A</v>
      </c>
      <c r="BJ27" s="15" t="e">
        <f>VLOOKUP(BJ6,'Lipid_Params '!$A:$C,3,FALSE)</f>
        <v>#N/A</v>
      </c>
      <c r="BK27" s="58" t="e">
        <f>VLOOKUP(BK6,'Lipid_Params '!$A:$C,3,FALSE)</f>
        <v>#N/A</v>
      </c>
      <c r="BL27" s="58" t="e">
        <f>VLOOKUP(BL6,'Lipid_Params '!$A:$C,3,FALSE)</f>
        <v>#N/A</v>
      </c>
      <c r="BM27" s="58" t="e">
        <f>VLOOKUP(BM6,'Lipid_Params '!$A:$C,3,FALSE)</f>
        <v>#N/A</v>
      </c>
      <c r="BN27" s="15" t="e">
        <f>VLOOKUP(BN6,'Lipid_Params '!$A:$C,3,FALSE)</f>
        <v>#N/A</v>
      </c>
      <c r="BO27" s="58" t="e">
        <f>VLOOKUP(BO6,'Lipid_Params '!$A:$C,3,FALSE)</f>
        <v>#N/A</v>
      </c>
      <c r="BP27" s="58" t="e">
        <f>VLOOKUP(BP6,'Lipid_Params '!$A:$C,3,FALSE)</f>
        <v>#N/A</v>
      </c>
      <c r="BQ27" s="15" t="e">
        <f>VLOOKUP(BQ6,'Lipid_Params '!$A:$C,3,FALSE)</f>
        <v>#N/A</v>
      </c>
      <c r="BR27" s="58" t="e">
        <f>VLOOKUP(BR6,'Lipid_Params '!$A:$C,3,FALSE)</f>
        <v>#N/A</v>
      </c>
      <c r="BS27" s="58" t="e">
        <f>VLOOKUP(BS6,'Lipid_Params '!$A:$C,3,FALSE)</f>
        <v>#N/A</v>
      </c>
      <c r="BT27" s="15" t="e">
        <f>VLOOKUP(BT6,'Lipid_Params '!$A:$C,3,FALSE)</f>
        <v>#N/A</v>
      </c>
      <c r="BU27" s="58" t="e">
        <f>VLOOKUP(BU6,'Lipid_Params '!$A:$C,3,FALSE)</f>
        <v>#N/A</v>
      </c>
      <c r="BV27" s="58" t="e">
        <f>VLOOKUP(BV6,'Lipid_Params '!$A:$C,3,FALSE)</f>
        <v>#N/A</v>
      </c>
      <c r="BW27" s="15" t="e">
        <f>VLOOKUP(BW6,'Lipid_Params '!$A:$C,3,FALSE)</f>
        <v>#N/A</v>
      </c>
      <c r="BX27" s="58" t="e">
        <f>VLOOKUP(BX6,'Lipid_Params '!$A:$C,3,FALSE)</f>
        <v>#N/A</v>
      </c>
      <c r="BY27" s="58" t="e">
        <f>VLOOKUP(BY6,'Lipid_Params '!$A:$C,3,FALSE)</f>
        <v>#N/A</v>
      </c>
      <c r="BZ27" s="15" t="e">
        <f>VLOOKUP(BZ6,'Lipid_Params '!$A:$C,3,FALSE)</f>
        <v>#N/A</v>
      </c>
      <c r="CA27" s="58" t="e">
        <f>VLOOKUP(CA6,'Lipid_Params '!$A:$C,3,FALSE)</f>
        <v>#N/A</v>
      </c>
      <c r="CB27" s="58" t="e">
        <f>VLOOKUP(CB6,'Lipid_Params '!$A:$C,3,FALSE)</f>
        <v>#N/A</v>
      </c>
      <c r="CC27" s="15" t="e">
        <f>VLOOKUP(CC6,'Lipid_Params '!$A:$C,3,FALSE)</f>
        <v>#N/A</v>
      </c>
      <c r="CD27" s="58" t="e">
        <f>VLOOKUP(CD6,'Lipid_Params '!$A:$C,3,FALSE)</f>
        <v>#N/A</v>
      </c>
      <c r="CE27" s="58" t="e">
        <f>VLOOKUP(CE6,'Lipid_Params '!$A:$C,3,FALSE)</f>
        <v>#N/A</v>
      </c>
      <c r="CF27" s="58" t="e">
        <f>VLOOKUP(CF6,'Lipid_Params '!$A:$C,3,FALSE)</f>
        <v>#N/A</v>
      </c>
      <c r="CG27" s="15" t="e">
        <f>VLOOKUP(CG6,'Lipid_Params '!$A:$C,3,FALSE)</f>
        <v>#N/A</v>
      </c>
      <c r="CH27" s="58" t="e">
        <f>VLOOKUP(CH6,'Lipid_Params '!$A:$C,3,FALSE)</f>
        <v>#N/A</v>
      </c>
      <c r="CI27" s="58" t="e">
        <f>VLOOKUP(CI6,'Lipid_Params '!$A:$C,3,FALSE)</f>
        <v>#N/A</v>
      </c>
      <c r="CJ27" s="15" t="e">
        <f>VLOOKUP(CJ6,'Lipid_Params '!$A:$C,3,FALSE)</f>
        <v>#N/A</v>
      </c>
      <c r="CK27" s="58" t="e">
        <f>VLOOKUP(CK6,'Lipid_Params '!$A:$C,3,FALSE)</f>
        <v>#N/A</v>
      </c>
      <c r="CL27" s="58" t="e">
        <f>VLOOKUP(CL6,'Lipid_Params '!$A:$C,3,FALSE)</f>
        <v>#N/A</v>
      </c>
      <c r="CM27" s="15" t="e">
        <f>VLOOKUP(CM6,'Lipid_Params '!$A:$C,3,FALSE)</f>
        <v>#N/A</v>
      </c>
      <c r="CN27" s="58" t="e">
        <f>VLOOKUP(CN6,'Lipid_Params '!$A:$C,3,FALSE)</f>
        <v>#N/A</v>
      </c>
      <c r="CO27" s="58" t="e">
        <f>VLOOKUP(CO6,'Lipid_Params '!$A:$C,3,FALSE)</f>
        <v>#N/A</v>
      </c>
      <c r="CP27" s="15" t="e">
        <f>VLOOKUP(CP6,'Lipid_Params '!$A:$C,3,FALSE)</f>
        <v>#N/A</v>
      </c>
      <c r="CQ27" s="58" t="e">
        <f>VLOOKUP(CQ6,'Lipid_Params '!$A:$C,3,FALSE)</f>
        <v>#N/A</v>
      </c>
      <c r="CR27" s="58" t="e">
        <f>VLOOKUP(CR6,'Lipid_Params '!$A:$C,3,FALSE)</f>
        <v>#N/A</v>
      </c>
      <c r="CS27" s="15" t="e">
        <f>VLOOKUP(CS6,'Lipid_Params '!$A:$C,3,FALSE)</f>
        <v>#N/A</v>
      </c>
      <c r="CT27" s="58" t="e">
        <f>VLOOKUP(CT6,'Lipid_Params '!$A:$C,3,FALSE)</f>
        <v>#N/A</v>
      </c>
      <c r="CU27" s="58" t="e">
        <f>VLOOKUP(CU6,'Lipid_Params '!$A:$C,3,FALSE)</f>
        <v>#N/A</v>
      </c>
      <c r="CV27" s="15" t="e">
        <f>VLOOKUP(CV6,'Lipid_Params '!$A:$C,3,FALSE)</f>
        <v>#N/A</v>
      </c>
      <c r="CW27" s="58" t="e">
        <f>VLOOKUP(CW6,'Lipid_Params '!$A:$C,3,FALSE)</f>
        <v>#N/A</v>
      </c>
      <c r="CX27" s="58" t="e">
        <f>VLOOKUP(CX6,'Lipid_Params '!$A:$C,3,FALSE)</f>
        <v>#N/A</v>
      </c>
      <c r="CY27" s="58" t="e">
        <f>VLOOKUP(CY6,'Lipid_Params '!$A:$C,3,FALSE)</f>
        <v>#N/A</v>
      </c>
      <c r="CZ27" s="15" t="e">
        <f>VLOOKUP(CZ6,'Lipid_Params '!$A:$C,3,FALSE)</f>
        <v>#N/A</v>
      </c>
      <c r="DA27" s="58" t="e">
        <f>VLOOKUP(DA6,'Lipid_Params '!$A:$C,3,FALSE)</f>
        <v>#N/A</v>
      </c>
      <c r="DB27" s="58" t="e">
        <f>VLOOKUP(DB6,'Lipid_Params '!$A:$C,3,FALSE)</f>
        <v>#N/A</v>
      </c>
      <c r="DC27" s="15" t="e">
        <f>VLOOKUP(DC6,'Lipid_Params '!$A:$C,3,FALSE)</f>
        <v>#N/A</v>
      </c>
      <c r="DD27" s="58" t="e">
        <f>VLOOKUP(DD6,'Lipid_Params '!$A:$C,3,FALSE)</f>
        <v>#N/A</v>
      </c>
      <c r="DE27" s="58" t="e">
        <f>VLOOKUP(DE6,'Lipid_Params '!$A:$C,3,FALSE)</f>
        <v>#N/A</v>
      </c>
      <c r="DF27" s="15" t="e">
        <f>VLOOKUP(DF6,'Lipid_Params '!$A:$C,3,FALSE)</f>
        <v>#N/A</v>
      </c>
      <c r="DG27" s="58" t="e">
        <f>VLOOKUP(DG6,'Lipid_Params '!$A:$C,3,FALSE)</f>
        <v>#N/A</v>
      </c>
      <c r="DH27" s="58" t="e">
        <f>VLOOKUP(DH6,'Lipid_Params '!$A:$C,3,FALSE)</f>
        <v>#N/A</v>
      </c>
      <c r="DI27" s="15" t="e">
        <f>VLOOKUP(DI6,'Lipid_Params '!$A:$C,3,FALSE)</f>
        <v>#N/A</v>
      </c>
      <c r="DJ27" s="58" t="e">
        <f>VLOOKUP(DJ6,'Lipid_Params '!$A:$C,3,FALSE)</f>
        <v>#N/A</v>
      </c>
      <c r="DK27" s="58" t="e">
        <f>VLOOKUP(DK6,'Lipid_Params '!$A:$C,3,FALSE)</f>
        <v>#N/A</v>
      </c>
      <c r="DL27" s="15" t="e">
        <f>VLOOKUP(DL6,'Lipid_Params '!$A:$C,3,FALSE)</f>
        <v>#N/A</v>
      </c>
      <c r="DM27" s="58" t="e">
        <f>VLOOKUP(DM6,'Lipid_Params '!$A:$C,3,FALSE)</f>
        <v>#N/A</v>
      </c>
      <c r="DN27" s="58" t="e">
        <f>VLOOKUP(DN6,'Lipid_Params '!$A:$C,3,FALSE)</f>
        <v>#N/A</v>
      </c>
      <c r="DO27" s="15" t="e">
        <f>VLOOKUP(DO6,'Lipid_Params '!$A:$C,3,FALSE)</f>
        <v>#N/A</v>
      </c>
      <c r="DP27" s="58" t="e">
        <f>VLOOKUP(DP6,'Lipid_Params '!$A:$C,3,FALSE)</f>
        <v>#N/A</v>
      </c>
      <c r="DQ27" s="58" t="e">
        <f>VLOOKUP(DQ6,'Lipid_Params '!$A:$C,3,FALSE)</f>
        <v>#N/A</v>
      </c>
      <c r="DR27" s="58" t="e">
        <f>VLOOKUP(DR6,'Lipid_Params '!$A:$C,3,FALSE)</f>
        <v>#N/A</v>
      </c>
      <c r="DS27" s="15" t="e">
        <f>VLOOKUP(DS6,'Lipid_Params '!$A:$C,3,FALSE)</f>
        <v>#N/A</v>
      </c>
      <c r="DT27" s="58" t="e">
        <f>VLOOKUP(DT6,'Lipid_Params '!$A:$C,3,FALSE)</f>
        <v>#N/A</v>
      </c>
      <c r="DU27" s="58" t="e">
        <f>VLOOKUP(DU6,'Lipid_Params '!$A:$C,3,FALSE)</f>
        <v>#N/A</v>
      </c>
      <c r="DV27" s="15" t="e">
        <f>VLOOKUP(DV6,'Lipid_Params '!$A:$C,3,FALSE)</f>
        <v>#N/A</v>
      </c>
      <c r="DW27" s="58" t="e">
        <f>VLOOKUP(DW6,'Lipid_Params '!$A:$C,3,FALSE)</f>
        <v>#N/A</v>
      </c>
      <c r="DX27" s="58" t="e">
        <f>VLOOKUP(DX6,'Lipid_Params '!$A:$C,3,FALSE)</f>
        <v>#N/A</v>
      </c>
      <c r="DY27" s="15" t="e">
        <f>VLOOKUP(DY6,'Lipid_Params '!$A:$C,3,FALSE)</f>
        <v>#N/A</v>
      </c>
      <c r="DZ27" s="58" t="e">
        <f>VLOOKUP(DZ6,'Lipid_Params '!$A:$C,3,FALSE)</f>
        <v>#N/A</v>
      </c>
      <c r="EA27" s="58" t="e">
        <f>VLOOKUP(EA6,'Lipid_Params '!$A:$C,3,FALSE)</f>
        <v>#N/A</v>
      </c>
      <c r="EB27" s="15" t="e">
        <f>VLOOKUP(EB6,'Lipid_Params '!$A:$C,3,FALSE)</f>
        <v>#N/A</v>
      </c>
      <c r="EC27" s="58" t="e">
        <f>VLOOKUP(EC6,'Lipid_Params '!$A:$C,3,FALSE)</f>
        <v>#N/A</v>
      </c>
      <c r="ED27" s="58" t="e">
        <f>VLOOKUP(ED6,'Lipid_Params '!$A:$C,3,FALSE)</f>
        <v>#N/A</v>
      </c>
      <c r="EE27" s="15" t="e">
        <f>VLOOKUP(EE6,'Lipid_Params '!$A:$C,3,FALSE)</f>
        <v>#N/A</v>
      </c>
      <c r="EF27" s="58" t="e">
        <f>VLOOKUP(EF6,'Lipid_Params '!$A:$C,3,FALSE)</f>
        <v>#N/A</v>
      </c>
      <c r="EG27" s="58" t="e">
        <f>VLOOKUP(EG6,'Lipid_Params '!$A:$C,3,FALSE)</f>
        <v>#N/A</v>
      </c>
      <c r="EH27" s="15" t="e">
        <f>VLOOKUP(EH6,'Lipid_Params '!$A:$C,3,FALSE)</f>
        <v>#N/A</v>
      </c>
      <c r="EI27" s="58" t="e">
        <f>VLOOKUP(EI6,'Lipid_Params '!$A:$C,3,FALSE)</f>
        <v>#N/A</v>
      </c>
      <c r="EJ27" s="58" t="e">
        <f>VLOOKUP(EJ6,'Lipid_Params '!$A:$C,3,FALSE)</f>
        <v>#N/A</v>
      </c>
    </row>
    <row r="28" spans="1:140" x14ac:dyDescent="0.2">
      <c r="A28" t="s">
        <v>48</v>
      </c>
      <c r="B28" s="15" t="s">
        <v>47</v>
      </c>
      <c r="C28" s="78">
        <f>VLOOKUP(C7,'Lipid_Params '!$A:$C,3,FALSE)</f>
        <v>1</v>
      </c>
      <c r="D28" s="58">
        <f>VLOOKUP(D7,'Lipid_Params '!$A:$C,3,FALSE)</f>
        <v>1</v>
      </c>
      <c r="E28" s="1">
        <f>VLOOKUP(E7,'Lipid_Params '!$A:$C,3,FALSE)</f>
        <v>1</v>
      </c>
      <c r="F28" s="15">
        <f>VLOOKUP(F7,'Lipid_Params '!$A:$C,3,FALSE)</f>
        <v>1</v>
      </c>
      <c r="G28" s="58">
        <f>VLOOKUP(G7,'Lipid_Params '!$A:$C,3,FALSE)</f>
        <v>1</v>
      </c>
      <c r="H28" s="58">
        <f>VLOOKUP(H7,'Lipid_Params '!$A:$C,3,FALSE)</f>
        <v>1</v>
      </c>
      <c r="I28" s="15">
        <f>VLOOKUP(I7,'Lipid_Params '!$A:$C,3,FALSE)</f>
        <v>1</v>
      </c>
      <c r="J28" s="58">
        <f>VLOOKUP(J7,'Lipid_Params '!$A:$C,3,FALSE)</f>
        <v>1</v>
      </c>
      <c r="K28" s="58">
        <f>VLOOKUP(K7,'Lipid_Params '!$A:$C,3,FALSE)</f>
        <v>1</v>
      </c>
      <c r="L28" s="15">
        <f>VLOOKUP(L7,'Lipid_Params '!$A:$C,3,FALSE)</f>
        <v>1</v>
      </c>
      <c r="M28" s="58">
        <f>VLOOKUP(M7,'Lipid_Params '!$A:$C,3,FALSE)</f>
        <v>1</v>
      </c>
      <c r="N28" s="58">
        <f>VLOOKUP(N7,'Lipid_Params '!$A:$C,3,FALSE)</f>
        <v>1</v>
      </c>
      <c r="O28" s="15">
        <f>VLOOKUP(O7,'Lipid_Params '!$A:$C,3,FALSE)</f>
        <v>1</v>
      </c>
      <c r="P28" s="58">
        <f>VLOOKUP(P7,'Lipid_Params '!$A:$C,3,FALSE)</f>
        <v>1</v>
      </c>
      <c r="Q28" s="58">
        <f>VLOOKUP(Q7,'Lipid_Params '!$A:$C,3,FALSE)</f>
        <v>1</v>
      </c>
      <c r="R28" s="15">
        <f>VLOOKUP(R7,'Lipid_Params '!$A:$C,3,FALSE)</f>
        <v>1</v>
      </c>
      <c r="S28" s="58">
        <f>VLOOKUP(S7,'Lipid_Params '!$A:$C,3,FALSE)</f>
        <v>1</v>
      </c>
      <c r="T28" s="58">
        <f>VLOOKUP(T7,'Lipid_Params '!$A:$C,3,FALSE)</f>
        <v>1</v>
      </c>
      <c r="U28" s="15">
        <f>VLOOKUP(U7,'Lipid_Params '!$A:$C,3,FALSE)</f>
        <v>1</v>
      </c>
      <c r="V28" s="58">
        <f>VLOOKUP(V7,'Lipid_Params '!$A:$C,3,FALSE)</f>
        <v>1</v>
      </c>
      <c r="W28" s="58">
        <f>VLOOKUP(W7,'Lipid_Params '!$A:$C,3,FALSE)</f>
        <v>1</v>
      </c>
      <c r="X28" s="15">
        <f>VLOOKUP(X7,'Lipid_Params '!$A:$C,3,FALSE)</f>
        <v>1</v>
      </c>
      <c r="Y28" s="58">
        <f>VLOOKUP(Y7,'Lipid_Params '!$A:$C,3,FALSE)</f>
        <v>1</v>
      </c>
      <c r="Z28" s="58">
        <f>VLOOKUP(Z7,'Lipid_Params '!$A:$C,3,FALSE)</f>
        <v>1</v>
      </c>
      <c r="AA28" s="58" t="e">
        <f>VLOOKUP(AA7,'Lipid_Params '!$A:$C,3,FALSE)</f>
        <v>#N/A</v>
      </c>
      <c r="AB28" s="15" t="e">
        <f>VLOOKUP(AB7,'Lipid_Params '!$A:$C,3,FALSE)</f>
        <v>#N/A</v>
      </c>
      <c r="AC28" s="58" t="e">
        <f>VLOOKUP(AC7,'Lipid_Params '!$A:$C,3,FALSE)</f>
        <v>#N/A</v>
      </c>
      <c r="AD28" s="58" t="e">
        <f>VLOOKUP(AD7,'Lipid_Params '!$A:$C,3,FALSE)</f>
        <v>#N/A</v>
      </c>
      <c r="AE28" s="15" t="e">
        <f>VLOOKUP(AE7,'Lipid_Params '!$A:$C,3,FALSE)</f>
        <v>#N/A</v>
      </c>
      <c r="AF28" s="58" t="e">
        <f>VLOOKUP(AF7,'Lipid_Params '!$A:$C,3,FALSE)</f>
        <v>#N/A</v>
      </c>
      <c r="AG28" s="58" t="e">
        <f>VLOOKUP(AG7,'Lipid_Params '!$A:$C,3,FALSE)</f>
        <v>#N/A</v>
      </c>
      <c r="AH28" s="15" t="e">
        <f>VLOOKUP(AH7,'Lipid_Params '!$A:$C,3,FALSE)</f>
        <v>#N/A</v>
      </c>
      <c r="AI28" s="58" t="e">
        <f>VLOOKUP(AI7,'Lipid_Params '!$A:$C,3,FALSE)</f>
        <v>#N/A</v>
      </c>
      <c r="AJ28" s="58" t="e">
        <f>VLOOKUP(AJ7,'Lipid_Params '!$A:$C,3,FALSE)</f>
        <v>#N/A</v>
      </c>
      <c r="AK28" s="15" t="e">
        <f>VLOOKUP(AK7,'Lipid_Params '!$A:$C,3,FALSE)</f>
        <v>#N/A</v>
      </c>
      <c r="AL28" s="58" t="e">
        <f>VLOOKUP(AL7,'Lipid_Params '!$A:$C,3,FALSE)</f>
        <v>#N/A</v>
      </c>
      <c r="AM28" s="58" t="e">
        <f>VLOOKUP(AM7,'Lipid_Params '!$A:$C,3,FALSE)</f>
        <v>#N/A</v>
      </c>
      <c r="AN28" s="15" t="e">
        <f>VLOOKUP(AN7,'Lipid_Params '!$A:$C,3,FALSE)</f>
        <v>#N/A</v>
      </c>
      <c r="AO28" s="58" t="e">
        <f>VLOOKUP(AO7,'Lipid_Params '!$A:$C,3,FALSE)</f>
        <v>#N/A</v>
      </c>
      <c r="AP28" s="58" t="e">
        <f>VLOOKUP(AP7,'Lipid_Params '!$A:$C,3,FALSE)</f>
        <v>#N/A</v>
      </c>
      <c r="AQ28" s="15" t="e">
        <f>VLOOKUP(AQ7,'Lipid_Params '!$A:$C,3,FALSE)</f>
        <v>#N/A</v>
      </c>
      <c r="AR28" s="58" t="e">
        <f>VLOOKUP(AR7,'Lipid_Params '!$A:$C,3,FALSE)</f>
        <v>#N/A</v>
      </c>
      <c r="AS28" s="58" t="e">
        <f>VLOOKUP(AS7,'Lipid_Params '!$A:$C,3,FALSE)</f>
        <v>#N/A</v>
      </c>
      <c r="AT28" s="58" t="e">
        <f>VLOOKUP(AT7,'Lipid_Params '!$A:$C,3,FALSE)</f>
        <v>#N/A</v>
      </c>
      <c r="AU28" s="15" t="e">
        <f>VLOOKUP(AU7,'Lipid_Params '!$A:$C,3,FALSE)</f>
        <v>#N/A</v>
      </c>
      <c r="AV28" s="58" t="e">
        <f>VLOOKUP(AV7,'Lipid_Params '!$A:$C,3,FALSE)</f>
        <v>#N/A</v>
      </c>
      <c r="AW28" s="58" t="e">
        <f>VLOOKUP(AW7,'Lipid_Params '!$A:$C,3,FALSE)</f>
        <v>#N/A</v>
      </c>
      <c r="AX28" s="15" t="e">
        <f>VLOOKUP(AX7,'Lipid_Params '!$A:$C,3,FALSE)</f>
        <v>#N/A</v>
      </c>
      <c r="AY28" s="58" t="e">
        <f>VLOOKUP(AY7,'Lipid_Params '!$A:$C,3,FALSE)</f>
        <v>#N/A</v>
      </c>
      <c r="AZ28" s="58" t="e">
        <f>VLOOKUP(AZ7,'Lipid_Params '!$A:$C,3,FALSE)</f>
        <v>#N/A</v>
      </c>
      <c r="BA28" s="15" t="e">
        <f>VLOOKUP(BA7,'Lipid_Params '!$A:$C,3,FALSE)</f>
        <v>#N/A</v>
      </c>
      <c r="BB28" s="58" t="e">
        <f>VLOOKUP(BB7,'Lipid_Params '!$A:$C,3,FALSE)</f>
        <v>#N/A</v>
      </c>
      <c r="BC28" s="58" t="e">
        <f>VLOOKUP(BC7,'Lipid_Params '!$A:$C,3,FALSE)</f>
        <v>#N/A</v>
      </c>
      <c r="BD28" s="15" t="e">
        <f>VLOOKUP(BD7,'Lipid_Params '!$A:$C,3,FALSE)</f>
        <v>#N/A</v>
      </c>
      <c r="BE28" s="58" t="e">
        <f>VLOOKUP(BE7,'Lipid_Params '!$A:$C,3,FALSE)</f>
        <v>#N/A</v>
      </c>
      <c r="BF28" s="58" t="e">
        <f>VLOOKUP(BF7,'Lipid_Params '!$A:$C,3,FALSE)</f>
        <v>#N/A</v>
      </c>
      <c r="BG28" s="15" t="e">
        <f>VLOOKUP(BG7,'Lipid_Params '!$A:$C,3,FALSE)</f>
        <v>#N/A</v>
      </c>
      <c r="BH28" s="58" t="e">
        <f>VLOOKUP(BH7,'Lipid_Params '!$A:$C,3,FALSE)</f>
        <v>#N/A</v>
      </c>
      <c r="BI28" s="58" t="e">
        <f>VLOOKUP(BI7,'Lipid_Params '!$A:$C,3,FALSE)</f>
        <v>#N/A</v>
      </c>
      <c r="BJ28" s="15" t="e">
        <f>VLOOKUP(BJ7,'Lipid_Params '!$A:$C,3,FALSE)</f>
        <v>#N/A</v>
      </c>
      <c r="BK28" s="58" t="e">
        <f>VLOOKUP(BK7,'Lipid_Params '!$A:$C,3,FALSE)</f>
        <v>#N/A</v>
      </c>
      <c r="BL28" s="58" t="e">
        <f>VLOOKUP(BL7,'Lipid_Params '!$A:$C,3,FALSE)</f>
        <v>#N/A</v>
      </c>
      <c r="BM28" s="58" t="e">
        <f>VLOOKUP(BM7,'Lipid_Params '!$A:$C,3,FALSE)</f>
        <v>#N/A</v>
      </c>
      <c r="BN28" s="15" t="e">
        <f>VLOOKUP(BN7,'Lipid_Params '!$A:$C,3,FALSE)</f>
        <v>#N/A</v>
      </c>
      <c r="BO28" s="58" t="e">
        <f>VLOOKUP(BO7,'Lipid_Params '!$A:$C,3,FALSE)</f>
        <v>#N/A</v>
      </c>
      <c r="BP28" s="58" t="e">
        <f>VLOOKUP(BP7,'Lipid_Params '!$A:$C,3,FALSE)</f>
        <v>#N/A</v>
      </c>
      <c r="BQ28" s="15" t="e">
        <f>VLOOKUP(BQ7,'Lipid_Params '!$A:$C,3,FALSE)</f>
        <v>#N/A</v>
      </c>
      <c r="BR28" s="58" t="e">
        <f>VLOOKUP(BR7,'Lipid_Params '!$A:$C,3,FALSE)</f>
        <v>#N/A</v>
      </c>
      <c r="BS28" s="58" t="e">
        <f>VLOOKUP(BS7,'Lipid_Params '!$A:$C,3,FALSE)</f>
        <v>#N/A</v>
      </c>
      <c r="BT28" s="15" t="e">
        <f>VLOOKUP(BT7,'Lipid_Params '!$A:$C,3,FALSE)</f>
        <v>#N/A</v>
      </c>
      <c r="BU28" s="58" t="e">
        <f>VLOOKUP(BU7,'Lipid_Params '!$A:$C,3,FALSE)</f>
        <v>#N/A</v>
      </c>
      <c r="BV28" s="58" t="e">
        <f>VLOOKUP(BV7,'Lipid_Params '!$A:$C,3,FALSE)</f>
        <v>#N/A</v>
      </c>
      <c r="BW28" s="15" t="e">
        <f>VLOOKUP(BW7,'Lipid_Params '!$A:$C,3,FALSE)</f>
        <v>#N/A</v>
      </c>
      <c r="BX28" s="58" t="e">
        <f>VLOOKUP(BX7,'Lipid_Params '!$A:$C,3,FALSE)</f>
        <v>#N/A</v>
      </c>
      <c r="BY28" s="58" t="e">
        <f>VLOOKUP(BY7,'Lipid_Params '!$A:$C,3,FALSE)</f>
        <v>#N/A</v>
      </c>
      <c r="BZ28" s="15" t="e">
        <f>VLOOKUP(BZ7,'Lipid_Params '!$A:$C,3,FALSE)</f>
        <v>#N/A</v>
      </c>
      <c r="CA28" s="58" t="e">
        <f>VLOOKUP(CA7,'Lipid_Params '!$A:$C,3,FALSE)</f>
        <v>#N/A</v>
      </c>
      <c r="CB28" s="58" t="e">
        <f>VLOOKUP(CB7,'Lipid_Params '!$A:$C,3,FALSE)</f>
        <v>#N/A</v>
      </c>
      <c r="CC28" s="15" t="e">
        <f>VLOOKUP(CC7,'Lipid_Params '!$A:$C,3,FALSE)</f>
        <v>#N/A</v>
      </c>
      <c r="CD28" s="58" t="e">
        <f>VLOOKUP(CD7,'Lipid_Params '!$A:$C,3,FALSE)</f>
        <v>#N/A</v>
      </c>
      <c r="CE28" s="58" t="e">
        <f>VLOOKUP(CE7,'Lipid_Params '!$A:$C,3,FALSE)</f>
        <v>#N/A</v>
      </c>
      <c r="CF28" s="58" t="e">
        <f>VLOOKUP(CF7,'Lipid_Params '!$A:$C,3,FALSE)</f>
        <v>#N/A</v>
      </c>
      <c r="CG28" s="15" t="e">
        <f>VLOOKUP(CG7,'Lipid_Params '!$A:$C,3,FALSE)</f>
        <v>#N/A</v>
      </c>
      <c r="CH28" s="58" t="e">
        <f>VLOOKUP(CH7,'Lipid_Params '!$A:$C,3,FALSE)</f>
        <v>#N/A</v>
      </c>
      <c r="CI28" s="58" t="e">
        <f>VLOOKUP(CI7,'Lipid_Params '!$A:$C,3,FALSE)</f>
        <v>#N/A</v>
      </c>
      <c r="CJ28" s="15" t="e">
        <f>VLOOKUP(CJ7,'Lipid_Params '!$A:$C,3,FALSE)</f>
        <v>#N/A</v>
      </c>
      <c r="CK28" s="58" t="e">
        <f>VLOOKUP(CK7,'Lipid_Params '!$A:$C,3,FALSE)</f>
        <v>#N/A</v>
      </c>
      <c r="CL28" s="58" t="e">
        <f>VLOOKUP(CL7,'Lipid_Params '!$A:$C,3,FALSE)</f>
        <v>#N/A</v>
      </c>
      <c r="CM28" s="15" t="e">
        <f>VLOOKUP(CM7,'Lipid_Params '!$A:$C,3,FALSE)</f>
        <v>#N/A</v>
      </c>
      <c r="CN28" s="58" t="e">
        <f>VLOOKUP(CN7,'Lipid_Params '!$A:$C,3,FALSE)</f>
        <v>#N/A</v>
      </c>
      <c r="CO28" s="58" t="e">
        <f>VLOOKUP(CO7,'Lipid_Params '!$A:$C,3,FALSE)</f>
        <v>#N/A</v>
      </c>
      <c r="CP28" s="15" t="e">
        <f>VLOOKUP(CP7,'Lipid_Params '!$A:$C,3,FALSE)</f>
        <v>#N/A</v>
      </c>
      <c r="CQ28" s="58" t="e">
        <f>VLOOKUP(CQ7,'Lipid_Params '!$A:$C,3,FALSE)</f>
        <v>#N/A</v>
      </c>
      <c r="CR28" s="58" t="e">
        <f>VLOOKUP(CR7,'Lipid_Params '!$A:$C,3,FALSE)</f>
        <v>#N/A</v>
      </c>
      <c r="CS28" s="15" t="e">
        <f>VLOOKUP(CS7,'Lipid_Params '!$A:$C,3,FALSE)</f>
        <v>#N/A</v>
      </c>
      <c r="CT28" s="58" t="e">
        <f>VLOOKUP(CT7,'Lipid_Params '!$A:$C,3,FALSE)</f>
        <v>#N/A</v>
      </c>
      <c r="CU28" s="58" t="e">
        <f>VLOOKUP(CU7,'Lipid_Params '!$A:$C,3,FALSE)</f>
        <v>#N/A</v>
      </c>
      <c r="CV28" s="15" t="e">
        <f>VLOOKUP(CV7,'Lipid_Params '!$A:$C,3,FALSE)</f>
        <v>#N/A</v>
      </c>
      <c r="CW28" s="58" t="e">
        <f>VLOOKUP(CW7,'Lipid_Params '!$A:$C,3,FALSE)</f>
        <v>#N/A</v>
      </c>
      <c r="CX28" s="58" t="e">
        <f>VLOOKUP(CX7,'Lipid_Params '!$A:$C,3,FALSE)</f>
        <v>#N/A</v>
      </c>
      <c r="CY28" s="58" t="e">
        <f>VLOOKUP(CY7,'Lipid_Params '!$A:$C,3,FALSE)</f>
        <v>#N/A</v>
      </c>
      <c r="CZ28" s="15" t="e">
        <f>VLOOKUP(CZ7,'Lipid_Params '!$A:$C,3,FALSE)</f>
        <v>#N/A</v>
      </c>
      <c r="DA28" s="58" t="e">
        <f>VLOOKUP(DA7,'Lipid_Params '!$A:$C,3,FALSE)</f>
        <v>#N/A</v>
      </c>
      <c r="DB28" s="58" t="e">
        <f>VLOOKUP(DB7,'Lipid_Params '!$A:$C,3,FALSE)</f>
        <v>#N/A</v>
      </c>
      <c r="DC28" s="15" t="e">
        <f>VLOOKUP(DC7,'Lipid_Params '!$A:$C,3,FALSE)</f>
        <v>#N/A</v>
      </c>
      <c r="DD28" s="58" t="e">
        <f>VLOOKUP(DD7,'Lipid_Params '!$A:$C,3,FALSE)</f>
        <v>#N/A</v>
      </c>
      <c r="DE28" s="58" t="e">
        <f>VLOOKUP(DE7,'Lipid_Params '!$A:$C,3,FALSE)</f>
        <v>#N/A</v>
      </c>
      <c r="DF28" s="15" t="e">
        <f>VLOOKUP(DF7,'Lipid_Params '!$A:$C,3,FALSE)</f>
        <v>#N/A</v>
      </c>
      <c r="DG28" s="58" t="e">
        <f>VLOOKUP(DG7,'Lipid_Params '!$A:$C,3,FALSE)</f>
        <v>#N/A</v>
      </c>
      <c r="DH28" s="58" t="e">
        <f>VLOOKUP(DH7,'Lipid_Params '!$A:$C,3,FALSE)</f>
        <v>#N/A</v>
      </c>
      <c r="DI28" s="15" t="e">
        <f>VLOOKUP(DI7,'Lipid_Params '!$A:$C,3,FALSE)</f>
        <v>#N/A</v>
      </c>
      <c r="DJ28" s="58" t="e">
        <f>VLOOKUP(DJ7,'Lipid_Params '!$A:$C,3,FALSE)</f>
        <v>#N/A</v>
      </c>
      <c r="DK28" s="58" t="e">
        <f>VLOOKUP(DK7,'Lipid_Params '!$A:$C,3,FALSE)</f>
        <v>#N/A</v>
      </c>
      <c r="DL28" s="15" t="e">
        <f>VLOOKUP(DL7,'Lipid_Params '!$A:$C,3,FALSE)</f>
        <v>#N/A</v>
      </c>
      <c r="DM28" s="58" t="e">
        <f>VLOOKUP(DM7,'Lipid_Params '!$A:$C,3,FALSE)</f>
        <v>#N/A</v>
      </c>
      <c r="DN28" s="58" t="e">
        <f>VLOOKUP(DN7,'Lipid_Params '!$A:$C,3,FALSE)</f>
        <v>#N/A</v>
      </c>
      <c r="DO28" s="15" t="e">
        <f>VLOOKUP(DO7,'Lipid_Params '!$A:$C,3,FALSE)</f>
        <v>#N/A</v>
      </c>
      <c r="DP28" s="58" t="e">
        <f>VLOOKUP(DP7,'Lipid_Params '!$A:$C,3,FALSE)</f>
        <v>#N/A</v>
      </c>
      <c r="DQ28" s="58" t="e">
        <f>VLOOKUP(DQ7,'Lipid_Params '!$A:$C,3,FALSE)</f>
        <v>#N/A</v>
      </c>
      <c r="DR28" s="58" t="e">
        <f>VLOOKUP(DR7,'Lipid_Params '!$A:$C,3,FALSE)</f>
        <v>#N/A</v>
      </c>
      <c r="DS28" s="15" t="e">
        <f>VLOOKUP(DS7,'Lipid_Params '!$A:$C,3,FALSE)</f>
        <v>#N/A</v>
      </c>
      <c r="DT28" s="58" t="e">
        <f>VLOOKUP(DT7,'Lipid_Params '!$A:$C,3,FALSE)</f>
        <v>#N/A</v>
      </c>
      <c r="DU28" s="58" t="e">
        <f>VLOOKUP(DU7,'Lipid_Params '!$A:$C,3,FALSE)</f>
        <v>#N/A</v>
      </c>
      <c r="DV28" s="15" t="e">
        <f>VLOOKUP(DV7,'Lipid_Params '!$A:$C,3,FALSE)</f>
        <v>#N/A</v>
      </c>
      <c r="DW28" s="58" t="e">
        <f>VLOOKUP(DW7,'Lipid_Params '!$A:$C,3,FALSE)</f>
        <v>#N/A</v>
      </c>
      <c r="DX28" s="58" t="e">
        <f>VLOOKUP(DX7,'Lipid_Params '!$A:$C,3,FALSE)</f>
        <v>#N/A</v>
      </c>
      <c r="DY28" s="15" t="e">
        <f>VLOOKUP(DY7,'Lipid_Params '!$A:$C,3,FALSE)</f>
        <v>#N/A</v>
      </c>
      <c r="DZ28" s="58" t="e">
        <f>VLOOKUP(DZ7,'Lipid_Params '!$A:$C,3,FALSE)</f>
        <v>#N/A</v>
      </c>
      <c r="EA28" s="58" t="e">
        <f>VLOOKUP(EA7,'Lipid_Params '!$A:$C,3,FALSE)</f>
        <v>#N/A</v>
      </c>
      <c r="EB28" s="15" t="e">
        <f>VLOOKUP(EB7,'Lipid_Params '!$A:$C,3,FALSE)</f>
        <v>#N/A</v>
      </c>
      <c r="EC28" s="58" t="e">
        <f>VLOOKUP(EC7,'Lipid_Params '!$A:$C,3,FALSE)</f>
        <v>#N/A</v>
      </c>
      <c r="ED28" s="58" t="e">
        <f>VLOOKUP(ED7,'Lipid_Params '!$A:$C,3,FALSE)</f>
        <v>#N/A</v>
      </c>
      <c r="EE28" s="15" t="e">
        <f>VLOOKUP(EE7,'Lipid_Params '!$A:$C,3,FALSE)</f>
        <v>#N/A</v>
      </c>
      <c r="EF28" s="58" t="e">
        <f>VLOOKUP(EF7,'Lipid_Params '!$A:$C,3,FALSE)</f>
        <v>#N/A</v>
      </c>
      <c r="EG28" s="58" t="e">
        <f>VLOOKUP(EG7,'Lipid_Params '!$A:$C,3,FALSE)</f>
        <v>#N/A</v>
      </c>
      <c r="EH28" s="15" t="e">
        <f>VLOOKUP(EH7,'Lipid_Params '!$A:$C,3,FALSE)</f>
        <v>#N/A</v>
      </c>
      <c r="EI28" s="58" t="e">
        <f>VLOOKUP(EI7,'Lipid_Params '!$A:$C,3,FALSE)</f>
        <v>#N/A</v>
      </c>
      <c r="EJ28" s="58" t="e">
        <f>VLOOKUP(EJ7,'Lipid_Params '!$A:$C,3,FALSE)</f>
        <v>#N/A</v>
      </c>
    </row>
    <row r="29" spans="1:140" x14ac:dyDescent="0.2">
      <c r="B29" s="15"/>
      <c r="C29" s="78"/>
      <c r="D29" s="58"/>
      <c r="E29" s="1"/>
      <c r="F29" s="15"/>
      <c r="G29" s="58"/>
      <c r="H29" s="58"/>
      <c r="I29" s="15"/>
      <c r="J29" s="58"/>
      <c r="K29" s="58"/>
      <c r="L29" s="15"/>
      <c r="M29" s="58"/>
      <c r="N29" s="58"/>
      <c r="O29" s="15"/>
      <c r="P29" s="58"/>
      <c r="Q29" s="58"/>
      <c r="R29" s="15"/>
      <c r="S29" s="58"/>
      <c r="T29" s="58"/>
      <c r="U29" s="15"/>
      <c r="V29" s="58"/>
      <c r="W29" s="58"/>
      <c r="X29" s="15"/>
      <c r="Y29" s="58"/>
      <c r="Z29" s="58"/>
      <c r="AA29" s="58"/>
      <c r="AB29" s="15"/>
      <c r="AC29" s="58"/>
      <c r="AD29" s="58"/>
      <c r="AE29" s="15"/>
      <c r="AF29" s="58"/>
      <c r="AG29" s="58"/>
      <c r="AH29" s="15"/>
      <c r="AI29" s="58"/>
      <c r="AJ29" s="58"/>
      <c r="AK29" s="15"/>
      <c r="AL29" s="58"/>
      <c r="AM29" s="58"/>
      <c r="AN29" s="15"/>
      <c r="AO29" s="58"/>
      <c r="AP29" s="58"/>
      <c r="AQ29" s="15"/>
      <c r="AR29" s="58"/>
      <c r="AS29" s="58"/>
      <c r="AT29" s="58"/>
      <c r="AU29" s="15"/>
      <c r="AV29" s="58"/>
      <c r="AW29" s="58"/>
      <c r="AX29" s="15"/>
      <c r="AY29" s="58"/>
      <c r="AZ29" s="58"/>
      <c r="BA29" s="15"/>
      <c r="BB29" s="58"/>
      <c r="BC29" s="58"/>
      <c r="BD29" s="15"/>
      <c r="BE29" s="58"/>
      <c r="BF29" s="58"/>
      <c r="BG29" s="15"/>
      <c r="BH29" s="58"/>
      <c r="BI29" s="58"/>
      <c r="BJ29" s="15"/>
      <c r="BK29" s="58"/>
      <c r="BL29" s="58"/>
      <c r="BM29" s="58"/>
      <c r="BN29" s="15"/>
      <c r="BO29" s="58"/>
      <c r="BP29" s="58"/>
      <c r="BQ29" s="15"/>
      <c r="BR29" s="58"/>
      <c r="BS29" s="58"/>
      <c r="BT29" s="15"/>
      <c r="BU29" s="58"/>
      <c r="BV29" s="58"/>
      <c r="BW29" s="15"/>
      <c r="BX29" s="58"/>
      <c r="BY29" s="58"/>
      <c r="BZ29" s="15"/>
      <c r="CA29" s="58"/>
      <c r="CB29" s="58"/>
      <c r="CC29" s="15"/>
      <c r="CD29" s="58"/>
      <c r="CE29" s="58"/>
      <c r="CF29" s="58"/>
      <c r="CG29" s="15"/>
      <c r="CH29" s="58"/>
      <c r="CI29" s="58"/>
      <c r="CJ29" s="15"/>
      <c r="CK29" s="58"/>
      <c r="CL29" s="58"/>
      <c r="CM29" s="15"/>
      <c r="CN29" s="58"/>
      <c r="CO29" s="58"/>
      <c r="CP29" s="15"/>
      <c r="CQ29" s="58"/>
      <c r="CR29" s="58"/>
      <c r="CS29" s="15"/>
      <c r="CT29" s="58"/>
      <c r="CU29" s="58"/>
      <c r="CV29" s="15"/>
      <c r="CW29" s="58"/>
      <c r="CX29" s="58"/>
      <c r="CY29" s="58"/>
      <c r="CZ29" s="15"/>
      <c r="DA29" s="58"/>
      <c r="DB29" s="58"/>
      <c r="DC29" s="15"/>
      <c r="DD29" s="58"/>
      <c r="DE29" s="58"/>
      <c r="DF29" s="15"/>
      <c r="DG29" s="58"/>
      <c r="DH29" s="58"/>
      <c r="DI29" s="15"/>
      <c r="DJ29" s="58"/>
      <c r="DK29" s="58"/>
      <c r="DL29" s="15"/>
      <c r="DM29" s="58"/>
      <c r="DN29" s="58"/>
      <c r="DO29" s="15"/>
      <c r="DP29" s="58"/>
      <c r="DQ29" s="58"/>
      <c r="DR29" s="58"/>
      <c r="DS29" s="15"/>
      <c r="DT29" s="58"/>
      <c r="DU29" s="58"/>
      <c r="DV29" s="15"/>
      <c r="DW29" s="58"/>
      <c r="DX29" s="58"/>
      <c r="DY29" s="15"/>
      <c r="DZ29" s="58"/>
      <c r="EA29" s="58"/>
      <c r="EB29" s="15"/>
      <c r="EC29" s="58"/>
      <c r="ED29" s="58"/>
      <c r="EE29" s="15"/>
      <c r="EF29" s="58"/>
      <c r="EG29" s="58"/>
      <c r="EH29" s="15"/>
      <c r="EI29" s="58"/>
      <c r="EJ29" s="58"/>
    </row>
    <row r="30" spans="1:140" x14ac:dyDescent="0.2">
      <c r="A30" s="16" t="s">
        <v>49</v>
      </c>
      <c r="B30" s="15"/>
      <c r="C30" s="78"/>
      <c r="D30" s="58"/>
      <c r="E30" s="1"/>
      <c r="F30" s="15"/>
      <c r="G30" s="58"/>
      <c r="H30" s="58"/>
      <c r="I30" s="15"/>
      <c r="J30" s="58"/>
      <c r="K30" s="58"/>
      <c r="L30" s="15"/>
      <c r="M30" s="58"/>
      <c r="N30" s="58"/>
      <c r="O30" s="15"/>
      <c r="P30" s="58"/>
      <c r="Q30" s="58"/>
      <c r="R30" s="15"/>
      <c r="S30" s="58"/>
      <c r="T30" s="58"/>
      <c r="U30" s="15"/>
      <c r="V30" s="58"/>
      <c r="W30" s="58"/>
      <c r="X30" s="15"/>
      <c r="Y30" s="58"/>
      <c r="Z30" s="58"/>
      <c r="AA30" s="58"/>
      <c r="AB30" s="15"/>
      <c r="AC30" s="58"/>
      <c r="AD30" s="58"/>
      <c r="AE30" s="15"/>
      <c r="AF30" s="58"/>
      <c r="AG30" s="58"/>
      <c r="AH30" s="15"/>
      <c r="AI30" s="58"/>
      <c r="AJ30" s="58"/>
      <c r="AK30" s="15"/>
      <c r="AL30" s="58"/>
      <c r="AM30" s="58"/>
      <c r="AN30" s="15"/>
      <c r="AO30" s="58"/>
      <c r="AP30" s="58"/>
      <c r="AQ30" s="15"/>
      <c r="AR30" s="58"/>
      <c r="AS30" s="58"/>
      <c r="AT30" s="58"/>
      <c r="AU30" s="15"/>
      <c r="AV30" s="58"/>
      <c r="AW30" s="58"/>
      <c r="AX30" s="15"/>
      <c r="AY30" s="58"/>
      <c r="AZ30" s="58"/>
      <c r="BA30" s="15"/>
      <c r="BB30" s="58"/>
      <c r="BC30" s="58"/>
      <c r="BD30" s="15"/>
      <c r="BE30" s="58"/>
      <c r="BF30" s="58"/>
      <c r="BG30" s="15"/>
      <c r="BH30" s="58"/>
      <c r="BI30" s="58"/>
      <c r="BJ30" s="15"/>
      <c r="BK30" s="58"/>
      <c r="BL30" s="58"/>
      <c r="BM30" s="58"/>
      <c r="BN30" s="15"/>
      <c r="BO30" s="58"/>
      <c r="BP30" s="58"/>
      <c r="BQ30" s="15"/>
      <c r="BR30" s="58"/>
      <c r="BS30" s="58"/>
      <c r="BT30" s="15"/>
      <c r="BU30" s="58"/>
      <c r="BV30" s="58"/>
      <c r="BW30" s="15"/>
      <c r="BX30" s="58"/>
      <c r="BY30" s="58"/>
      <c r="BZ30" s="15"/>
      <c r="CA30" s="58"/>
      <c r="CB30" s="58"/>
      <c r="CC30" s="15"/>
      <c r="CD30" s="58"/>
      <c r="CE30" s="58"/>
      <c r="CF30" s="58"/>
      <c r="CG30" s="15"/>
      <c r="CH30" s="58"/>
      <c r="CI30" s="58"/>
      <c r="CJ30" s="15"/>
      <c r="CK30" s="58"/>
      <c r="CL30" s="58"/>
      <c r="CM30" s="15"/>
      <c r="CN30" s="58"/>
      <c r="CO30" s="58"/>
      <c r="CP30" s="15"/>
      <c r="CQ30" s="58"/>
      <c r="CR30" s="58"/>
      <c r="CS30" s="15"/>
      <c r="CT30" s="58"/>
      <c r="CU30" s="58"/>
      <c r="CV30" s="15"/>
      <c r="CW30" s="58"/>
      <c r="CX30" s="58"/>
      <c r="CY30" s="58"/>
      <c r="CZ30" s="15"/>
      <c r="DA30" s="58"/>
      <c r="DB30" s="58"/>
      <c r="DC30" s="15"/>
      <c r="DD30" s="58"/>
      <c r="DE30" s="58"/>
      <c r="DF30" s="15"/>
      <c r="DG30" s="58"/>
      <c r="DH30" s="58"/>
      <c r="DI30" s="15"/>
      <c r="DJ30" s="58"/>
      <c r="DK30" s="58"/>
      <c r="DL30" s="15"/>
      <c r="DM30" s="58"/>
      <c r="DN30" s="58"/>
      <c r="DO30" s="15"/>
      <c r="DP30" s="58"/>
      <c r="DQ30" s="58"/>
      <c r="DR30" s="58"/>
      <c r="DS30" s="15"/>
      <c r="DT30" s="58"/>
      <c r="DU30" s="58"/>
      <c r="DV30" s="15"/>
      <c r="DW30" s="58"/>
      <c r="DX30" s="58"/>
      <c r="DY30" s="15"/>
      <c r="DZ30" s="58"/>
      <c r="EA30" s="58"/>
      <c r="EB30" s="15"/>
      <c r="EC30" s="58"/>
      <c r="ED30" s="58"/>
      <c r="EE30" s="15"/>
      <c r="EF30" s="58"/>
      <c r="EG30" s="58"/>
      <c r="EH30" s="15"/>
      <c r="EI30" s="58"/>
      <c r="EJ30" s="58"/>
    </row>
    <row r="31" spans="1:140" x14ac:dyDescent="0.2">
      <c r="A31" s="11" t="s">
        <v>50</v>
      </c>
      <c r="B31" s="12" t="s">
        <v>51</v>
      </c>
      <c r="C31" s="75">
        <f t="shared" ref="C31:AH31" si="10">C55/C23*1000</f>
        <v>0</v>
      </c>
      <c r="D31" s="55">
        <f t="shared" si="10"/>
        <v>0</v>
      </c>
      <c r="E31" s="13">
        <f t="shared" si="10"/>
        <v>0</v>
      </c>
      <c r="F31" s="12">
        <f t="shared" si="10"/>
        <v>0</v>
      </c>
      <c r="G31" s="55">
        <f t="shared" si="10"/>
        <v>0</v>
      </c>
      <c r="H31" s="55">
        <f t="shared" si="10"/>
        <v>0</v>
      </c>
      <c r="I31" s="12">
        <f t="shared" si="10"/>
        <v>0</v>
      </c>
      <c r="J31" s="55">
        <f t="shared" si="10"/>
        <v>0</v>
      </c>
      <c r="K31" s="55">
        <f t="shared" si="10"/>
        <v>0</v>
      </c>
      <c r="L31" s="12">
        <f t="shared" si="10"/>
        <v>0</v>
      </c>
      <c r="M31" s="55">
        <f t="shared" si="10"/>
        <v>0</v>
      </c>
      <c r="N31" s="55">
        <f t="shared" si="10"/>
        <v>0</v>
      </c>
      <c r="O31" s="12">
        <f t="shared" si="10"/>
        <v>0</v>
      </c>
      <c r="P31" s="55">
        <f t="shared" si="10"/>
        <v>0</v>
      </c>
      <c r="Q31" s="55">
        <f t="shared" si="10"/>
        <v>0</v>
      </c>
      <c r="R31" s="12">
        <f t="shared" si="10"/>
        <v>0</v>
      </c>
      <c r="S31" s="55">
        <f t="shared" si="10"/>
        <v>0</v>
      </c>
      <c r="T31" s="55">
        <f t="shared" si="10"/>
        <v>0</v>
      </c>
      <c r="U31" s="12">
        <f t="shared" si="10"/>
        <v>0</v>
      </c>
      <c r="V31" s="55">
        <f t="shared" si="10"/>
        <v>0</v>
      </c>
      <c r="W31" s="55">
        <f t="shared" si="10"/>
        <v>0</v>
      </c>
      <c r="X31" s="12">
        <f t="shared" si="10"/>
        <v>0</v>
      </c>
      <c r="Y31" s="55">
        <f t="shared" si="10"/>
        <v>0</v>
      </c>
      <c r="Z31" s="55">
        <f t="shared" si="10"/>
        <v>0</v>
      </c>
      <c r="AA31" s="55" t="e">
        <f t="shared" si="10"/>
        <v>#N/A</v>
      </c>
      <c r="AB31" s="12" t="e">
        <f t="shared" si="10"/>
        <v>#N/A</v>
      </c>
      <c r="AC31" s="55" t="e">
        <f t="shared" si="10"/>
        <v>#N/A</v>
      </c>
      <c r="AD31" s="55" t="e">
        <f t="shared" si="10"/>
        <v>#N/A</v>
      </c>
      <c r="AE31" s="12" t="e">
        <f t="shared" si="10"/>
        <v>#N/A</v>
      </c>
      <c r="AF31" s="55" t="e">
        <f t="shared" si="10"/>
        <v>#N/A</v>
      </c>
      <c r="AG31" s="55" t="e">
        <f t="shared" si="10"/>
        <v>#N/A</v>
      </c>
      <c r="AH31" s="12" t="e">
        <f t="shared" si="10"/>
        <v>#N/A</v>
      </c>
      <c r="AI31" s="55" t="e">
        <f t="shared" ref="AI31:BN31" si="11">AI55/AI23*1000</f>
        <v>#N/A</v>
      </c>
      <c r="AJ31" s="55" t="e">
        <f t="shared" si="11"/>
        <v>#N/A</v>
      </c>
      <c r="AK31" s="12" t="e">
        <f t="shared" si="11"/>
        <v>#N/A</v>
      </c>
      <c r="AL31" s="55" t="e">
        <f t="shared" si="11"/>
        <v>#N/A</v>
      </c>
      <c r="AM31" s="55" t="e">
        <f t="shared" si="11"/>
        <v>#N/A</v>
      </c>
      <c r="AN31" s="12" t="e">
        <f t="shared" si="11"/>
        <v>#N/A</v>
      </c>
      <c r="AO31" s="55" t="e">
        <f t="shared" si="11"/>
        <v>#N/A</v>
      </c>
      <c r="AP31" s="55" t="e">
        <f t="shared" si="11"/>
        <v>#N/A</v>
      </c>
      <c r="AQ31" s="12" t="e">
        <f t="shared" si="11"/>
        <v>#N/A</v>
      </c>
      <c r="AR31" s="55" t="e">
        <f t="shared" si="11"/>
        <v>#N/A</v>
      </c>
      <c r="AS31" s="55" t="e">
        <f t="shared" si="11"/>
        <v>#N/A</v>
      </c>
      <c r="AT31" s="55" t="e">
        <f t="shared" si="11"/>
        <v>#N/A</v>
      </c>
      <c r="AU31" s="12" t="e">
        <f t="shared" si="11"/>
        <v>#N/A</v>
      </c>
      <c r="AV31" s="55" t="e">
        <f t="shared" si="11"/>
        <v>#N/A</v>
      </c>
      <c r="AW31" s="55" t="e">
        <f t="shared" si="11"/>
        <v>#N/A</v>
      </c>
      <c r="AX31" s="12" t="e">
        <f t="shared" si="11"/>
        <v>#N/A</v>
      </c>
      <c r="AY31" s="55" t="e">
        <f t="shared" si="11"/>
        <v>#N/A</v>
      </c>
      <c r="AZ31" s="55" t="e">
        <f t="shared" si="11"/>
        <v>#N/A</v>
      </c>
      <c r="BA31" s="12" t="e">
        <f t="shared" si="11"/>
        <v>#N/A</v>
      </c>
      <c r="BB31" s="55" t="e">
        <f t="shared" si="11"/>
        <v>#N/A</v>
      </c>
      <c r="BC31" s="55" t="e">
        <f t="shared" si="11"/>
        <v>#N/A</v>
      </c>
      <c r="BD31" s="12" t="e">
        <f t="shared" si="11"/>
        <v>#N/A</v>
      </c>
      <c r="BE31" s="55" t="e">
        <f t="shared" si="11"/>
        <v>#N/A</v>
      </c>
      <c r="BF31" s="55" t="e">
        <f t="shared" si="11"/>
        <v>#N/A</v>
      </c>
      <c r="BG31" s="12" t="e">
        <f t="shared" si="11"/>
        <v>#N/A</v>
      </c>
      <c r="BH31" s="55" t="e">
        <f t="shared" si="11"/>
        <v>#N/A</v>
      </c>
      <c r="BI31" s="55" t="e">
        <f t="shared" si="11"/>
        <v>#N/A</v>
      </c>
      <c r="BJ31" s="12" t="e">
        <f t="shared" si="11"/>
        <v>#N/A</v>
      </c>
      <c r="BK31" s="55" t="e">
        <f t="shared" si="11"/>
        <v>#N/A</v>
      </c>
      <c r="BL31" s="55" t="e">
        <f t="shared" si="11"/>
        <v>#N/A</v>
      </c>
      <c r="BM31" s="55" t="e">
        <f t="shared" si="11"/>
        <v>#N/A</v>
      </c>
      <c r="BN31" s="12" t="e">
        <f t="shared" si="11"/>
        <v>#N/A</v>
      </c>
      <c r="BO31" s="55" t="e">
        <f t="shared" ref="BO31:CT31" si="12">BO55/BO23*1000</f>
        <v>#N/A</v>
      </c>
      <c r="BP31" s="55" t="e">
        <f t="shared" si="12"/>
        <v>#N/A</v>
      </c>
      <c r="BQ31" s="12" t="e">
        <f t="shared" si="12"/>
        <v>#N/A</v>
      </c>
      <c r="BR31" s="55" t="e">
        <f t="shared" si="12"/>
        <v>#N/A</v>
      </c>
      <c r="BS31" s="55" t="e">
        <f t="shared" si="12"/>
        <v>#N/A</v>
      </c>
      <c r="BT31" s="12" t="e">
        <f t="shared" si="12"/>
        <v>#N/A</v>
      </c>
      <c r="BU31" s="55" t="e">
        <f t="shared" si="12"/>
        <v>#N/A</v>
      </c>
      <c r="BV31" s="55" t="e">
        <f t="shared" si="12"/>
        <v>#N/A</v>
      </c>
      <c r="BW31" s="12" t="e">
        <f t="shared" si="12"/>
        <v>#N/A</v>
      </c>
      <c r="BX31" s="55" t="e">
        <f t="shared" si="12"/>
        <v>#N/A</v>
      </c>
      <c r="BY31" s="55" t="e">
        <f t="shared" si="12"/>
        <v>#N/A</v>
      </c>
      <c r="BZ31" s="12" t="e">
        <f t="shared" si="12"/>
        <v>#N/A</v>
      </c>
      <c r="CA31" s="55" t="e">
        <f t="shared" si="12"/>
        <v>#N/A</v>
      </c>
      <c r="CB31" s="55" t="e">
        <f t="shared" si="12"/>
        <v>#N/A</v>
      </c>
      <c r="CC31" s="12" t="e">
        <f t="shared" si="12"/>
        <v>#N/A</v>
      </c>
      <c r="CD31" s="55" t="e">
        <f t="shared" si="12"/>
        <v>#N/A</v>
      </c>
      <c r="CE31" s="55" t="e">
        <f t="shared" si="12"/>
        <v>#N/A</v>
      </c>
      <c r="CF31" s="55" t="e">
        <f t="shared" si="12"/>
        <v>#N/A</v>
      </c>
      <c r="CG31" s="12" t="e">
        <f t="shared" si="12"/>
        <v>#N/A</v>
      </c>
      <c r="CH31" s="55" t="e">
        <f t="shared" si="12"/>
        <v>#N/A</v>
      </c>
      <c r="CI31" s="55" t="e">
        <f t="shared" si="12"/>
        <v>#N/A</v>
      </c>
      <c r="CJ31" s="12" t="e">
        <f t="shared" si="12"/>
        <v>#N/A</v>
      </c>
      <c r="CK31" s="55" t="e">
        <f t="shared" si="12"/>
        <v>#N/A</v>
      </c>
      <c r="CL31" s="55" t="e">
        <f t="shared" si="12"/>
        <v>#N/A</v>
      </c>
      <c r="CM31" s="12" t="e">
        <f t="shared" si="12"/>
        <v>#N/A</v>
      </c>
      <c r="CN31" s="55" t="e">
        <f t="shared" si="12"/>
        <v>#N/A</v>
      </c>
      <c r="CO31" s="55" t="e">
        <f t="shared" si="12"/>
        <v>#N/A</v>
      </c>
      <c r="CP31" s="12" t="e">
        <f t="shared" si="12"/>
        <v>#N/A</v>
      </c>
      <c r="CQ31" s="55" t="e">
        <f t="shared" si="12"/>
        <v>#N/A</v>
      </c>
      <c r="CR31" s="55" t="e">
        <f t="shared" si="12"/>
        <v>#N/A</v>
      </c>
      <c r="CS31" s="12" t="e">
        <f t="shared" si="12"/>
        <v>#N/A</v>
      </c>
      <c r="CT31" s="55" t="e">
        <f t="shared" si="12"/>
        <v>#N/A</v>
      </c>
      <c r="CU31" s="55" t="e">
        <f t="shared" ref="CU31:DZ31" si="13">CU55/CU23*1000</f>
        <v>#N/A</v>
      </c>
      <c r="CV31" s="12" t="e">
        <f t="shared" si="13"/>
        <v>#N/A</v>
      </c>
      <c r="CW31" s="55" t="e">
        <f t="shared" si="13"/>
        <v>#N/A</v>
      </c>
      <c r="CX31" s="55" t="e">
        <f t="shared" si="13"/>
        <v>#N/A</v>
      </c>
      <c r="CY31" s="55" t="e">
        <f t="shared" si="13"/>
        <v>#N/A</v>
      </c>
      <c r="CZ31" s="12" t="e">
        <f t="shared" si="13"/>
        <v>#N/A</v>
      </c>
      <c r="DA31" s="55" t="e">
        <f t="shared" si="13"/>
        <v>#N/A</v>
      </c>
      <c r="DB31" s="55" t="e">
        <f t="shared" si="13"/>
        <v>#N/A</v>
      </c>
      <c r="DC31" s="12" t="e">
        <f t="shared" si="13"/>
        <v>#N/A</v>
      </c>
      <c r="DD31" s="55" t="e">
        <f t="shared" si="13"/>
        <v>#N/A</v>
      </c>
      <c r="DE31" s="55" t="e">
        <f t="shared" si="13"/>
        <v>#N/A</v>
      </c>
      <c r="DF31" s="12" t="e">
        <f t="shared" si="13"/>
        <v>#N/A</v>
      </c>
      <c r="DG31" s="55" t="e">
        <f t="shared" si="13"/>
        <v>#N/A</v>
      </c>
      <c r="DH31" s="55" t="e">
        <f t="shared" si="13"/>
        <v>#N/A</v>
      </c>
      <c r="DI31" s="12" t="e">
        <f t="shared" si="13"/>
        <v>#N/A</v>
      </c>
      <c r="DJ31" s="55" t="e">
        <f t="shared" si="13"/>
        <v>#N/A</v>
      </c>
      <c r="DK31" s="55" t="e">
        <f t="shared" si="13"/>
        <v>#N/A</v>
      </c>
      <c r="DL31" s="12" t="e">
        <f t="shared" si="13"/>
        <v>#N/A</v>
      </c>
      <c r="DM31" s="55" t="e">
        <f t="shared" si="13"/>
        <v>#N/A</v>
      </c>
      <c r="DN31" s="55" t="e">
        <f t="shared" si="13"/>
        <v>#N/A</v>
      </c>
      <c r="DO31" s="12" t="e">
        <f t="shared" si="13"/>
        <v>#N/A</v>
      </c>
      <c r="DP31" s="55" t="e">
        <f t="shared" si="13"/>
        <v>#N/A</v>
      </c>
      <c r="DQ31" s="55" t="e">
        <f t="shared" si="13"/>
        <v>#N/A</v>
      </c>
      <c r="DR31" s="55" t="e">
        <f t="shared" si="13"/>
        <v>#N/A</v>
      </c>
      <c r="DS31" s="12" t="e">
        <f t="shared" si="13"/>
        <v>#N/A</v>
      </c>
      <c r="DT31" s="55" t="e">
        <f t="shared" si="13"/>
        <v>#N/A</v>
      </c>
      <c r="DU31" s="55" t="e">
        <f t="shared" si="13"/>
        <v>#N/A</v>
      </c>
      <c r="DV31" s="12" t="e">
        <f t="shared" si="13"/>
        <v>#N/A</v>
      </c>
      <c r="DW31" s="55" t="e">
        <f t="shared" si="13"/>
        <v>#N/A</v>
      </c>
      <c r="DX31" s="55" t="e">
        <f t="shared" si="13"/>
        <v>#N/A</v>
      </c>
      <c r="DY31" s="12" t="e">
        <f t="shared" si="13"/>
        <v>#N/A</v>
      </c>
      <c r="DZ31" s="55" t="e">
        <f t="shared" si="13"/>
        <v>#N/A</v>
      </c>
      <c r="EA31" s="55" t="e">
        <f t="shared" ref="EA31:EJ31" si="14">EA55/EA23*1000</f>
        <v>#N/A</v>
      </c>
      <c r="EB31" s="12" t="e">
        <f t="shared" si="14"/>
        <v>#N/A</v>
      </c>
      <c r="EC31" s="55" t="e">
        <f t="shared" si="14"/>
        <v>#N/A</v>
      </c>
      <c r="ED31" s="55" t="e">
        <f t="shared" si="14"/>
        <v>#N/A</v>
      </c>
      <c r="EE31" s="12" t="e">
        <f t="shared" si="14"/>
        <v>#N/A</v>
      </c>
      <c r="EF31" s="55" t="e">
        <f t="shared" si="14"/>
        <v>#N/A</v>
      </c>
      <c r="EG31" s="55" t="e">
        <f t="shared" si="14"/>
        <v>#N/A</v>
      </c>
      <c r="EH31" s="12" t="e">
        <f t="shared" si="14"/>
        <v>#N/A</v>
      </c>
      <c r="EI31" s="55" t="e">
        <f t="shared" si="14"/>
        <v>#N/A</v>
      </c>
      <c r="EJ31" s="55" t="e">
        <f t="shared" si="14"/>
        <v>#N/A</v>
      </c>
    </row>
    <row r="32" spans="1:140" x14ac:dyDescent="0.2">
      <c r="A32" t="s">
        <v>52</v>
      </c>
      <c r="B32" s="15" t="s">
        <v>51</v>
      </c>
      <c r="C32" s="78">
        <f t="shared" ref="C32:AH32" si="15">C54/C22*1000</f>
        <v>0</v>
      </c>
      <c r="D32" s="58">
        <f t="shared" si="15"/>
        <v>0</v>
      </c>
      <c r="E32" s="1">
        <f t="shared" si="15"/>
        <v>0</v>
      </c>
      <c r="F32" s="15">
        <f t="shared" si="15"/>
        <v>0</v>
      </c>
      <c r="G32" s="58">
        <f t="shared" si="15"/>
        <v>0</v>
      </c>
      <c r="H32" s="58">
        <f t="shared" si="15"/>
        <v>0</v>
      </c>
      <c r="I32" s="15">
        <f t="shared" si="15"/>
        <v>0</v>
      </c>
      <c r="J32" s="58">
        <f t="shared" si="15"/>
        <v>0</v>
      </c>
      <c r="K32" s="58">
        <f t="shared" si="15"/>
        <v>0</v>
      </c>
      <c r="L32" s="15">
        <f t="shared" si="15"/>
        <v>0</v>
      </c>
      <c r="M32" s="58">
        <f t="shared" si="15"/>
        <v>0</v>
      </c>
      <c r="N32" s="58">
        <f t="shared" si="15"/>
        <v>0</v>
      </c>
      <c r="O32" s="15">
        <f t="shared" si="15"/>
        <v>0</v>
      </c>
      <c r="P32" s="58">
        <f t="shared" si="15"/>
        <v>0</v>
      </c>
      <c r="Q32" s="58">
        <f t="shared" si="15"/>
        <v>0</v>
      </c>
      <c r="R32" s="15">
        <f t="shared" si="15"/>
        <v>0</v>
      </c>
      <c r="S32" s="58">
        <f t="shared" si="15"/>
        <v>0</v>
      </c>
      <c r="T32" s="58">
        <f t="shared" si="15"/>
        <v>0</v>
      </c>
      <c r="U32" s="15">
        <f t="shared" si="15"/>
        <v>0</v>
      </c>
      <c r="V32" s="58">
        <f t="shared" si="15"/>
        <v>0</v>
      </c>
      <c r="W32" s="58">
        <f t="shared" si="15"/>
        <v>0</v>
      </c>
      <c r="X32" s="15">
        <f t="shared" si="15"/>
        <v>0</v>
      </c>
      <c r="Y32" s="58">
        <f t="shared" si="15"/>
        <v>0</v>
      </c>
      <c r="Z32" s="58">
        <f t="shared" si="15"/>
        <v>0</v>
      </c>
      <c r="AA32" s="58" t="e">
        <f t="shared" si="15"/>
        <v>#N/A</v>
      </c>
      <c r="AB32" s="15" t="e">
        <f t="shared" si="15"/>
        <v>#N/A</v>
      </c>
      <c r="AC32" s="58" t="e">
        <f t="shared" si="15"/>
        <v>#N/A</v>
      </c>
      <c r="AD32" s="58" t="e">
        <f t="shared" si="15"/>
        <v>#N/A</v>
      </c>
      <c r="AE32" s="15" t="e">
        <f t="shared" si="15"/>
        <v>#N/A</v>
      </c>
      <c r="AF32" s="58" t="e">
        <f t="shared" si="15"/>
        <v>#N/A</v>
      </c>
      <c r="AG32" s="58" t="e">
        <f t="shared" si="15"/>
        <v>#N/A</v>
      </c>
      <c r="AH32" s="15" t="e">
        <f t="shared" si="15"/>
        <v>#N/A</v>
      </c>
      <c r="AI32" s="58" t="e">
        <f t="shared" ref="AI32:BN32" si="16">AI54/AI22*1000</f>
        <v>#N/A</v>
      </c>
      <c r="AJ32" s="58" t="e">
        <f t="shared" si="16"/>
        <v>#N/A</v>
      </c>
      <c r="AK32" s="15" t="e">
        <f t="shared" si="16"/>
        <v>#N/A</v>
      </c>
      <c r="AL32" s="58" t="e">
        <f t="shared" si="16"/>
        <v>#N/A</v>
      </c>
      <c r="AM32" s="58" t="e">
        <f t="shared" si="16"/>
        <v>#N/A</v>
      </c>
      <c r="AN32" s="15" t="e">
        <f t="shared" si="16"/>
        <v>#N/A</v>
      </c>
      <c r="AO32" s="58" t="e">
        <f t="shared" si="16"/>
        <v>#N/A</v>
      </c>
      <c r="AP32" s="58" t="e">
        <f t="shared" si="16"/>
        <v>#N/A</v>
      </c>
      <c r="AQ32" s="15" t="e">
        <f t="shared" si="16"/>
        <v>#N/A</v>
      </c>
      <c r="AR32" s="58" t="e">
        <f t="shared" si="16"/>
        <v>#N/A</v>
      </c>
      <c r="AS32" s="58" t="e">
        <f t="shared" si="16"/>
        <v>#N/A</v>
      </c>
      <c r="AT32" s="58" t="e">
        <f t="shared" si="16"/>
        <v>#N/A</v>
      </c>
      <c r="AU32" s="15" t="e">
        <f t="shared" si="16"/>
        <v>#N/A</v>
      </c>
      <c r="AV32" s="58" t="e">
        <f t="shared" si="16"/>
        <v>#N/A</v>
      </c>
      <c r="AW32" s="58" t="e">
        <f t="shared" si="16"/>
        <v>#N/A</v>
      </c>
      <c r="AX32" s="15" t="e">
        <f t="shared" si="16"/>
        <v>#N/A</v>
      </c>
      <c r="AY32" s="58" t="e">
        <f t="shared" si="16"/>
        <v>#N/A</v>
      </c>
      <c r="AZ32" s="58" t="e">
        <f t="shared" si="16"/>
        <v>#N/A</v>
      </c>
      <c r="BA32" s="15" t="e">
        <f t="shared" si="16"/>
        <v>#N/A</v>
      </c>
      <c r="BB32" s="58" t="e">
        <f t="shared" si="16"/>
        <v>#N/A</v>
      </c>
      <c r="BC32" s="58" t="e">
        <f t="shared" si="16"/>
        <v>#N/A</v>
      </c>
      <c r="BD32" s="15" t="e">
        <f t="shared" si="16"/>
        <v>#N/A</v>
      </c>
      <c r="BE32" s="58" t="e">
        <f t="shared" si="16"/>
        <v>#N/A</v>
      </c>
      <c r="BF32" s="58" t="e">
        <f t="shared" si="16"/>
        <v>#N/A</v>
      </c>
      <c r="BG32" s="15" t="e">
        <f t="shared" si="16"/>
        <v>#N/A</v>
      </c>
      <c r="BH32" s="58" t="e">
        <f t="shared" si="16"/>
        <v>#N/A</v>
      </c>
      <c r="BI32" s="58" t="e">
        <f t="shared" si="16"/>
        <v>#N/A</v>
      </c>
      <c r="BJ32" s="15" t="e">
        <f t="shared" si="16"/>
        <v>#N/A</v>
      </c>
      <c r="BK32" s="58" t="e">
        <f t="shared" si="16"/>
        <v>#N/A</v>
      </c>
      <c r="BL32" s="58" t="e">
        <f t="shared" si="16"/>
        <v>#N/A</v>
      </c>
      <c r="BM32" s="58" t="e">
        <f t="shared" si="16"/>
        <v>#N/A</v>
      </c>
      <c r="BN32" s="15" t="e">
        <f t="shared" si="16"/>
        <v>#N/A</v>
      </c>
      <c r="BO32" s="58" t="e">
        <f t="shared" ref="BO32:CT32" si="17">BO54/BO22*1000</f>
        <v>#N/A</v>
      </c>
      <c r="BP32" s="58" t="e">
        <f t="shared" si="17"/>
        <v>#N/A</v>
      </c>
      <c r="BQ32" s="15" t="e">
        <f t="shared" si="17"/>
        <v>#N/A</v>
      </c>
      <c r="BR32" s="58" t="e">
        <f t="shared" si="17"/>
        <v>#N/A</v>
      </c>
      <c r="BS32" s="58" t="e">
        <f t="shared" si="17"/>
        <v>#N/A</v>
      </c>
      <c r="BT32" s="15" t="e">
        <f t="shared" si="17"/>
        <v>#N/A</v>
      </c>
      <c r="BU32" s="58" t="e">
        <f t="shared" si="17"/>
        <v>#N/A</v>
      </c>
      <c r="BV32" s="58" t="e">
        <f t="shared" si="17"/>
        <v>#N/A</v>
      </c>
      <c r="BW32" s="15" t="e">
        <f t="shared" si="17"/>
        <v>#N/A</v>
      </c>
      <c r="BX32" s="58" t="e">
        <f t="shared" si="17"/>
        <v>#N/A</v>
      </c>
      <c r="BY32" s="58" t="e">
        <f t="shared" si="17"/>
        <v>#N/A</v>
      </c>
      <c r="BZ32" s="15" t="e">
        <f t="shared" si="17"/>
        <v>#N/A</v>
      </c>
      <c r="CA32" s="58" t="e">
        <f t="shared" si="17"/>
        <v>#N/A</v>
      </c>
      <c r="CB32" s="58" t="e">
        <f t="shared" si="17"/>
        <v>#N/A</v>
      </c>
      <c r="CC32" s="15" t="e">
        <f t="shared" si="17"/>
        <v>#N/A</v>
      </c>
      <c r="CD32" s="58" t="e">
        <f t="shared" si="17"/>
        <v>#N/A</v>
      </c>
      <c r="CE32" s="58" t="e">
        <f t="shared" si="17"/>
        <v>#N/A</v>
      </c>
      <c r="CF32" s="58" t="e">
        <f t="shared" si="17"/>
        <v>#N/A</v>
      </c>
      <c r="CG32" s="15" t="e">
        <f t="shared" si="17"/>
        <v>#N/A</v>
      </c>
      <c r="CH32" s="58" t="e">
        <f t="shared" si="17"/>
        <v>#N/A</v>
      </c>
      <c r="CI32" s="58" t="e">
        <f t="shared" si="17"/>
        <v>#N/A</v>
      </c>
      <c r="CJ32" s="15" t="e">
        <f t="shared" si="17"/>
        <v>#N/A</v>
      </c>
      <c r="CK32" s="58" t="e">
        <f t="shared" si="17"/>
        <v>#N/A</v>
      </c>
      <c r="CL32" s="58" t="e">
        <f t="shared" si="17"/>
        <v>#N/A</v>
      </c>
      <c r="CM32" s="15" t="e">
        <f t="shared" si="17"/>
        <v>#N/A</v>
      </c>
      <c r="CN32" s="58" t="e">
        <f t="shared" si="17"/>
        <v>#N/A</v>
      </c>
      <c r="CO32" s="58" t="e">
        <f t="shared" si="17"/>
        <v>#N/A</v>
      </c>
      <c r="CP32" s="15" t="e">
        <f t="shared" si="17"/>
        <v>#N/A</v>
      </c>
      <c r="CQ32" s="58" t="e">
        <f t="shared" si="17"/>
        <v>#N/A</v>
      </c>
      <c r="CR32" s="58" t="e">
        <f t="shared" si="17"/>
        <v>#N/A</v>
      </c>
      <c r="CS32" s="15" t="e">
        <f t="shared" si="17"/>
        <v>#N/A</v>
      </c>
      <c r="CT32" s="58" t="e">
        <f t="shared" si="17"/>
        <v>#N/A</v>
      </c>
      <c r="CU32" s="58" t="e">
        <f t="shared" ref="CU32:DZ32" si="18">CU54/CU22*1000</f>
        <v>#N/A</v>
      </c>
      <c r="CV32" s="15" t="e">
        <f t="shared" si="18"/>
        <v>#N/A</v>
      </c>
      <c r="CW32" s="58" t="e">
        <f t="shared" si="18"/>
        <v>#N/A</v>
      </c>
      <c r="CX32" s="58" t="e">
        <f t="shared" si="18"/>
        <v>#N/A</v>
      </c>
      <c r="CY32" s="58" t="e">
        <f t="shared" si="18"/>
        <v>#N/A</v>
      </c>
      <c r="CZ32" s="15" t="e">
        <f t="shared" si="18"/>
        <v>#N/A</v>
      </c>
      <c r="DA32" s="58" t="e">
        <f t="shared" si="18"/>
        <v>#N/A</v>
      </c>
      <c r="DB32" s="58" t="e">
        <f t="shared" si="18"/>
        <v>#N/A</v>
      </c>
      <c r="DC32" s="15" t="e">
        <f t="shared" si="18"/>
        <v>#N/A</v>
      </c>
      <c r="DD32" s="58" t="e">
        <f t="shared" si="18"/>
        <v>#N/A</v>
      </c>
      <c r="DE32" s="58" t="e">
        <f t="shared" si="18"/>
        <v>#N/A</v>
      </c>
      <c r="DF32" s="15" t="e">
        <f t="shared" si="18"/>
        <v>#N/A</v>
      </c>
      <c r="DG32" s="58" t="e">
        <f t="shared" si="18"/>
        <v>#N/A</v>
      </c>
      <c r="DH32" s="58" t="e">
        <f t="shared" si="18"/>
        <v>#N/A</v>
      </c>
      <c r="DI32" s="15" t="e">
        <f t="shared" si="18"/>
        <v>#N/A</v>
      </c>
      <c r="DJ32" s="58" t="e">
        <f t="shared" si="18"/>
        <v>#N/A</v>
      </c>
      <c r="DK32" s="58" t="e">
        <f t="shared" si="18"/>
        <v>#N/A</v>
      </c>
      <c r="DL32" s="15" t="e">
        <f t="shared" si="18"/>
        <v>#N/A</v>
      </c>
      <c r="DM32" s="58" t="e">
        <f t="shared" si="18"/>
        <v>#N/A</v>
      </c>
      <c r="DN32" s="58" t="e">
        <f t="shared" si="18"/>
        <v>#N/A</v>
      </c>
      <c r="DO32" s="15" t="e">
        <f t="shared" si="18"/>
        <v>#N/A</v>
      </c>
      <c r="DP32" s="58" t="e">
        <f t="shared" si="18"/>
        <v>#N/A</v>
      </c>
      <c r="DQ32" s="58" t="e">
        <f t="shared" si="18"/>
        <v>#N/A</v>
      </c>
      <c r="DR32" s="58" t="e">
        <f t="shared" si="18"/>
        <v>#N/A</v>
      </c>
      <c r="DS32" s="15" t="e">
        <f t="shared" si="18"/>
        <v>#N/A</v>
      </c>
      <c r="DT32" s="58" t="e">
        <f t="shared" si="18"/>
        <v>#N/A</v>
      </c>
      <c r="DU32" s="58" t="e">
        <f t="shared" si="18"/>
        <v>#N/A</v>
      </c>
      <c r="DV32" s="15" t="e">
        <f t="shared" si="18"/>
        <v>#N/A</v>
      </c>
      <c r="DW32" s="58" t="e">
        <f t="shared" si="18"/>
        <v>#N/A</v>
      </c>
      <c r="DX32" s="58" t="e">
        <f t="shared" si="18"/>
        <v>#N/A</v>
      </c>
      <c r="DY32" s="15" t="e">
        <f t="shared" si="18"/>
        <v>#N/A</v>
      </c>
      <c r="DZ32" s="58" t="e">
        <f t="shared" si="18"/>
        <v>#N/A</v>
      </c>
      <c r="EA32" s="58" t="e">
        <f t="shared" ref="EA32:EJ32" si="19">EA54/EA22*1000</f>
        <v>#N/A</v>
      </c>
      <c r="EB32" s="15" t="e">
        <f t="shared" si="19"/>
        <v>#N/A</v>
      </c>
      <c r="EC32" s="58" t="e">
        <f t="shared" si="19"/>
        <v>#N/A</v>
      </c>
      <c r="ED32" s="58" t="e">
        <f t="shared" si="19"/>
        <v>#N/A</v>
      </c>
      <c r="EE32" s="15" t="e">
        <f t="shared" si="19"/>
        <v>#N/A</v>
      </c>
      <c r="EF32" s="58" t="e">
        <f t="shared" si="19"/>
        <v>#N/A</v>
      </c>
      <c r="EG32" s="58" t="e">
        <f t="shared" si="19"/>
        <v>#N/A</v>
      </c>
      <c r="EH32" s="15" t="e">
        <f t="shared" si="19"/>
        <v>#N/A</v>
      </c>
      <c r="EI32" s="58" t="e">
        <f t="shared" si="19"/>
        <v>#N/A</v>
      </c>
      <c r="EJ32" s="58" t="e">
        <f t="shared" si="19"/>
        <v>#N/A</v>
      </c>
    </row>
    <row r="33" spans="1:140" x14ac:dyDescent="0.2">
      <c r="A33" t="s">
        <v>53</v>
      </c>
      <c r="B33" s="15" t="s">
        <v>51</v>
      </c>
      <c r="C33" s="78">
        <f t="shared" ref="C33:AH33" si="20">C56/C24*1000</f>
        <v>0</v>
      </c>
      <c r="D33" s="58">
        <f t="shared" si="20"/>
        <v>0</v>
      </c>
      <c r="E33" s="1">
        <f t="shared" si="20"/>
        <v>0</v>
      </c>
      <c r="F33" s="15">
        <f t="shared" si="20"/>
        <v>0</v>
      </c>
      <c r="G33" s="58">
        <f t="shared" si="20"/>
        <v>0</v>
      </c>
      <c r="H33" s="58">
        <f t="shared" si="20"/>
        <v>0</v>
      </c>
      <c r="I33" s="15">
        <f t="shared" si="20"/>
        <v>0</v>
      </c>
      <c r="J33" s="58">
        <f t="shared" si="20"/>
        <v>0</v>
      </c>
      <c r="K33" s="58">
        <f t="shared" si="20"/>
        <v>0</v>
      </c>
      <c r="L33" s="15">
        <f t="shared" si="20"/>
        <v>0</v>
      </c>
      <c r="M33" s="58">
        <f t="shared" si="20"/>
        <v>0</v>
      </c>
      <c r="N33" s="58">
        <f t="shared" si="20"/>
        <v>0</v>
      </c>
      <c r="O33" s="15">
        <f t="shared" si="20"/>
        <v>0</v>
      </c>
      <c r="P33" s="58">
        <f t="shared" si="20"/>
        <v>0</v>
      </c>
      <c r="Q33" s="58">
        <f t="shared" si="20"/>
        <v>0</v>
      </c>
      <c r="R33" s="15">
        <f t="shared" si="20"/>
        <v>0</v>
      </c>
      <c r="S33" s="58">
        <f t="shared" si="20"/>
        <v>0</v>
      </c>
      <c r="T33" s="58">
        <f t="shared" si="20"/>
        <v>0</v>
      </c>
      <c r="U33" s="15">
        <f t="shared" si="20"/>
        <v>0</v>
      </c>
      <c r="V33" s="58">
        <f t="shared" si="20"/>
        <v>0</v>
      </c>
      <c r="W33" s="58">
        <f t="shared" si="20"/>
        <v>0</v>
      </c>
      <c r="X33" s="15">
        <f t="shared" si="20"/>
        <v>0</v>
      </c>
      <c r="Y33" s="58">
        <f t="shared" si="20"/>
        <v>0</v>
      </c>
      <c r="Z33" s="58">
        <f t="shared" si="20"/>
        <v>0</v>
      </c>
      <c r="AA33" s="58" t="e">
        <f t="shared" si="20"/>
        <v>#N/A</v>
      </c>
      <c r="AB33" s="15" t="e">
        <f t="shared" si="20"/>
        <v>#N/A</v>
      </c>
      <c r="AC33" s="58" t="e">
        <f t="shared" si="20"/>
        <v>#N/A</v>
      </c>
      <c r="AD33" s="58" t="e">
        <f t="shared" si="20"/>
        <v>#N/A</v>
      </c>
      <c r="AE33" s="15" t="e">
        <f t="shared" si="20"/>
        <v>#N/A</v>
      </c>
      <c r="AF33" s="58" t="e">
        <f t="shared" si="20"/>
        <v>#N/A</v>
      </c>
      <c r="AG33" s="58" t="e">
        <f t="shared" si="20"/>
        <v>#N/A</v>
      </c>
      <c r="AH33" s="15" t="e">
        <f t="shared" si="20"/>
        <v>#N/A</v>
      </c>
      <c r="AI33" s="58" t="e">
        <f t="shared" ref="AI33:BN33" si="21">AI56/AI24*1000</f>
        <v>#N/A</v>
      </c>
      <c r="AJ33" s="58" t="e">
        <f t="shared" si="21"/>
        <v>#N/A</v>
      </c>
      <c r="AK33" s="15" t="e">
        <f t="shared" si="21"/>
        <v>#N/A</v>
      </c>
      <c r="AL33" s="58" t="e">
        <f t="shared" si="21"/>
        <v>#N/A</v>
      </c>
      <c r="AM33" s="58" t="e">
        <f t="shared" si="21"/>
        <v>#N/A</v>
      </c>
      <c r="AN33" s="15" t="e">
        <f t="shared" si="21"/>
        <v>#N/A</v>
      </c>
      <c r="AO33" s="58" t="e">
        <f t="shared" si="21"/>
        <v>#N/A</v>
      </c>
      <c r="AP33" s="58" t="e">
        <f t="shared" si="21"/>
        <v>#N/A</v>
      </c>
      <c r="AQ33" s="15" t="e">
        <f t="shared" si="21"/>
        <v>#N/A</v>
      </c>
      <c r="AR33" s="58" t="e">
        <f t="shared" si="21"/>
        <v>#N/A</v>
      </c>
      <c r="AS33" s="58" t="e">
        <f t="shared" si="21"/>
        <v>#N/A</v>
      </c>
      <c r="AT33" s="58" t="e">
        <f t="shared" si="21"/>
        <v>#N/A</v>
      </c>
      <c r="AU33" s="15" t="e">
        <f t="shared" si="21"/>
        <v>#N/A</v>
      </c>
      <c r="AV33" s="58" t="e">
        <f t="shared" si="21"/>
        <v>#N/A</v>
      </c>
      <c r="AW33" s="58" t="e">
        <f t="shared" si="21"/>
        <v>#N/A</v>
      </c>
      <c r="AX33" s="15" t="e">
        <f t="shared" si="21"/>
        <v>#N/A</v>
      </c>
      <c r="AY33" s="58" t="e">
        <f t="shared" si="21"/>
        <v>#N/A</v>
      </c>
      <c r="AZ33" s="58" t="e">
        <f t="shared" si="21"/>
        <v>#N/A</v>
      </c>
      <c r="BA33" s="15" t="e">
        <f t="shared" si="21"/>
        <v>#N/A</v>
      </c>
      <c r="BB33" s="58" t="e">
        <f t="shared" si="21"/>
        <v>#N/A</v>
      </c>
      <c r="BC33" s="58" t="e">
        <f t="shared" si="21"/>
        <v>#N/A</v>
      </c>
      <c r="BD33" s="15" t="e">
        <f t="shared" si="21"/>
        <v>#N/A</v>
      </c>
      <c r="BE33" s="58" t="e">
        <f t="shared" si="21"/>
        <v>#N/A</v>
      </c>
      <c r="BF33" s="58" t="e">
        <f t="shared" si="21"/>
        <v>#N/A</v>
      </c>
      <c r="BG33" s="15" t="e">
        <f t="shared" si="21"/>
        <v>#N/A</v>
      </c>
      <c r="BH33" s="58" t="e">
        <f t="shared" si="21"/>
        <v>#N/A</v>
      </c>
      <c r="BI33" s="58" t="e">
        <f t="shared" si="21"/>
        <v>#N/A</v>
      </c>
      <c r="BJ33" s="15" t="e">
        <f t="shared" si="21"/>
        <v>#N/A</v>
      </c>
      <c r="BK33" s="58" t="e">
        <f t="shared" si="21"/>
        <v>#N/A</v>
      </c>
      <c r="BL33" s="58" t="e">
        <f t="shared" si="21"/>
        <v>#N/A</v>
      </c>
      <c r="BM33" s="58" t="e">
        <f t="shared" si="21"/>
        <v>#N/A</v>
      </c>
      <c r="BN33" s="15" t="e">
        <f t="shared" si="21"/>
        <v>#N/A</v>
      </c>
      <c r="BO33" s="58" t="e">
        <f t="shared" ref="BO33:CT33" si="22">BO56/BO24*1000</f>
        <v>#N/A</v>
      </c>
      <c r="BP33" s="58" t="e">
        <f t="shared" si="22"/>
        <v>#N/A</v>
      </c>
      <c r="BQ33" s="15" t="e">
        <f t="shared" si="22"/>
        <v>#N/A</v>
      </c>
      <c r="BR33" s="58" t="e">
        <f t="shared" si="22"/>
        <v>#N/A</v>
      </c>
      <c r="BS33" s="58" t="e">
        <f t="shared" si="22"/>
        <v>#N/A</v>
      </c>
      <c r="BT33" s="15" t="e">
        <f t="shared" si="22"/>
        <v>#N/A</v>
      </c>
      <c r="BU33" s="58" t="e">
        <f t="shared" si="22"/>
        <v>#N/A</v>
      </c>
      <c r="BV33" s="58" t="e">
        <f t="shared" si="22"/>
        <v>#N/A</v>
      </c>
      <c r="BW33" s="15" t="e">
        <f t="shared" si="22"/>
        <v>#N/A</v>
      </c>
      <c r="BX33" s="58" t="e">
        <f t="shared" si="22"/>
        <v>#N/A</v>
      </c>
      <c r="BY33" s="58" t="e">
        <f t="shared" si="22"/>
        <v>#N/A</v>
      </c>
      <c r="BZ33" s="15" t="e">
        <f t="shared" si="22"/>
        <v>#N/A</v>
      </c>
      <c r="CA33" s="58" t="e">
        <f t="shared" si="22"/>
        <v>#N/A</v>
      </c>
      <c r="CB33" s="58" t="e">
        <f t="shared" si="22"/>
        <v>#N/A</v>
      </c>
      <c r="CC33" s="15" t="e">
        <f t="shared" si="22"/>
        <v>#N/A</v>
      </c>
      <c r="CD33" s="58" t="e">
        <f t="shared" si="22"/>
        <v>#N/A</v>
      </c>
      <c r="CE33" s="58" t="e">
        <f t="shared" si="22"/>
        <v>#N/A</v>
      </c>
      <c r="CF33" s="58" t="e">
        <f t="shared" si="22"/>
        <v>#N/A</v>
      </c>
      <c r="CG33" s="15" t="e">
        <f t="shared" si="22"/>
        <v>#N/A</v>
      </c>
      <c r="CH33" s="58" t="e">
        <f t="shared" si="22"/>
        <v>#N/A</v>
      </c>
      <c r="CI33" s="58" t="e">
        <f t="shared" si="22"/>
        <v>#N/A</v>
      </c>
      <c r="CJ33" s="15" t="e">
        <f t="shared" si="22"/>
        <v>#N/A</v>
      </c>
      <c r="CK33" s="58" t="e">
        <f t="shared" si="22"/>
        <v>#N/A</v>
      </c>
      <c r="CL33" s="58" t="e">
        <f t="shared" si="22"/>
        <v>#N/A</v>
      </c>
      <c r="CM33" s="15" t="e">
        <f t="shared" si="22"/>
        <v>#N/A</v>
      </c>
      <c r="CN33" s="58" t="e">
        <f t="shared" si="22"/>
        <v>#N/A</v>
      </c>
      <c r="CO33" s="58" t="e">
        <f t="shared" si="22"/>
        <v>#N/A</v>
      </c>
      <c r="CP33" s="15" t="e">
        <f t="shared" si="22"/>
        <v>#N/A</v>
      </c>
      <c r="CQ33" s="58" t="e">
        <f t="shared" si="22"/>
        <v>#N/A</v>
      </c>
      <c r="CR33" s="58" t="e">
        <f t="shared" si="22"/>
        <v>#N/A</v>
      </c>
      <c r="CS33" s="15" t="e">
        <f t="shared" si="22"/>
        <v>#N/A</v>
      </c>
      <c r="CT33" s="58" t="e">
        <f t="shared" si="22"/>
        <v>#N/A</v>
      </c>
      <c r="CU33" s="58" t="e">
        <f t="shared" ref="CU33:DZ33" si="23">CU56/CU24*1000</f>
        <v>#N/A</v>
      </c>
      <c r="CV33" s="15" t="e">
        <f t="shared" si="23"/>
        <v>#N/A</v>
      </c>
      <c r="CW33" s="58" t="e">
        <f t="shared" si="23"/>
        <v>#N/A</v>
      </c>
      <c r="CX33" s="58" t="e">
        <f t="shared" si="23"/>
        <v>#N/A</v>
      </c>
      <c r="CY33" s="58" t="e">
        <f t="shared" si="23"/>
        <v>#N/A</v>
      </c>
      <c r="CZ33" s="15" t="e">
        <f t="shared" si="23"/>
        <v>#N/A</v>
      </c>
      <c r="DA33" s="58" t="e">
        <f t="shared" si="23"/>
        <v>#N/A</v>
      </c>
      <c r="DB33" s="58" t="e">
        <f t="shared" si="23"/>
        <v>#N/A</v>
      </c>
      <c r="DC33" s="15" t="e">
        <f t="shared" si="23"/>
        <v>#N/A</v>
      </c>
      <c r="DD33" s="58" t="e">
        <f t="shared" si="23"/>
        <v>#N/A</v>
      </c>
      <c r="DE33" s="58" t="e">
        <f t="shared" si="23"/>
        <v>#N/A</v>
      </c>
      <c r="DF33" s="15" t="e">
        <f t="shared" si="23"/>
        <v>#N/A</v>
      </c>
      <c r="DG33" s="58" t="e">
        <f t="shared" si="23"/>
        <v>#N/A</v>
      </c>
      <c r="DH33" s="58" t="e">
        <f t="shared" si="23"/>
        <v>#N/A</v>
      </c>
      <c r="DI33" s="15" t="e">
        <f t="shared" si="23"/>
        <v>#N/A</v>
      </c>
      <c r="DJ33" s="58" t="e">
        <f t="shared" si="23"/>
        <v>#N/A</v>
      </c>
      <c r="DK33" s="58" t="e">
        <f t="shared" si="23"/>
        <v>#N/A</v>
      </c>
      <c r="DL33" s="15" t="e">
        <f t="shared" si="23"/>
        <v>#N/A</v>
      </c>
      <c r="DM33" s="58" t="e">
        <f t="shared" si="23"/>
        <v>#N/A</v>
      </c>
      <c r="DN33" s="58" t="e">
        <f t="shared" si="23"/>
        <v>#N/A</v>
      </c>
      <c r="DO33" s="15" t="e">
        <f t="shared" si="23"/>
        <v>#N/A</v>
      </c>
      <c r="DP33" s="58" t="e">
        <f t="shared" si="23"/>
        <v>#N/A</v>
      </c>
      <c r="DQ33" s="58" t="e">
        <f t="shared" si="23"/>
        <v>#N/A</v>
      </c>
      <c r="DR33" s="58" t="e">
        <f t="shared" si="23"/>
        <v>#N/A</v>
      </c>
      <c r="DS33" s="15" t="e">
        <f t="shared" si="23"/>
        <v>#N/A</v>
      </c>
      <c r="DT33" s="58" t="e">
        <f t="shared" si="23"/>
        <v>#N/A</v>
      </c>
      <c r="DU33" s="58" t="e">
        <f t="shared" si="23"/>
        <v>#N/A</v>
      </c>
      <c r="DV33" s="15" t="e">
        <f t="shared" si="23"/>
        <v>#N/A</v>
      </c>
      <c r="DW33" s="58" t="e">
        <f t="shared" si="23"/>
        <v>#N/A</v>
      </c>
      <c r="DX33" s="58" t="e">
        <f t="shared" si="23"/>
        <v>#N/A</v>
      </c>
      <c r="DY33" s="15" t="e">
        <f t="shared" si="23"/>
        <v>#N/A</v>
      </c>
      <c r="DZ33" s="58" t="e">
        <f t="shared" si="23"/>
        <v>#N/A</v>
      </c>
      <c r="EA33" s="58" t="e">
        <f t="shared" ref="EA33:EJ33" si="24">EA56/EA24*1000</f>
        <v>#N/A</v>
      </c>
      <c r="EB33" s="15" t="e">
        <f t="shared" si="24"/>
        <v>#N/A</v>
      </c>
      <c r="EC33" s="58" t="e">
        <f t="shared" si="24"/>
        <v>#N/A</v>
      </c>
      <c r="ED33" s="58" t="e">
        <f t="shared" si="24"/>
        <v>#N/A</v>
      </c>
      <c r="EE33" s="15" t="e">
        <f t="shared" si="24"/>
        <v>#N/A</v>
      </c>
      <c r="EF33" s="58" t="e">
        <f t="shared" si="24"/>
        <v>#N/A</v>
      </c>
      <c r="EG33" s="58" t="e">
        <f t="shared" si="24"/>
        <v>#N/A</v>
      </c>
      <c r="EH33" s="15" t="e">
        <f t="shared" si="24"/>
        <v>#N/A</v>
      </c>
      <c r="EI33" s="58" t="e">
        <f t="shared" si="24"/>
        <v>#N/A</v>
      </c>
      <c r="EJ33" s="58" t="e">
        <f t="shared" si="24"/>
        <v>#N/A</v>
      </c>
    </row>
    <row r="34" spans="1:140" x14ac:dyDescent="0.2">
      <c r="A34" t="s">
        <v>54</v>
      </c>
      <c r="B34" s="15" t="s">
        <v>51</v>
      </c>
      <c r="C34" s="78">
        <f t="shared" ref="C34:AH34" si="25">C57/C25*1000</f>
        <v>0</v>
      </c>
      <c r="D34" s="58">
        <f t="shared" si="25"/>
        <v>0</v>
      </c>
      <c r="E34" s="1">
        <f t="shared" si="25"/>
        <v>0</v>
      </c>
      <c r="F34" s="15">
        <f t="shared" si="25"/>
        <v>0</v>
      </c>
      <c r="G34" s="58">
        <f t="shared" si="25"/>
        <v>0</v>
      </c>
      <c r="H34" s="58">
        <f t="shared" si="25"/>
        <v>0</v>
      </c>
      <c r="I34" s="15">
        <f t="shared" si="25"/>
        <v>0</v>
      </c>
      <c r="J34" s="58">
        <f t="shared" si="25"/>
        <v>0</v>
      </c>
      <c r="K34" s="58">
        <f t="shared" si="25"/>
        <v>0</v>
      </c>
      <c r="L34" s="15">
        <f t="shared" si="25"/>
        <v>0</v>
      </c>
      <c r="M34" s="58">
        <f t="shared" si="25"/>
        <v>0</v>
      </c>
      <c r="N34" s="58">
        <f t="shared" si="25"/>
        <v>0</v>
      </c>
      <c r="O34" s="15">
        <f t="shared" si="25"/>
        <v>0</v>
      </c>
      <c r="P34" s="58">
        <f t="shared" si="25"/>
        <v>0</v>
      </c>
      <c r="Q34" s="58">
        <f t="shared" si="25"/>
        <v>0</v>
      </c>
      <c r="R34" s="15">
        <f t="shared" si="25"/>
        <v>0</v>
      </c>
      <c r="S34" s="58">
        <f t="shared" si="25"/>
        <v>0</v>
      </c>
      <c r="T34" s="58">
        <f t="shared" si="25"/>
        <v>0</v>
      </c>
      <c r="U34" s="15">
        <f t="shared" si="25"/>
        <v>0</v>
      </c>
      <c r="V34" s="58">
        <f t="shared" si="25"/>
        <v>0</v>
      </c>
      <c r="W34" s="58">
        <f t="shared" si="25"/>
        <v>0</v>
      </c>
      <c r="X34" s="15">
        <f t="shared" si="25"/>
        <v>0</v>
      </c>
      <c r="Y34" s="58">
        <f t="shared" si="25"/>
        <v>0</v>
      </c>
      <c r="Z34" s="58">
        <f t="shared" si="25"/>
        <v>0</v>
      </c>
      <c r="AA34" s="58" t="e">
        <f t="shared" si="25"/>
        <v>#N/A</v>
      </c>
      <c r="AB34" s="15" t="e">
        <f t="shared" si="25"/>
        <v>#N/A</v>
      </c>
      <c r="AC34" s="58" t="e">
        <f t="shared" si="25"/>
        <v>#N/A</v>
      </c>
      <c r="AD34" s="58" t="e">
        <f t="shared" si="25"/>
        <v>#N/A</v>
      </c>
      <c r="AE34" s="15" t="e">
        <f t="shared" si="25"/>
        <v>#N/A</v>
      </c>
      <c r="AF34" s="58" t="e">
        <f t="shared" si="25"/>
        <v>#N/A</v>
      </c>
      <c r="AG34" s="58" t="e">
        <f t="shared" si="25"/>
        <v>#N/A</v>
      </c>
      <c r="AH34" s="15" t="e">
        <f t="shared" si="25"/>
        <v>#N/A</v>
      </c>
      <c r="AI34" s="58" t="e">
        <f t="shared" ref="AI34:BN34" si="26">AI57/AI25*1000</f>
        <v>#N/A</v>
      </c>
      <c r="AJ34" s="58" t="e">
        <f t="shared" si="26"/>
        <v>#N/A</v>
      </c>
      <c r="AK34" s="15" t="e">
        <f t="shared" si="26"/>
        <v>#N/A</v>
      </c>
      <c r="AL34" s="58" t="e">
        <f t="shared" si="26"/>
        <v>#N/A</v>
      </c>
      <c r="AM34" s="58" t="e">
        <f t="shared" si="26"/>
        <v>#N/A</v>
      </c>
      <c r="AN34" s="15" t="e">
        <f t="shared" si="26"/>
        <v>#N/A</v>
      </c>
      <c r="AO34" s="58" t="e">
        <f t="shared" si="26"/>
        <v>#N/A</v>
      </c>
      <c r="AP34" s="58" t="e">
        <f t="shared" si="26"/>
        <v>#N/A</v>
      </c>
      <c r="AQ34" s="15" t="e">
        <f t="shared" si="26"/>
        <v>#N/A</v>
      </c>
      <c r="AR34" s="58" t="e">
        <f t="shared" si="26"/>
        <v>#N/A</v>
      </c>
      <c r="AS34" s="58" t="e">
        <f t="shared" si="26"/>
        <v>#N/A</v>
      </c>
      <c r="AT34" s="58" t="e">
        <f t="shared" si="26"/>
        <v>#N/A</v>
      </c>
      <c r="AU34" s="15" t="e">
        <f t="shared" si="26"/>
        <v>#N/A</v>
      </c>
      <c r="AV34" s="58" t="e">
        <f t="shared" si="26"/>
        <v>#N/A</v>
      </c>
      <c r="AW34" s="58" t="e">
        <f t="shared" si="26"/>
        <v>#N/A</v>
      </c>
      <c r="AX34" s="15" t="e">
        <f t="shared" si="26"/>
        <v>#N/A</v>
      </c>
      <c r="AY34" s="58" t="e">
        <f t="shared" si="26"/>
        <v>#N/A</v>
      </c>
      <c r="AZ34" s="58" t="e">
        <f t="shared" si="26"/>
        <v>#N/A</v>
      </c>
      <c r="BA34" s="15" t="e">
        <f t="shared" si="26"/>
        <v>#N/A</v>
      </c>
      <c r="BB34" s="58" t="e">
        <f t="shared" si="26"/>
        <v>#N/A</v>
      </c>
      <c r="BC34" s="58" t="e">
        <f t="shared" si="26"/>
        <v>#N/A</v>
      </c>
      <c r="BD34" s="15" t="e">
        <f t="shared" si="26"/>
        <v>#N/A</v>
      </c>
      <c r="BE34" s="58" t="e">
        <f t="shared" si="26"/>
        <v>#N/A</v>
      </c>
      <c r="BF34" s="58" t="e">
        <f t="shared" si="26"/>
        <v>#N/A</v>
      </c>
      <c r="BG34" s="15" t="e">
        <f t="shared" si="26"/>
        <v>#N/A</v>
      </c>
      <c r="BH34" s="58" t="e">
        <f t="shared" si="26"/>
        <v>#N/A</v>
      </c>
      <c r="BI34" s="58" t="e">
        <f t="shared" si="26"/>
        <v>#N/A</v>
      </c>
      <c r="BJ34" s="15" t="e">
        <f t="shared" si="26"/>
        <v>#N/A</v>
      </c>
      <c r="BK34" s="58" t="e">
        <f t="shared" si="26"/>
        <v>#N/A</v>
      </c>
      <c r="BL34" s="58" t="e">
        <f t="shared" si="26"/>
        <v>#N/A</v>
      </c>
      <c r="BM34" s="58" t="e">
        <f t="shared" si="26"/>
        <v>#N/A</v>
      </c>
      <c r="BN34" s="15" t="e">
        <f t="shared" si="26"/>
        <v>#N/A</v>
      </c>
      <c r="BO34" s="58" t="e">
        <f t="shared" ref="BO34:CT34" si="27">BO57/BO25*1000</f>
        <v>#N/A</v>
      </c>
      <c r="BP34" s="58" t="e">
        <f t="shared" si="27"/>
        <v>#N/A</v>
      </c>
      <c r="BQ34" s="15" t="e">
        <f t="shared" si="27"/>
        <v>#N/A</v>
      </c>
      <c r="BR34" s="58" t="e">
        <f t="shared" si="27"/>
        <v>#N/A</v>
      </c>
      <c r="BS34" s="58" t="e">
        <f t="shared" si="27"/>
        <v>#N/A</v>
      </c>
      <c r="BT34" s="15" t="e">
        <f t="shared" si="27"/>
        <v>#N/A</v>
      </c>
      <c r="BU34" s="58" t="e">
        <f t="shared" si="27"/>
        <v>#N/A</v>
      </c>
      <c r="BV34" s="58" t="e">
        <f t="shared" si="27"/>
        <v>#N/A</v>
      </c>
      <c r="BW34" s="15" t="e">
        <f t="shared" si="27"/>
        <v>#N/A</v>
      </c>
      <c r="BX34" s="58" t="e">
        <f t="shared" si="27"/>
        <v>#N/A</v>
      </c>
      <c r="BY34" s="58" t="e">
        <f t="shared" si="27"/>
        <v>#N/A</v>
      </c>
      <c r="BZ34" s="15" t="e">
        <f t="shared" si="27"/>
        <v>#N/A</v>
      </c>
      <c r="CA34" s="58" t="e">
        <f t="shared" si="27"/>
        <v>#N/A</v>
      </c>
      <c r="CB34" s="58" t="e">
        <f t="shared" si="27"/>
        <v>#N/A</v>
      </c>
      <c r="CC34" s="15" t="e">
        <f t="shared" si="27"/>
        <v>#N/A</v>
      </c>
      <c r="CD34" s="58" t="e">
        <f t="shared" si="27"/>
        <v>#N/A</v>
      </c>
      <c r="CE34" s="58" t="e">
        <f t="shared" si="27"/>
        <v>#N/A</v>
      </c>
      <c r="CF34" s="58" t="e">
        <f t="shared" si="27"/>
        <v>#N/A</v>
      </c>
      <c r="CG34" s="15" t="e">
        <f t="shared" si="27"/>
        <v>#N/A</v>
      </c>
      <c r="CH34" s="58" t="e">
        <f t="shared" si="27"/>
        <v>#N/A</v>
      </c>
      <c r="CI34" s="58" t="e">
        <f t="shared" si="27"/>
        <v>#N/A</v>
      </c>
      <c r="CJ34" s="15" t="e">
        <f t="shared" si="27"/>
        <v>#N/A</v>
      </c>
      <c r="CK34" s="58" t="e">
        <f t="shared" si="27"/>
        <v>#N/A</v>
      </c>
      <c r="CL34" s="58" t="e">
        <f t="shared" si="27"/>
        <v>#N/A</v>
      </c>
      <c r="CM34" s="15" t="e">
        <f t="shared" si="27"/>
        <v>#N/A</v>
      </c>
      <c r="CN34" s="58" t="e">
        <f t="shared" si="27"/>
        <v>#N/A</v>
      </c>
      <c r="CO34" s="58" t="e">
        <f t="shared" si="27"/>
        <v>#N/A</v>
      </c>
      <c r="CP34" s="15" t="e">
        <f t="shared" si="27"/>
        <v>#N/A</v>
      </c>
      <c r="CQ34" s="58" t="e">
        <f t="shared" si="27"/>
        <v>#N/A</v>
      </c>
      <c r="CR34" s="58" t="e">
        <f t="shared" si="27"/>
        <v>#N/A</v>
      </c>
      <c r="CS34" s="15" t="e">
        <f t="shared" si="27"/>
        <v>#N/A</v>
      </c>
      <c r="CT34" s="58" t="e">
        <f t="shared" si="27"/>
        <v>#N/A</v>
      </c>
      <c r="CU34" s="58" t="e">
        <f t="shared" ref="CU34:DZ34" si="28">CU57/CU25*1000</f>
        <v>#N/A</v>
      </c>
      <c r="CV34" s="15" t="e">
        <f t="shared" si="28"/>
        <v>#N/A</v>
      </c>
      <c r="CW34" s="58" t="e">
        <f t="shared" si="28"/>
        <v>#N/A</v>
      </c>
      <c r="CX34" s="58" t="e">
        <f t="shared" si="28"/>
        <v>#N/A</v>
      </c>
      <c r="CY34" s="58" t="e">
        <f t="shared" si="28"/>
        <v>#N/A</v>
      </c>
      <c r="CZ34" s="15" t="e">
        <f t="shared" si="28"/>
        <v>#N/A</v>
      </c>
      <c r="DA34" s="58" t="e">
        <f t="shared" si="28"/>
        <v>#N/A</v>
      </c>
      <c r="DB34" s="58" t="e">
        <f t="shared" si="28"/>
        <v>#N/A</v>
      </c>
      <c r="DC34" s="15" t="e">
        <f t="shared" si="28"/>
        <v>#N/A</v>
      </c>
      <c r="DD34" s="58" t="e">
        <f t="shared" si="28"/>
        <v>#N/A</v>
      </c>
      <c r="DE34" s="58" t="e">
        <f t="shared" si="28"/>
        <v>#N/A</v>
      </c>
      <c r="DF34" s="15" t="e">
        <f t="shared" si="28"/>
        <v>#N/A</v>
      </c>
      <c r="DG34" s="58" t="e">
        <f t="shared" si="28"/>
        <v>#N/A</v>
      </c>
      <c r="DH34" s="58" t="e">
        <f t="shared" si="28"/>
        <v>#N/A</v>
      </c>
      <c r="DI34" s="15" t="e">
        <f t="shared" si="28"/>
        <v>#N/A</v>
      </c>
      <c r="DJ34" s="58" t="e">
        <f t="shared" si="28"/>
        <v>#N/A</v>
      </c>
      <c r="DK34" s="58" t="e">
        <f t="shared" si="28"/>
        <v>#N/A</v>
      </c>
      <c r="DL34" s="15" t="e">
        <f t="shared" si="28"/>
        <v>#N/A</v>
      </c>
      <c r="DM34" s="58" t="e">
        <f t="shared" si="28"/>
        <v>#N/A</v>
      </c>
      <c r="DN34" s="58" t="e">
        <f t="shared" si="28"/>
        <v>#N/A</v>
      </c>
      <c r="DO34" s="15" t="e">
        <f t="shared" si="28"/>
        <v>#N/A</v>
      </c>
      <c r="DP34" s="58" t="e">
        <f t="shared" si="28"/>
        <v>#N/A</v>
      </c>
      <c r="DQ34" s="58" t="e">
        <f t="shared" si="28"/>
        <v>#N/A</v>
      </c>
      <c r="DR34" s="58" t="e">
        <f t="shared" si="28"/>
        <v>#N/A</v>
      </c>
      <c r="DS34" s="15" t="e">
        <f t="shared" si="28"/>
        <v>#N/A</v>
      </c>
      <c r="DT34" s="58" t="e">
        <f t="shared" si="28"/>
        <v>#N/A</v>
      </c>
      <c r="DU34" s="58" t="e">
        <f t="shared" si="28"/>
        <v>#N/A</v>
      </c>
      <c r="DV34" s="15" t="e">
        <f t="shared" si="28"/>
        <v>#N/A</v>
      </c>
      <c r="DW34" s="58" t="e">
        <f t="shared" si="28"/>
        <v>#N/A</v>
      </c>
      <c r="DX34" s="58" t="e">
        <f t="shared" si="28"/>
        <v>#N/A</v>
      </c>
      <c r="DY34" s="15" t="e">
        <f t="shared" si="28"/>
        <v>#N/A</v>
      </c>
      <c r="DZ34" s="58" t="e">
        <f t="shared" si="28"/>
        <v>#N/A</v>
      </c>
      <c r="EA34" s="58" t="e">
        <f t="shared" ref="EA34:EJ34" si="29">EA57/EA25*1000</f>
        <v>#N/A</v>
      </c>
      <c r="EB34" s="15" t="e">
        <f t="shared" si="29"/>
        <v>#N/A</v>
      </c>
      <c r="EC34" s="58" t="e">
        <f t="shared" si="29"/>
        <v>#N/A</v>
      </c>
      <c r="ED34" s="58" t="e">
        <f t="shared" si="29"/>
        <v>#N/A</v>
      </c>
      <c r="EE34" s="15" t="e">
        <f t="shared" si="29"/>
        <v>#N/A</v>
      </c>
      <c r="EF34" s="58" t="e">
        <f t="shared" si="29"/>
        <v>#N/A</v>
      </c>
      <c r="EG34" s="58" t="e">
        <f t="shared" si="29"/>
        <v>#N/A</v>
      </c>
      <c r="EH34" s="15" t="e">
        <f t="shared" si="29"/>
        <v>#N/A</v>
      </c>
      <c r="EI34" s="58" t="e">
        <f t="shared" si="29"/>
        <v>#N/A</v>
      </c>
      <c r="EJ34" s="58" t="e">
        <f t="shared" si="29"/>
        <v>#N/A</v>
      </c>
    </row>
    <row r="35" spans="1:140" x14ac:dyDescent="0.2">
      <c r="A35" s="16"/>
      <c r="B35" s="15"/>
      <c r="C35" s="78"/>
      <c r="D35" s="58"/>
      <c r="E35" s="1"/>
      <c r="F35" s="15"/>
      <c r="G35" s="58"/>
      <c r="H35" s="58"/>
      <c r="I35" s="15"/>
      <c r="J35" s="58"/>
      <c r="K35" s="58"/>
      <c r="L35" s="15"/>
      <c r="M35" s="58"/>
      <c r="N35" s="58"/>
      <c r="O35" s="15"/>
      <c r="P35" s="58"/>
      <c r="Q35" s="58"/>
      <c r="R35" s="15"/>
      <c r="S35" s="58"/>
      <c r="T35" s="58"/>
      <c r="U35" s="15"/>
      <c r="V35" s="58"/>
      <c r="W35" s="58"/>
      <c r="X35" s="15"/>
      <c r="Y35" s="58"/>
      <c r="Z35" s="58"/>
      <c r="AA35" s="58"/>
      <c r="AB35" s="15"/>
      <c r="AC35" s="58"/>
      <c r="AD35" s="58"/>
      <c r="AE35" s="15"/>
      <c r="AF35" s="58"/>
      <c r="AG35" s="58"/>
      <c r="AH35" s="15"/>
      <c r="AI35" s="58"/>
      <c r="AJ35" s="58"/>
      <c r="AK35" s="15"/>
      <c r="AL35" s="58"/>
      <c r="AM35" s="58"/>
      <c r="AN35" s="15"/>
      <c r="AO35" s="58"/>
      <c r="AP35" s="58"/>
      <c r="AQ35" s="15"/>
      <c r="AR35" s="58"/>
      <c r="AS35" s="58"/>
      <c r="AT35" s="58"/>
      <c r="AU35" s="15"/>
      <c r="AV35" s="58"/>
      <c r="AW35" s="58"/>
      <c r="AX35" s="15"/>
      <c r="AY35" s="58"/>
      <c r="AZ35" s="58"/>
      <c r="BA35" s="15"/>
      <c r="BB35" s="58"/>
      <c r="BC35" s="58"/>
      <c r="BD35" s="15"/>
      <c r="BE35" s="58"/>
      <c r="BF35" s="58"/>
      <c r="BG35" s="15"/>
      <c r="BH35" s="58"/>
      <c r="BI35" s="58"/>
      <c r="BJ35" s="15"/>
      <c r="BK35" s="58"/>
      <c r="BL35" s="58"/>
      <c r="BM35" s="58"/>
      <c r="BN35" s="15"/>
      <c r="BO35" s="58"/>
      <c r="BP35" s="58"/>
      <c r="BQ35" s="15"/>
      <c r="BR35" s="58"/>
      <c r="BS35" s="58"/>
      <c r="BT35" s="15"/>
      <c r="BU35" s="58"/>
      <c r="BV35" s="58"/>
      <c r="BW35" s="15"/>
      <c r="BX35" s="58"/>
      <c r="BY35" s="58"/>
      <c r="BZ35" s="15"/>
      <c r="CA35" s="58"/>
      <c r="CB35" s="58"/>
      <c r="CC35" s="15"/>
      <c r="CD35" s="58"/>
      <c r="CE35" s="58"/>
      <c r="CF35" s="58"/>
      <c r="CG35" s="15"/>
      <c r="CH35" s="58"/>
      <c r="CI35" s="58"/>
      <c r="CJ35" s="15"/>
      <c r="CK35" s="58"/>
      <c r="CL35" s="58"/>
      <c r="CM35" s="15"/>
      <c r="CN35" s="58"/>
      <c r="CO35" s="58"/>
      <c r="CP35" s="15"/>
      <c r="CQ35" s="58"/>
      <c r="CR35" s="58"/>
      <c r="CS35" s="15"/>
      <c r="CT35" s="58"/>
      <c r="CU35" s="58"/>
      <c r="CV35" s="15"/>
      <c r="CW35" s="58"/>
      <c r="CX35" s="58"/>
      <c r="CY35" s="58"/>
      <c r="CZ35" s="15"/>
      <c r="DA35" s="58"/>
      <c r="DB35" s="58"/>
      <c r="DC35" s="15"/>
      <c r="DD35" s="58"/>
      <c r="DE35" s="58"/>
      <c r="DF35" s="15"/>
      <c r="DG35" s="58"/>
      <c r="DH35" s="58"/>
      <c r="DI35" s="15"/>
      <c r="DJ35" s="58"/>
      <c r="DK35" s="58"/>
      <c r="DL35" s="15"/>
      <c r="DM35" s="58"/>
      <c r="DN35" s="58"/>
      <c r="DO35" s="15"/>
      <c r="DP35" s="58"/>
      <c r="DQ35" s="58"/>
      <c r="DR35" s="58"/>
      <c r="DS35" s="15"/>
      <c r="DT35" s="58"/>
      <c r="DU35" s="58"/>
      <c r="DV35" s="15"/>
      <c r="DW35" s="58"/>
      <c r="DX35" s="58"/>
      <c r="DY35" s="15"/>
      <c r="DZ35" s="58"/>
      <c r="EA35" s="58"/>
      <c r="EB35" s="15"/>
      <c r="EC35" s="58"/>
      <c r="ED35" s="58"/>
      <c r="EE35" s="15"/>
      <c r="EF35" s="58"/>
      <c r="EG35" s="58"/>
      <c r="EH35" s="15"/>
      <c r="EI35" s="58"/>
      <c r="EJ35" s="58"/>
    </row>
    <row r="36" spans="1:140" x14ac:dyDescent="0.2">
      <c r="A36" t="s">
        <v>55</v>
      </c>
      <c r="B36" s="15" t="s">
        <v>56</v>
      </c>
      <c r="C36" s="75">
        <f t="shared" ref="C36:AH36" si="30">C37*C26*C10*100/(C27*C41+C28*C44)</f>
        <v>83.779923658333118</v>
      </c>
      <c r="D36" s="55">
        <f t="shared" si="30"/>
        <v>85.589187131163158</v>
      </c>
      <c r="E36" s="13">
        <f t="shared" si="30"/>
        <v>89.678138891943263</v>
      </c>
      <c r="F36" s="12">
        <f t="shared" si="30"/>
        <v>89.926138695116947</v>
      </c>
      <c r="G36" s="55">
        <f t="shared" si="30"/>
        <v>81.748854387524787</v>
      </c>
      <c r="H36" s="55">
        <f t="shared" si="30"/>
        <v>99.616160947685401</v>
      </c>
      <c r="I36" s="12">
        <f t="shared" si="30"/>
        <v>86.980211219438686</v>
      </c>
      <c r="J36" s="55">
        <f t="shared" si="30"/>
        <v>93.184648062696851</v>
      </c>
      <c r="K36" s="55">
        <f t="shared" si="30"/>
        <v>99.226804123711332</v>
      </c>
      <c r="L36" s="12">
        <f t="shared" si="30"/>
        <v>105.90784044016506</v>
      </c>
      <c r="M36" s="55">
        <f t="shared" si="30"/>
        <v>163.54690180264231</v>
      </c>
      <c r="N36" s="55">
        <f t="shared" si="30"/>
        <v>174.50125782484054</v>
      </c>
      <c r="O36" s="12">
        <f t="shared" si="30"/>
        <v>155.95861540426623</v>
      </c>
      <c r="P36" s="55">
        <f t="shared" si="30"/>
        <v>242.30335435899579</v>
      </c>
      <c r="Q36" s="55">
        <f t="shared" si="30"/>
        <v>253.24760244115086</v>
      </c>
      <c r="R36" s="12">
        <f t="shared" si="30"/>
        <v>253.71860521823945</v>
      </c>
      <c r="S36" s="55">
        <f t="shared" si="30"/>
        <v>279.61499403947198</v>
      </c>
      <c r="T36" s="55">
        <f t="shared" si="30"/>
        <v>175.02969121140143</v>
      </c>
      <c r="U36" s="12">
        <f t="shared" si="30"/>
        <v>142.93130990415335</v>
      </c>
      <c r="V36" s="55">
        <f t="shared" si="30"/>
        <v>297.12265301146061</v>
      </c>
      <c r="W36" s="55">
        <f t="shared" si="30"/>
        <v>167.57054259403441</v>
      </c>
      <c r="X36" s="12">
        <f t="shared" si="30"/>
        <v>196.86387660446553</v>
      </c>
      <c r="Y36" s="55">
        <f t="shared" si="30"/>
        <v>278.20986026891637</v>
      </c>
      <c r="Z36" s="55">
        <f t="shared" si="30"/>
        <v>297.54937820043892</v>
      </c>
      <c r="AA36" s="55" t="e">
        <f t="shared" si="30"/>
        <v>#N/A</v>
      </c>
      <c r="AB36" s="12" t="e">
        <f t="shared" si="30"/>
        <v>#N/A</v>
      </c>
      <c r="AC36" s="55" t="e">
        <f t="shared" si="30"/>
        <v>#N/A</v>
      </c>
      <c r="AD36" s="55" t="e">
        <f t="shared" si="30"/>
        <v>#N/A</v>
      </c>
      <c r="AE36" s="12" t="e">
        <f t="shared" si="30"/>
        <v>#N/A</v>
      </c>
      <c r="AF36" s="55" t="e">
        <f t="shared" si="30"/>
        <v>#N/A</v>
      </c>
      <c r="AG36" s="55" t="e">
        <f t="shared" si="30"/>
        <v>#N/A</v>
      </c>
      <c r="AH36" s="12" t="e">
        <f t="shared" si="30"/>
        <v>#N/A</v>
      </c>
      <c r="AI36" s="55" t="e">
        <f t="shared" ref="AI36:BN36" si="31">AI37*AI26*AI10*100/(AI27*AI41+AI28*AI44)</f>
        <v>#N/A</v>
      </c>
      <c r="AJ36" s="55" t="e">
        <f t="shared" si="31"/>
        <v>#N/A</v>
      </c>
      <c r="AK36" s="12" t="e">
        <f t="shared" si="31"/>
        <v>#N/A</v>
      </c>
      <c r="AL36" s="55" t="e">
        <f t="shared" si="31"/>
        <v>#N/A</v>
      </c>
      <c r="AM36" s="55" t="e">
        <f t="shared" si="31"/>
        <v>#N/A</v>
      </c>
      <c r="AN36" s="12" t="e">
        <f t="shared" si="31"/>
        <v>#N/A</v>
      </c>
      <c r="AO36" s="55" t="e">
        <f t="shared" si="31"/>
        <v>#N/A</v>
      </c>
      <c r="AP36" s="55" t="e">
        <f t="shared" si="31"/>
        <v>#N/A</v>
      </c>
      <c r="AQ36" s="12" t="e">
        <f t="shared" si="31"/>
        <v>#N/A</v>
      </c>
      <c r="AR36" s="55" t="e">
        <f t="shared" si="31"/>
        <v>#N/A</v>
      </c>
      <c r="AS36" s="55" t="e">
        <f t="shared" si="31"/>
        <v>#N/A</v>
      </c>
      <c r="AT36" s="55" t="e">
        <f t="shared" si="31"/>
        <v>#N/A</v>
      </c>
      <c r="AU36" s="12" t="e">
        <f t="shared" si="31"/>
        <v>#N/A</v>
      </c>
      <c r="AV36" s="55" t="e">
        <f t="shared" si="31"/>
        <v>#N/A</v>
      </c>
      <c r="AW36" s="55" t="e">
        <f t="shared" si="31"/>
        <v>#N/A</v>
      </c>
      <c r="AX36" s="12" t="e">
        <f t="shared" si="31"/>
        <v>#N/A</v>
      </c>
      <c r="AY36" s="55" t="e">
        <f t="shared" si="31"/>
        <v>#N/A</v>
      </c>
      <c r="AZ36" s="55" t="e">
        <f t="shared" si="31"/>
        <v>#N/A</v>
      </c>
      <c r="BA36" s="12" t="e">
        <f t="shared" si="31"/>
        <v>#N/A</v>
      </c>
      <c r="BB36" s="55" t="e">
        <f t="shared" si="31"/>
        <v>#N/A</v>
      </c>
      <c r="BC36" s="55" t="e">
        <f t="shared" si="31"/>
        <v>#N/A</v>
      </c>
      <c r="BD36" s="12" t="e">
        <f t="shared" si="31"/>
        <v>#N/A</v>
      </c>
      <c r="BE36" s="55" t="e">
        <f t="shared" si="31"/>
        <v>#N/A</v>
      </c>
      <c r="BF36" s="55" t="e">
        <f t="shared" si="31"/>
        <v>#N/A</v>
      </c>
      <c r="BG36" s="12" t="e">
        <f t="shared" si="31"/>
        <v>#N/A</v>
      </c>
      <c r="BH36" s="55" t="e">
        <f t="shared" si="31"/>
        <v>#N/A</v>
      </c>
      <c r="BI36" s="55" t="e">
        <f t="shared" si="31"/>
        <v>#N/A</v>
      </c>
      <c r="BJ36" s="12" t="e">
        <f t="shared" si="31"/>
        <v>#N/A</v>
      </c>
      <c r="BK36" s="55" t="e">
        <f t="shared" si="31"/>
        <v>#N/A</v>
      </c>
      <c r="BL36" s="55" t="e">
        <f t="shared" si="31"/>
        <v>#N/A</v>
      </c>
      <c r="BM36" s="55" t="e">
        <f t="shared" si="31"/>
        <v>#N/A</v>
      </c>
      <c r="BN36" s="12" t="e">
        <f t="shared" si="31"/>
        <v>#N/A</v>
      </c>
      <c r="BO36" s="55" t="e">
        <f t="shared" ref="BO36:CT36" si="32">BO37*BO26*BO10*100/(BO27*BO41+BO28*BO44)</f>
        <v>#N/A</v>
      </c>
      <c r="BP36" s="55" t="e">
        <f t="shared" si="32"/>
        <v>#N/A</v>
      </c>
      <c r="BQ36" s="12" t="e">
        <f t="shared" si="32"/>
        <v>#N/A</v>
      </c>
      <c r="BR36" s="55" t="e">
        <f t="shared" si="32"/>
        <v>#N/A</v>
      </c>
      <c r="BS36" s="55" t="e">
        <f t="shared" si="32"/>
        <v>#N/A</v>
      </c>
      <c r="BT36" s="12" t="e">
        <f t="shared" si="32"/>
        <v>#N/A</v>
      </c>
      <c r="BU36" s="55" t="e">
        <f t="shared" si="32"/>
        <v>#N/A</v>
      </c>
      <c r="BV36" s="55" t="e">
        <f t="shared" si="32"/>
        <v>#N/A</v>
      </c>
      <c r="BW36" s="12" t="e">
        <f t="shared" si="32"/>
        <v>#N/A</v>
      </c>
      <c r="BX36" s="55" t="e">
        <f t="shared" si="32"/>
        <v>#N/A</v>
      </c>
      <c r="BY36" s="55" t="e">
        <f t="shared" si="32"/>
        <v>#N/A</v>
      </c>
      <c r="BZ36" s="12" t="e">
        <f t="shared" si="32"/>
        <v>#N/A</v>
      </c>
      <c r="CA36" s="55" t="e">
        <f t="shared" si="32"/>
        <v>#N/A</v>
      </c>
      <c r="CB36" s="55" t="e">
        <f t="shared" si="32"/>
        <v>#N/A</v>
      </c>
      <c r="CC36" s="12" t="e">
        <f t="shared" si="32"/>
        <v>#N/A</v>
      </c>
      <c r="CD36" s="55" t="e">
        <f t="shared" si="32"/>
        <v>#N/A</v>
      </c>
      <c r="CE36" s="55" t="e">
        <f t="shared" si="32"/>
        <v>#N/A</v>
      </c>
      <c r="CF36" s="55" t="e">
        <f t="shared" si="32"/>
        <v>#N/A</v>
      </c>
      <c r="CG36" s="12" t="e">
        <f t="shared" si="32"/>
        <v>#N/A</v>
      </c>
      <c r="CH36" s="55" t="e">
        <f t="shared" si="32"/>
        <v>#N/A</v>
      </c>
      <c r="CI36" s="55" t="e">
        <f t="shared" si="32"/>
        <v>#N/A</v>
      </c>
      <c r="CJ36" s="12" t="e">
        <f t="shared" si="32"/>
        <v>#N/A</v>
      </c>
      <c r="CK36" s="55" t="e">
        <f t="shared" si="32"/>
        <v>#N/A</v>
      </c>
      <c r="CL36" s="55" t="e">
        <f t="shared" si="32"/>
        <v>#N/A</v>
      </c>
      <c r="CM36" s="12" t="e">
        <f t="shared" si="32"/>
        <v>#N/A</v>
      </c>
      <c r="CN36" s="55" t="e">
        <f t="shared" si="32"/>
        <v>#N/A</v>
      </c>
      <c r="CO36" s="55" t="e">
        <f t="shared" si="32"/>
        <v>#N/A</v>
      </c>
      <c r="CP36" s="12" t="e">
        <f t="shared" si="32"/>
        <v>#N/A</v>
      </c>
      <c r="CQ36" s="55" t="e">
        <f t="shared" si="32"/>
        <v>#N/A</v>
      </c>
      <c r="CR36" s="55" t="e">
        <f t="shared" si="32"/>
        <v>#N/A</v>
      </c>
      <c r="CS36" s="12" t="e">
        <f t="shared" si="32"/>
        <v>#N/A</v>
      </c>
      <c r="CT36" s="55" t="e">
        <f t="shared" si="32"/>
        <v>#N/A</v>
      </c>
      <c r="CU36" s="55" t="e">
        <f t="shared" ref="CU36:DZ36" si="33">CU37*CU26*CU10*100/(CU27*CU41+CU28*CU44)</f>
        <v>#N/A</v>
      </c>
      <c r="CV36" s="12" t="e">
        <f t="shared" si="33"/>
        <v>#N/A</v>
      </c>
      <c r="CW36" s="55" t="e">
        <f t="shared" si="33"/>
        <v>#N/A</v>
      </c>
      <c r="CX36" s="55" t="e">
        <f t="shared" si="33"/>
        <v>#N/A</v>
      </c>
      <c r="CY36" s="55" t="e">
        <f t="shared" si="33"/>
        <v>#N/A</v>
      </c>
      <c r="CZ36" s="12" t="e">
        <f t="shared" si="33"/>
        <v>#N/A</v>
      </c>
      <c r="DA36" s="55" t="e">
        <f t="shared" si="33"/>
        <v>#N/A</v>
      </c>
      <c r="DB36" s="55" t="e">
        <f t="shared" si="33"/>
        <v>#N/A</v>
      </c>
      <c r="DC36" s="12" t="e">
        <f t="shared" si="33"/>
        <v>#N/A</v>
      </c>
      <c r="DD36" s="55" t="e">
        <f t="shared" si="33"/>
        <v>#N/A</v>
      </c>
      <c r="DE36" s="55" t="e">
        <f t="shared" si="33"/>
        <v>#N/A</v>
      </c>
      <c r="DF36" s="12" t="e">
        <f t="shared" si="33"/>
        <v>#N/A</v>
      </c>
      <c r="DG36" s="55" t="e">
        <f t="shared" si="33"/>
        <v>#N/A</v>
      </c>
      <c r="DH36" s="55" t="e">
        <f t="shared" si="33"/>
        <v>#N/A</v>
      </c>
      <c r="DI36" s="12" t="e">
        <f t="shared" si="33"/>
        <v>#N/A</v>
      </c>
      <c r="DJ36" s="55" t="e">
        <f t="shared" si="33"/>
        <v>#N/A</v>
      </c>
      <c r="DK36" s="55" t="e">
        <f t="shared" si="33"/>
        <v>#N/A</v>
      </c>
      <c r="DL36" s="12" t="e">
        <f t="shared" si="33"/>
        <v>#N/A</v>
      </c>
      <c r="DM36" s="55" t="e">
        <f t="shared" si="33"/>
        <v>#N/A</v>
      </c>
      <c r="DN36" s="55" t="e">
        <f t="shared" si="33"/>
        <v>#N/A</v>
      </c>
      <c r="DO36" s="12" t="e">
        <f t="shared" si="33"/>
        <v>#N/A</v>
      </c>
      <c r="DP36" s="55" t="e">
        <f t="shared" si="33"/>
        <v>#N/A</v>
      </c>
      <c r="DQ36" s="55" t="e">
        <f t="shared" si="33"/>
        <v>#N/A</v>
      </c>
      <c r="DR36" s="55" t="e">
        <f t="shared" si="33"/>
        <v>#N/A</v>
      </c>
      <c r="DS36" s="12" t="e">
        <f t="shared" si="33"/>
        <v>#N/A</v>
      </c>
      <c r="DT36" s="55" t="e">
        <f t="shared" si="33"/>
        <v>#N/A</v>
      </c>
      <c r="DU36" s="55" t="e">
        <f t="shared" si="33"/>
        <v>#N/A</v>
      </c>
      <c r="DV36" s="12" t="e">
        <f t="shared" si="33"/>
        <v>#N/A</v>
      </c>
      <c r="DW36" s="55" t="e">
        <f t="shared" si="33"/>
        <v>#N/A</v>
      </c>
      <c r="DX36" s="55" t="e">
        <f t="shared" si="33"/>
        <v>#N/A</v>
      </c>
      <c r="DY36" s="12" t="e">
        <f t="shared" si="33"/>
        <v>#N/A</v>
      </c>
      <c r="DZ36" s="55" t="e">
        <f t="shared" si="33"/>
        <v>#N/A</v>
      </c>
      <c r="EA36" s="55" t="e">
        <f t="shared" ref="EA36:FF36" si="34">EA37*EA26*EA10*100/(EA27*EA41+EA28*EA44)</f>
        <v>#N/A</v>
      </c>
      <c r="EB36" s="12" t="e">
        <f t="shared" si="34"/>
        <v>#N/A</v>
      </c>
      <c r="EC36" s="55" t="e">
        <f t="shared" si="34"/>
        <v>#N/A</v>
      </c>
      <c r="ED36" s="55" t="e">
        <f t="shared" si="34"/>
        <v>#N/A</v>
      </c>
      <c r="EE36" s="12" t="e">
        <f t="shared" si="34"/>
        <v>#N/A</v>
      </c>
      <c r="EF36" s="55" t="e">
        <f t="shared" si="34"/>
        <v>#N/A</v>
      </c>
      <c r="EG36" s="55" t="e">
        <f t="shared" si="34"/>
        <v>#N/A</v>
      </c>
      <c r="EH36" s="12" t="e">
        <f t="shared" si="34"/>
        <v>#N/A</v>
      </c>
      <c r="EI36" s="55" t="e">
        <f t="shared" si="34"/>
        <v>#N/A</v>
      </c>
      <c r="EJ36" s="55" t="e">
        <f t="shared" si="34"/>
        <v>#N/A</v>
      </c>
    </row>
    <row r="37" spans="1:140" x14ac:dyDescent="0.2">
      <c r="A37" t="s">
        <v>57</v>
      </c>
      <c r="B37" s="15" t="s">
        <v>58</v>
      </c>
      <c r="C37" s="78">
        <f t="shared" ref="C37:AH37" si="35">C14*C15/1000</f>
        <v>5</v>
      </c>
      <c r="D37" s="58">
        <f t="shared" si="35"/>
        <v>5</v>
      </c>
      <c r="E37" s="1">
        <f t="shared" si="35"/>
        <v>5</v>
      </c>
      <c r="F37" s="15">
        <f t="shared" si="35"/>
        <v>5</v>
      </c>
      <c r="G37" s="58">
        <f t="shared" si="35"/>
        <v>5</v>
      </c>
      <c r="H37" s="58">
        <f t="shared" si="35"/>
        <v>5</v>
      </c>
      <c r="I37" s="15">
        <f t="shared" si="35"/>
        <v>5</v>
      </c>
      <c r="J37" s="58">
        <f t="shared" si="35"/>
        <v>5</v>
      </c>
      <c r="K37" s="58">
        <f t="shared" si="35"/>
        <v>5</v>
      </c>
      <c r="L37" s="15">
        <f t="shared" si="35"/>
        <v>5</v>
      </c>
      <c r="M37" s="58">
        <f t="shared" si="35"/>
        <v>5</v>
      </c>
      <c r="N37" s="58">
        <f t="shared" si="35"/>
        <v>5</v>
      </c>
      <c r="O37" s="15">
        <f t="shared" si="35"/>
        <v>5</v>
      </c>
      <c r="P37" s="58">
        <f t="shared" si="35"/>
        <v>5</v>
      </c>
      <c r="Q37" s="58">
        <f t="shared" si="35"/>
        <v>5</v>
      </c>
      <c r="R37" s="15">
        <f t="shared" si="35"/>
        <v>5</v>
      </c>
      <c r="S37" s="58">
        <f t="shared" si="35"/>
        <v>5</v>
      </c>
      <c r="T37" s="58">
        <f t="shared" si="35"/>
        <v>5</v>
      </c>
      <c r="U37" s="15">
        <f t="shared" si="35"/>
        <v>5</v>
      </c>
      <c r="V37" s="58">
        <f t="shared" si="35"/>
        <v>5</v>
      </c>
      <c r="W37" s="58">
        <f t="shared" si="35"/>
        <v>5</v>
      </c>
      <c r="X37" s="15">
        <f t="shared" si="35"/>
        <v>5</v>
      </c>
      <c r="Y37" s="58">
        <f t="shared" si="35"/>
        <v>5</v>
      </c>
      <c r="Z37" s="58">
        <f t="shared" si="35"/>
        <v>5</v>
      </c>
      <c r="AA37" s="58">
        <f t="shared" si="35"/>
        <v>5</v>
      </c>
      <c r="AB37" s="15">
        <f t="shared" si="35"/>
        <v>5</v>
      </c>
      <c r="AC37" s="58">
        <f t="shared" si="35"/>
        <v>5</v>
      </c>
      <c r="AD37" s="58">
        <f t="shared" si="35"/>
        <v>5</v>
      </c>
      <c r="AE37" s="15">
        <f t="shared" si="35"/>
        <v>5</v>
      </c>
      <c r="AF37" s="58">
        <f t="shared" si="35"/>
        <v>5</v>
      </c>
      <c r="AG37" s="58">
        <f t="shared" si="35"/>
        <v>5</v>
      </c>
      <c r="AH37" s="15">
        <f t="shared" si="35"/>
        <v>5</v>
      </c>
      <c r="AI37" s="58">
        <f t="shared" ref="AI37:BN37" si="36">AI14*AI15/1000</f>
        <v>5</v>
      </c>
      <c r="AJ37" s="58">
        <f t="shared" si="36"/>
        <v>5</v>
      </c>
      <c r="AK37" s="15">
        <f t="shared" si="36"/>
        <v>5</v>
      </c>
      <c r="AL37" s="58">
        <f t="shared" si="36"/>
        <v>5</v>
      </c>
      <c r="AM37" s="58">
        <f t="shared" si="36"/>
        <v>5</v>
      </c>
      <c r="AN37" s="15">
        <f t="shared" si="36"/>
        <v>5</v>
      </c>
      <c r="AO37" s="58">
        <f t="shared" si="36"/>
        <v>5</v>
      </c>
      <c r="AP37" s="58">
        <f t="shared" si="36"/>
        <v>5</v>
      </c>
      <c r="AQ37" s="15">
        <f t="shared" si="36"/>
        <v>5</v>
      </c>
      <c r="AR37" s="58">
        <f t="shared" si="36"/>
        <v>5</v>
      </c>
      <c r="AS37" s="58">
        <f t="shared" si="36"/>
        <v>5</v>
      </c>
      <c r="AT37" s="58">
        <f t="shared" si="36"/>
        <v>5</v>
      </c>
      <c r="AU37" s="15">
        <f t="shared" si="36"/>
        <v>5</v>
      </c>
      <c r="AV37" s="58">
        <f t="shared" si="36"/>
        <v>5</v>
      </c>
      <c r="AW37" s="58">
        <f t="shared" si="36"/>
        <v>5</v>
      </c>
      <c r="AX37" s="15">
        <f t="shared" si="36"/>
        <v>5</v>
      </c>
      <c r="AY37" s="58">
        <f t="shared" si="36"/>
        <v>5</v>
      </c>
      <c r="AZ37" s="58">
        <f t="shared" si="36"/>
        <v>5</v>
      </c>
      <c r="BA37" s="15">
        <f t="shared" si="36"/>
        <v>5</v>
      </c>
      <c r="BB37" s="58">
        <f t="shared" si="36"/>
        <v>5</v>
      </c>
      <c r="BC37" s="58">
        <f t="shared" si="36"/>
        <v>5</v>
      </c>
      <c r="BD37" s="15">
        <f t="shared" si="36"/>
        <v>5</v>
      </c>
      <c r="BE37" s="58">
        <f t="shared" si="36"/>
        <v>5</v>
      </c>
      <c r="BF37" s="58">
        <f t="shared" si="36"/>
        <v>5</v>
      </c>
      <c r="BG37" s="15">
        <f t="shared" si="36"/>
        <v>5</v>
      </c>
      <c r="BH37" s="58">
        <f t="shared" si="36"/>
        <v>5</v>
      </c>
      <c r="BI37" s="58">
        <f t="shared" si="36"/>
        <v>5</v>
      </c>
      <c r="BJ37" s="15">
        <f t="shared" si="36"/>
        <v>5</v>
      </c>
      <c r="BK37" s="58">
        <f t="shared" si="36"/>
        <v>5</v>
      </c>
      <c r="BL37" s="58">
        <f t="shared" si="36"/>
        <v>5</v>
      </c>
      <c r="BM37" s="58">
        <f t="shared" si="36"/>
        <v>5</v>
      </c>
      <c r="BN37" s="15">
        <f t="shared" si="36"/>
        <v>5</v>
      </c>
      <c r="BO37" s="58">
        <f t="shared" ref="BO37:CT37" si="37">BO14*BO15/1000</f>
        <v>5</v>
      </c>
      <c r="BP37" s="58">
        <f t="shared" si="37"/>
        <v>5</v>
      </c>
      <c r="BQ37" s="15">
        <f t="shared" si="37"/>
        <v>5</v>
      </c>
      <c r="BR37" s="58">
        <f t="shared" si="37"/>
        <v>5</v>
      </c>
      <c r="BS37" s="58">
        <f t="shared" si="37"/>
        <v>5</v>
      </c>
      <c r="BT37" s="15">
        <f t="shared" si="37"/>
        <v>5</v>
      </c>
      <c r="BU37" s="58">
        <f t="shared" si="37"/>
        <v>5</v>
      </c>
      <c r="BV37" s="58">
        <f t="shared" si="37"/>
        <v>5</v>
      </c>
      <c r="BW37" s="15">
        <f t="shared" si="37"/>
        <v>5</v>
      </c>
      <c r="BX37" s="58">
        <f t="shared" si="37"/>
        <v>5</v>
      </c>
      <c r="BY37" s="58">
        <f t="shared" si="37"/>
        <v>5</v>
      </c>
      <c r="BZ37" s="15">
        <f t="shared" si="37"/>
        <v>5</v>
      </c>
      <c r="CA37" s="58">
        <f t="shared" si="37"/>
        <v>5</v>
      </c>
      <c r="CB37" s="58">
        <f t="shared" si="37"/>
        <v>5</v>
      </c>
      <c r="CC37" s="15">
        <f t="shared" si="37"/>
        <v>5</v>
      </c>
      <c r="CD37" s="58">
        <f t="shared" si="37"/>
        <v>5</v>
      </c>
      <c r="CE37" s="58">
        <f t="shared" si="37"/>
        <v>5</v>
      </c>
      <c r="CF37" s="58">
        <f t="shared" si="37"/>
        <v>5</v>
      </c>
      <c r="CG37" s="15">
        <f t="shared" si="37"/>
        <v>5</v>
      </c>
      <c r="CH37" s="58">
        <f t="shared" si="37"/>
        <v>5</v>
      </c>
      <c r="CI37" s="58">
        <f t="shared" si="37"/>
        <v>5</v>
      </c>
      <c r="CJ37" s="15">
        <f t="shared" si="37"/>
        <v>5</v>
      </c>
      <c r="CK37" s="58">
        <f t="shared" si="37"/>
        <v>5</v>
      </c>
      <c r="CL37" s="58">
        <f t="shared" si="37"/>
        <v>5</v>
      </c>
      <c r="CM37" s="15">
        <f t="shared" si="37"/>
        <v>5</v>
      </c>
      <c r="CN37" s="58">
        <f t="shared" si="37"/>
        <v>5</v>
      </c>
      <c r="CO37" s="58">
        <f t="shared" si="37"/>
        <v>5</v>
      </c>
      <c r="CP37" s="15">
        <f t="shared" si="37"/>
        <v>5</v>
      </c>
      <c r="CQ37" s="58">
        <f t="shared" si="37"/>
        <v>5</v>
      </c>
      <c r="CR37" s="58">
        <f t="shared" si="37"/>
        <v>5</v>
      </c>
      <c r="CS37" s="15">
        <f t="shared" si="37"/>
        <v>5</v>
      </c>
      <c r="CT37" s="58">
        <f t="shared" si="37"/>
        <v>5</v>
      </c>
      <c r="CU37" s="58">
        <f t="shared" ref="CU37:DZ37" si="38">CU14*CU15/1000</f>
        <v>5</v>
      </c>
      <c r="CV37" s="15">
        <f t="shared" si="38"/>
        <v>5</v>
      </c>
      <c r="CW37" s="58">
        <f t="shared" si="38"/>
        <v>5</v>
      </c>
      <c r="CX37" s="58">
        <f t="shared" si="38"/>
        <v>5</v>
      </c>
      <c r="CY37" s="58">
        <f t="shared" si="38"/>
        <v>5</v>
      </c>
      <c r="CZ37" s="15">
        <f t="shared" si="38"/>
        <v>5</v>
      </c>
      <c r="DA37" s="58">
        <f t="shared" si="38"/>
        <v>5</v>
      </c>
      <c r="DB37" s="58">
        <f t="shared" si="38"/>
        <v>5</v>
      </c>
      <c r="DC37" s="15">
        <f t="shared" si="38"/>
        <v>5</v>
      </c>
      <c r="DD37" s="58">
        <f t="shared" si="38"/>
        <v>5</v>
      </c>
      <c r="DE37" s="58">
        <f t="shared" si="38"/>
        <v>5</v>
      </c>
      <c r="DF37" s="15">
        <f t="shared" si="38"/>
        <v>5</v>
      </c>
      <c r="DG37" s="58">
        <f t="shared" si="38"/>
        <v>5</v>
      </c>
      <c r="DH37" s="58">
        <f t="shared" si="38"/>
        <v>5</v>
      </c>
      <c r="DI37" s="15">
        <f t="shared" si="38"/>
        <v>5</v>
      </c>
      <c r="DJ37" s="58">
        <f t="shared" si="38"/>
        <v>5</v>
      </c>
      <c r="DK37" s="58">
        <f t="shared" si="38"/>
        <v>5</v>
      </c>
      <c r="DL37" s="15">
        <f t="shared" si="38"/>
        <v>5</v>
      </c>
      <c r="DM37" s="58">
        <f t="shared" si="38"/>
        <v>5</v>
      </c>
      <c r="DN37" s="58">
        <f t="shared" si="38"/>
        <v>5</v>
      </c>
      <c r="DO37" s="15">
        <f t="shared" si="38"/>
        <v>5</v>
      </c>
      <c r="DP37" s="58">
        <f t="shared" si="38"/>
        <v>5</v>
      </c>
      <c r="DQ37" s="58">
        <f t="shared" si="38"/>
        <v>5</v>
      </c>
      <c r="DR37" s="58">
        <f t="shared" si="38"/>
        <v>5</v>
      </c>
      <c r="DS37" s="15">
        <f t="shared" si="38"/>
        <v>5</v>
      </c>
      <c r="DT37" s="58">
        <f t="shared" si="38"/>
        <v>5</v>
      </c>
      <c r="DU37" s="58">
        <f t="shared" si="38"/>
        <v>5</v>
      </c>
      <c r="DV37" s="15">
        <f t="shared" si="38"/>
        <v>5</v>
      </c>
      <c r="DW37" s="58">
        <f t="shared" si="38"/>
        <v>5</v>
      </c>
      <c r="DX37" s="58">
        <f t="shared" si="38"/>
        <v>5</v>
      </c>
      <c r="DY37" s="15">
        <f t="shared" si="38"/>
        <v>5</v>
      </c>
      <c r="DZ37" s="58">
        <f t="shared" si="38"/>
        <v>5</v>
      </c>
      <c r="EA37" s="58">
        <f t="shared" ref="EA37:EJ37" si="39">EA14*EA15/1000</f>
        <v>5</v>
      </c>
      <c r="EB37" s="15">
        <f t="shared" si="39"/>
        <v>5</v>
      </c>
      <c r="EC37" s="58">
        <f t="shared" si="39"/>
        <v>5</v>
      </c>
      <c r="ED37" s="58">
        <f t="shared" si="39"/>
        <v>5</v>
      </c>
      <c r="EE37" s="15">
        <f t="shared" si="39"/>
        <v>5</v>
      </c>
      <c r="EF37" s="58">
        <f t="shared" si="39"/>
        <v>5</v>
      </c>
      <c r="EG37" s="58">
        <f t="shared" si="39"/>
        <v>5</v>
      </c>
      <c r="EH37" s="15">
        <f t="shared" si="39"/>
        <v>5</v>
      </c>
      <c r="EI37" s="58">
        <f t="shared" si="39"/>
        <v>5</v>
      </c>
      <c r="EJ37" s="58">
        <f t="shared" si="39"/>
        <v>5</v>
      </c>
    </row>
    <row r="38" spans="1:140" x14ac:dyDescent="0.2">
      <c r="A38" t="s">
        <v>59</v>
      </c>
      <c r="B38" s="15" t="s">
        <v>35</v>
      </c>
      <c r="C38" s="78">
        <f t="shared" ref="C38:AH38" si="40">C15/(C58+1)</f>
        <v>25</v>
      </c>
      <c r="D38" s="58">
        <f t="shared" si="40"/>
        <v>25</v>
      </c>
      <c r="E38" s="1">
        <f t="shared" si="40"/>
        <v>25</v>
      </c>
      <c r="F38" s="15">
        <f t="shared" si="40"/>
        <v>25</v>
      </c>
      <c r="G38" s="58">
        <f t="shared" si="40"/>
        <v>25</v>
      </c>
      <c r="H38" s="58">
        <f t="shared" si="40"/>
        <v>25</v>
      </c>
      <c r="I38" s="15">
        <f t="shared" si="40"/>
        <v>25</v>
      </c>
      <c r="J38" s="58">
        <f t="shared" si="40"/>
        <v>25</v>
      </c>
      <c r="K38" s="58">
        <f t="shared" si="40"/>
        <v>25</v>
      </c>
      <c r="L38" s="15">
        <f t="shared" si="40"/>
        <v>25</v>
      </c>
      <c r="M38" s="58">
        <f t="shared" si="40"/>
        <v>25</v>
      </c>
      <c r="N38" s="58">
        <f t="shared" si="40"/>
        <v>25</v>
      </c>
      <c r="O38" s="15">
        <f t="shared" si="40"/>
        <v>25</v>
      </c>
      <c r="P38" s="58">
        <f t="shared" si="40"/>
        <v>25</v>
      </c>
      <c r="Q38" s="58">
        <f t="shared" si="40"/>
        <v>25</v>
      </c>
      <c r="R38" s="15">
        <f t="shared" si="40"/>
        <v>25</v>
      </c>
      <c r="S38" s="58">
        <f t="shared" si="40"/>
        <v>25</v>
      </c>
      <c r="T38" s="58">
        <f t="shared" si="40"/>
        <v>25</v>
      </c>
      <c r="U38" s="15">
        <f t="shared" si="40"/>
        <v>25</v>
      </c>
      <c r="V38" s="58">
        <f t="shared" si="40"/>
        <v>25</v>
      </c>
      <c r="W38" s="58">
        <f t="shared" si="40"/>
        <v>25</v>
      </c>
      <c r="X38" s="15">
        <f t="shared" si="40"/>
        <v>25</v>
      </c>
      <c r="Y38" s="58">
        <f t="shared" si="40"/>
        <v>25</v>
      </c>
      <c r="Z38" s="58">
        <f t="shared" si="40"/>
        <v>25</v>
      </c>
      <c r="AA38" s="58">
        <f t="shared" si="40"/>
        <v>25</v>
      </c>
      <c r="AB38" s="15">
        <f t="shared" si="40"/>
        <v>25</v>
      </c>
      <c r="AC38" s="58">
        <f t="shared" si="40"/>
        <v>25</v>
      </c>
      <c r="AD38" s="58">
        <f t="shared" si="40"/>
        <v>25</v>
      </c>
      <c r="AE38" s="15">
        <f t="shared" si="40"/>
        <v>25</v>
      </c>
      <c r="AF38" s="58">
        <f t="shared" si="40"/>
        <v>25</v>
      </c>
      <c r="AG38" s="58">
        <f t="shared" si="40"/>
        <v>25</v>
      </c>
      <c r="AH38" s="15">
        <f t="shared" si="40"/>
        <v>25</v>
      </c>
      <c r="AI38" s="58">
        <f t="shared" ref="AI38:BN38" si="41">AI15/(AI58+1)</f>
        <v>25</v>
      </c>
      <c r="AJ38" s="58">
        <f t="shared" si="41"/>
        <v>25</v>
      </c>
      <c r="AK38" s="15">
        <f t="shared" si="41"/>
        <v>25</v>
      </c>
      <c r="AL38" s="58">
        <f t="shared" si="41"/>
        <v>25</v>
      </c>
      <c r="AM38" s="58">
        <f t="shared" si="41"/>
        <v>25</v>
      </c>
      <c r="AN38" s="15">
        <f t="shared" si="41"/>
        <v>25</v>
      </c>
      <c r="AO38" s="58">
        <f t="shared" si="41"/>
        <v>25</v>
      </c>
      <c r="AP38" s="58">
        <f t="shared" si="41"/>
        <v>25</v>
      </c>
      <c r="AQ38" s="15">
        <f t="shared" si="41"/>
        <v>25</v>
      </c>
      <c r="AR38" s="58">
        <f t="shared" si="41"/>
        <v>25</v>
      </c>
      <c r="AS38" s="58">
        <f t="shared" si="41"/>
        <v>25</v>
      </c>
      <c r="AT38" s="58">
        <f t="shared" si="41"/>
        <v>25</v>
      </c>
      <c r="AU38" s="15">
        <f t="shared" si="41"/>
        <v>25</v>
      </c>
      <c r="AV38" s="58">
        <f t="shared" si="41"/>
        <v>25</v>
      </c>
      <c r="AW38" s="58">
        <f t="shared" si="41"/>
        <v>25</v>
      </c>
      <c r="AX38" s="15">
        <f t="shared" si="41"/>
        <v>25</v>
      </c>
      <c r="AY38" s="58">
        <f t="shared" si="41"/>
        <v>25</v>
      </c>
      <c r="AZ38" s="58">
        <f t="shared" si="41"/>
        <v>25</v>
      </c>
      <c r="BA38" s="15">
        <f t="shared" si="41"/>
        <v>25</v>
      </c>
      <c r="BB38" s="58">
        <f t="shared" si="41"/>
        <v>25</v>
      </c>
      <c r="BC38" s="58">
        <f t="shared" si="41"/>
        <v>25</v>
      </c>
      <c r="BD38" s="15">
        <f t="shared" si="41"/>
        <v>25</v>
      </c>
      <c r="BE38" s="58">
        <f t="shared" si="41"/>
        <v>25</v>
      </c>
      <c r="BF38" s="58">
        <f t="shared" si="41"/>
        <v>25</v>
      </c>
      <c r="BG38" s="15">
        <f t="shared" si="41"/>
        <v>25</v>
      </c>
      <c r="BH38" s="58">
        <f t="shared" si="41"/>
        <v>25</v>
      </c>
      <c r="BI38" s="58">
        <f t="shared" si="41"/>
        <v>25</v>
      </c>
      <c r="BJ38" s="15">
        <f t="shared" si="41"/>
        <v>25</v>
      </c>
      <c r="BK38" s="58">
        <f t="shared" si="41"/>
        <v>25</v>
      </c>
      <c r="BL38" s="58">
        <f t="shared" si="41"/>
        <v>25</v>
      </c>
      <c r="BM38" s="58">
        <f t="shared" si="41"/>
        <v>25</v>
      </c>
      <c r="BN38" s="15">
        <f t="shared" si="41"/>
        <v>25</v>
      </c>
      <c r="BO38" s="58">
        <f t="shared" ref="BO38:CT38" si="42">BO15/(BO58+1)</f>
        <v>25</v>
      </c>
      <c r="BP38" s="58">
        <f t="shared" si="42"/>
        <v>25</v>
      </c>
      <c r="BQ38" s="15">
        <f t="shared" si="42"/>
        <v>25</v>
      </c>
      <c r="BR38" s="58">
        <f t="shared" si="42"/>
        <v>25</v>
      </c>
      <c r="BS38" s="58">
        <f t="shared" si="42"/>
        <v>25</v>
      </c>
      <c r="BT38" s="15">
        <f t="shared" si="42"/>
        <v>25</v>
      </c>
      <c r="BU38" s="58">
        <f t="shared" si="42"/>
        <v>25</v>
      </c>
      <c r="BV38" s="58">
        <f t="shared" si="42"/>
        <v>25</v>
      </c>
      <c r="BW38" s="15">
        <f t="shared" si="42"/>
        <v>25</v>
      </c>
      <c r="BX38" s="58">
        <f t="shared" si="42"/>
        <v>25</v>
      </c>
      <c r="BY38" s="58">
        <f t="shared" si="42"/>
        <v>25</v>
      </c>
      <c r="BZ38" s="15">
        <f t="shared" si="42"/>
        <v>25</v>
      </c>
      <c r="CA38" s="58">
        <f t="shared" si="42"/>
        <v>25</v>
      </c>
      <c r="CB38" s="58">
        <f t="shared" si="42"/>
        <v>25</v>
      </c>
      <c r="CC38" s="15">
        <f t="shared" si="42"/>
        <v>25</v>
      </c>
      <c r="CD38" s="58">
        <f t="shared" si="42"/>
        <v>25</v>
      </c>
      <c r="CE38" s="58">
        <f t="shared" si="42"/>
        <v>25</v>
      </c>
      <c r="CF38" s="58">
        <f t="shared" si="42"/>
        <v>25</v>
      </c>
      <c r="CG38" s="15">
        <f t="shared" si="42"/>
        <v>25</v>
      </c>
      <c r="CH38" s="58">
        <f t="shared" si="42"/>
        <v>25</v>
      </c>
      <c r="CI38" s="58">
        <f t="shared" si="42"/>
        <v>25</v>
      </c>
      <c r="CJ38" s="15">
        <f t="shared" si="42"/>
        <v>25</v>
      </c>
      <c r="CK38" s="58">
        <f t="shared" si="42"/>
        <v>25</v>
      </c>
      <c r="CL38" s="58">
        <f t="shared" si="42"/>
        <v>25</v>
      </c>
      <c r="CM38" s="15">
        <f t="shared" si="42"/>
        <v>25</v>
      </c>
      <c r="CN38" s="58">
        <f t="shared" si="42"/>
        <v>25</v>
      </c>
      <c r="CO38" s="58">
        <f t="shared" si="42"/>
        <v>25</v>
      </c>
      <c r="CP38" s="15">
        <f t="shared" si="42"/>
        <v>25</v>
      </c>
      <c r="CQ38" s="58">
        <f t="shared" si="42"/>
        <v>25</v>
      </c>
      <c r="CR38" s="58">
        <f t="shared" si="42"/>
        <v>25</v>
      </c>
      <c r="CS38" s="15">
        <f t="shared" si="42"/>
        <v>25</v>
      </c>
      <c r="CT38" s="58">
        <f t="shared" si="42"/>
        <v>25</v>
      </c>
      <c r="CU38" s="58">
        <f t="shared" ref="CU38:DZ38" si="43">CU15/(CU58+1)</f>
        <v>25</v>
      </c>
      <c r="CV38" s="15">
        <f t="shared" si="43"/>
        <v>25</v>
      </c>
      <c r="CW38" s="58">
        <f t="shared" si="43"/>
        <v>25</v>
      </c>
      <c r="CX38" s="58">
        <f t="shared" si="43"/>
        <v>25</v>
      </c>
      <c r="CY38" s="58">
        <f t="shared" si="43"/>
        <v>25</v>
      </c>
      <c r="CZ38" s="15">
        <f t="shared" si="43"/>
        <v>25</v>
      </c>
      <c r="DA38" s="58">
        <f t="shared" si="43"/>
        <v>25</v>
      </c>
      <c r="DB38" s="58">
        <f t="shared" si="43"/>
        <v>25</v>
      </c>
      <c r="DC38" s="15">
        <f t="shared" si="43"/>
        <v>25</v>
      </c>
      <c r="DD38" s="58">
        <f t="shared" si="43"/>
        <v>25</v>
      </c>
      <c r="DE38" s="58">
        <f t="shared" si="43"/>
        <v>25</v>
      </c>
      <c r="DF38" s="15">
        <f t="shared" si="43"/>
        <v>25</v>
      </c>
      <c r="DG38" s="58">
        <f t="shared" si="43"/>
        <v>25</v>
      </c>
      <c r="DH38" s="58">
        <f t="shared" si="43"/>
        <v>25</v>
      </c>
      <c r="DI38" s="15">
        <f t="shared" si="43"/>
        <v>25</v>
      </c>
      <c r="DJ38" s="58">
        <f t="shared" si="43"/>
        <v>25</v>
      </c>
      <c r="DK38" s="58">
        <f t="shared" si="43"/>
        <v>25</v>
      </c>
      <c r="DL38" s="15">
        <f t="shared" si="43"/>
        <v>25</v>
      </c>
      <c r="DM38" s="58">
        <f t="shared" si="43"/>
        <v>25</v>
      </c>
      <c r="DN38" s="58">
        <f t="shared" si="43"/>
        <v>25</v>
      </c>
      <c r="DO38" s="15">
        <f t="shared" si="43"/>
        <v>25</v>
      </c>
      <c r="DP38" s="58">
        <f t="shared" si="43"/>
        <v>25</v>
      </c>
      <c r="DQ38" s="58">
        <f t="shared" si="43"/>
        <v>25</v>
      </c>
      <c r="DR38" s="58">
        <f t="shared" si="43"/>
        <v>25</v>
      </c>
      <c r="DS38" s="15">
        <f t="shared" si="43"/>
        <v>25</v>
      </c>
      <c r="DT38" s="58">
        <f t="shared" si="43"/>
        <v>25</v>
      </c>
      <c r="DU38" s="58">
        <f t="shared" si="43"/>
        <v>25</v>
      </c>
      <c r="DV38" s="15">
        <f t="shared" si="43"/>
        <v>25</v>
      </c>
      <c r="DW38" s="58">
        <f t="shared" si="43"/>
        <v>25</v>
      </c>
      <c r="DX38" s="58">
        <f t="shared" si="43"/>
        <v>25</v>
      </c>
      <c r="DY38" s="15">
        <f t="shared" si="43"/>
        <v>25</v>
      </c>
      <c r="DZ38" s="58">
        <f t="shared" si="43"/>
        <v>25</v>
      </c>
      <c r="EA38" s="58">
        <f t="shared" ref="EA38:EJ38" si="44">EA15/(EA58+1)</f>
        <v>25</v>
      </c>
      <c r="EB38" s="15">
        <f t="shared" si="44"/>
        <v>25</v>
      </c>
      <c r="EC38" s="58">
        <f t="shared" si="44"/>
        <v>25</v>
      </c>
      <c r="ED38" s="58">
        <f t="shared" si="44"/>
        <v>25</v>
      </c>
      <c r="EE38" s="15">
        <f t="shared" si="44"/>
        <v>25</v>
      </c>
      <c r="EF38" s="58">
        <f t="shared" si="44"/>
        <v>25</v>
      </c>
      <c r="EG38" s="58">
        <f t="shared" si="44"/>
        <v>25</v>
      </c>
      <c r="EH38" s="15">
        <f t="shared" si="44"/>
        <v>25</v>
      </c>
      <c r="EI38" s="58">
        <f t="shared" si="44"/>
        <v>25</v>
      </c>
      <c r="EJ38" s="58">
        <f t="shared" si="44"/>
        <v>25</v>
      </c>
    </row>
    <row r="39" spans="1:140" x14ac:dyDescent="0.2">
      <c r="A39" t="s">
        <v>60</v>
      </c>
      <c r="B39" s="15" t="s">
        <v>35</v>
      </c>
      <c r="C39" s="78">
        <f t="shared" ref="C39:AH39" si="45">C15*C58/(C58+1)</f>
        <v>75</v>
      </c>
      <c r="D39" s="58">
        <f t="shared" si="45"/>
        <v>75</v>
      </c>
      <c r="E39" s="1">
        <f t="shared" si="45"/>
        <v>75</v>
      </c>
      <c r="F39" s="15">
        <f t="shared" si="45"/>
        <v>75</v>
      </c>
      <c r="G39" s="58">
        <f t="shared" si="45"/>
        <v>75</v>
      </c>
      <c r="H39" s="58">
        <f t="shared" si="45"/>
        <v>75</v>
      </c>
      <c r="I39" s="15">
        <f t="shared" si="45"/>
        <v>75</v>
      </c>
      <c r="J39" s="58">
        <f t="shared" si="45"/>
        <v>75</v>
      </c>
      <c r="K39" s="58">
        <f t="shared" si="45"/>
        <v>75</v>
      </c>
      <c r="L39" s="15">
        <f t="shared" si="45"/>
        <v>75</v>
      </c>
      <c r="M39" s="58">
        <f t="shared" si="45"/>
        <v>75</v>
      </c>
      <c r="N39" s="58">
        <f t="shared" si="45"/>
        <v>75</v>
      </c>
      <c r="O39" s="15">
        <f t="shared" si="45"/>
        <v>75</v>
      </c>
      <c r="P39" s="58">
        <f t="shared" si="45"/>
        <v>75</v>
      </c>
      <c r="Q39" s="58">
        <f t="shared" si="45"/>
        <v>75</v>
      </c>
      <c r="R39" s="15">
        <f t="shared" si="45"/>
        <v>75</v>
      </c>
      <c r="S39" s="58">
        <f t="shared" si="45"/>
        <v>75</v>
      </c>
      <c r="T39" s="58">
        <f t="shared" si="45"/>
        <v>75</v>
      </c>
      <c r="U39" s="15">
        <f t="shared" si="45"/>
        <v>75</v>
      </c>
      <c r="V39" s="58">
        <f t="shared" si="45"/>
        <v>75</v>
      </c>
      <c r="W39" s="58">
        <f t="shared" si="45"/>
        <v>75</v>
      </c>
      <c r="X39" s="15">
        <f t="shared" si="45"/>
        <v>75</v>
      </c>
      <c r="Y39" s="58">
        <f t="shared" si="45"/>
        <v>75</v>
      </c>
      <c r="Z39" s="58">
        <f t="shared" si="45"/>
        <v>75</v>
      </c>
      <c r="AA39" s="58">
        <f t="shared" si="45"/>
        <v>75</v>
      </c>
      <c r="AB39" s="15">
        <f t="shared" si="45"/>
        <v>75</v>
      </c>
      <c r="AC39" s="58">
        <f t="shared" si="45"/>
        <v>75</v>
      </c>
      <c r="AD39" s="58">
        <f t="shared" si="45"/>
        <v>75</v>
      </c>
      <c r="AE39" s="15">
        <f t="shared" si="45"/>
        <v>75</v>
      </c>
      <c r="AF39" s="58">
        <f t="shared" si="45"/>
        <v>75</v>
      </c>
      <c r="AG39" s="58">
        <f t="shared" si="45"/>
        <v>75</v>
      </c>
      <c r="AH39" s="15">
        <f t="shared" si="45"/>
        <v>75</v>
      </c>
      <c r="AI39" s="58">
        <f t="shared" ref="AI39:BN39" si="46">AI15*AI58/(AI58+1)</f>
        <v>75</v>
      </c>
      <c r="AJ39" s="58">
        <f t="shared" si="46"/>
        <v>75</v>
      </c>
      <c r="AK39" s="15">
        <f t="shared" si="46"/>
        <v>75</v>
      </c>
      <c r="AL39" s="58">
        <f t="shared" si="46"/>
        <v>75</v>
      </c>
      <c r="AM39" s="58">
        <f t="shared" si="46"/>
        <v>75</v>
      </c>
      <c r="AN39" s="15">
        <f t="shared" si="46"/>
        <v>75</v>
      </c>
      <c r="AO39" s="58">
        <f t="shared" si="46"/>
        <v>75</v>
      </c>
      <c r="AP39" s="58">
        <f t="shared" si="46"/>
        <v>75</v>
      </c>
      <c r="AQ39" s="15">
        <f t="shared" si="46"/>
        <v>75</v>
      </c>
      <c r="AR39" s="58">
        <f t="shared" si="46"/>
        <v>75</v>
      </c>
      <c r="AS39" s="58">
        <f t="shared" si="46"/>
        <v>75</v>
      </c>
      <c r="AT39" s="58">
        <f t="shared" si="46"/>
        <v>75</v>
      </c>
      <c r="AU39" s="15">
        <f t="shared" si="46"/>
        <v>75</v>
      </c>
      <c r="AV39" s="58">
        <f t="shared" si="46"/>
        <v>75</v>
      </c>
      <c r="AW39" s="58">
        <f t="shared" si="46"/>
        <v>75</v>
      </c>
      <c r="AX39" s="15">
        <f t="shared" si="46"/>
        <v>75</v>
      </c>
      <c r="AY39" s="58">
        <f t="shared" si="46"/>
        <v>75</v>
      </c>
      <c r="AZ39" s="58">
        <f t="shared" si="46"/>
        <v>75</v>
      </c>
      <c r="BA39" s="15">
        <f t="shared" si="46"/>
        <v>75</v>
      </c>
      <c r="BB39" s="58">
        <f t="shared" si="46"/>
        <v>75</v>
      </c>
      <c r="BC39" s="58">
        <f t="shared" si="46"/>
        <v>75</v>
      </c>
      <c r="BD39" s="15">
        <f t="shared" si="46"/>
        <v>75</v>
      </c>
      <c r="BE39" s="58">
        <f t="shared" si="46"/>
        <v>75</v>
      </c>
      <c r="BF39" s="58">
        <f t="shared" si="46"/>
        <v>75</v>
      </c>
      <c r="BG39" s="15">
        <f t="shared" si="46"/>
        <v>75</v>
      </c>
      <c r="BH39" s="58">
        <f t="shared" si="46"/>
        <v>75</v>
      </c>
      <c r="BI39" s="58">
        <f t="shared" si="46"/>
        <v>75</v>
      </c>
      <c r="BJ39" s="15">
        <f t="shared" si="46"/>
        <v>75</v>
      </c>
      <c r="BK39" s="58">
        <f t="shared" si="46"/>
        <v>75</v>
      </c>
      <c r="BL39" s="58">
        <f t="shared" si="46"/>
        <v>75</v>
      </c>
      <c r="BM39" s="58">
        <f t="shared" si="46"/>
        <v>75</v>
      </c>
      <c r="BN39" s="15">
        <f t="shared" si="46"/>
        <v>75</v>
      </c>
      <c r="BO39" s="58">
        <f t="shared" ref="BO39:CT39" si="47">BO15*BO58/(BO58+1)</f>
        <v>75</v>
      </c>
      <c r="BP39" s="58">
        <f t="shared" si="47"/>
        <v>75</v>
      </c>
      <c r="BQ39" s="15">
        <f t="shared" si="47"/>
        <v>75</v>
      </c>
      <c r="BR39" s="58">
        <f t="shared" si="47"/>
        <v>75</v>
      </c>
      <c r="BS39" s="58">
        <f t="shared" si="47"/>
        <v>75</v>
      </c>
      <c r="BT39" s="15">
        <f t="shared" si="47"/>
        <v>75</v>
      </c>
      <c r="BU39" s="58">
        <f t="shared" si="47"/>
        <v>75</v>
      </c>
      <c r="BV39" s="58">
        <f t="shared" si="47"/>
        <v>75</v>
      </c>
      <c r="BW39" s="15">
        <f t="shared" si="47"/>
        <v>75</v>
      </c>
      <c r="BX39" s="58">
        <f t="shared" si="47"/>
        <v>75</v>
      </c>
      <c r="BY39" s="58">
        <f t="shared" si="47"/>
        <v>75</v>
      </c>
      <c r="BZ39" s="15">
        <f t="shared" si="47"/>
        <v>75</v>
      </c>
      <c r="CA39" s="58">
        <f t="shared" si="47"/>
        <v>75</v>
      </c>
      <c r="CB39" s="58">
        <f t="shared" si="47"/>
        <v>75</v>
      </c>
      <c r="CC39" s="15">
        <f t="shared" si="47"/>
        <v>75</v>
      </c>
      <c r="CD39" s="58">
        <f t="shared" si="47"/>
        <v>75</v>
      </c>
      <c r="CE39" s="58">
        <f t="shared" si="47"/>
        <v>75</v>
      </c>
      <c r="CF39" s="58">
        <f t="shared" si="47"/>
        <v>75</v>
      </c>
      <c r="CG39" s="15">
        <f t="shared" si="47"/>
        <v>75</v>
      </c>
      <c r="CH39" s="58">
        <f t="shared" si="47"/>
        <v>75</v>
      </c>
      <c r="CI39" s="58">
        <f t="shared" si="47"/>
        <v>75</v>
      </c>
      <c r="CJ39" s="15">
        <f t="shared" si="47"/>
        <v>75</v>
      </c>
      <c r="CK39" s="58">
        <f t="shared" si="47"/>
        <v>75</v>
      </c>
      <c r="CL39" s="58">
        <f t="shared" si="47"/>
        <v>75</v>
      </c>
      <c r="CM39" s="15">
        <f t="shared" si="47"/>
        <v>75</v>
      </c>
      <c r="CN39" s="58">
        <f t="shared" si="47"/>
        <v>75</v>
      </c>
      <c r="CO39" s="58">
        <f t="shared" si="47"/>
        <v>75</v>
      </c>
      <c r="CP39" s="15">
        <f t="shared" si="47"/>
        <v>75</v>
      </c>
      <c r="CQ39" s="58">
        <f t="shared" si="47"/>
        <v>75</v>
      </c>
      <c r="CR39" s="58">
        <f t="shared" si="47"/>
        <v>75</v>
      </c>
      <c r="CS39" s="15">
        <f t="shared" si="47"/>
        <v>75</v>
      </c>
      <c r="CT39" s="58">
        <f t="shared" si="47"/>
        <v>75</v>
      </c>
      <c r="CU39" s="58">
        <f t="shared" ref="CU39:DZ39" si="48">CU15*CU58/(CU58+1)</f>
        <v>75</v>
      </c>
      <c r="CV39" s="15">
        <f t="shared" si="48"/>
        <v>75</v>
      </c>
      <c r="CW39" s="58">
        <f t="shared" si="48"/>
        <v>75</v>
      </c>
      <c r="CX39" s="58">
        <f t="shared" si="48"/>
        <v>75</v>
      </c>
      <c r="CY39" s="58">
        <f t="shared" si="48"/>
        <v>75</v>
      </c>
      <c r="CZ39" s="15">
        <f t="shared" si="48"/>
        <v>75</v>
      </c>
      <c r="DA39" s="58">
        <f t="shared" si="48"/>
        <v>75</v>
      </c>
      <c r="DB39" s="58">
        <f t="shared" si="48"/>
        <v>75</v>
      </c>
      <c r="DC39" s="15">
        <f t="shared" si="48"/>
        <v>75</v>
      </c>
      <c r="DD39" s="58">
        <f t="shared" si="48"/>
        <v>75</v>
      </c>
      <c r="DE39" s="58">
        <f t="shared" si="48"/>
        <v>75</v>
      </c>
      <c r="DF39" s="15">
        <f t="shared" si="48"/>
        <v>75</v>
      </c>
      <c r="DG39" s="58">
        <f t="shared" si="48"/>
        <v>75</v>
      </c>
      <c r="DH39" s="58">
        <f t="shared" si="48"/>
        <v>75</v>
      </c>
      <c r="DI39" s="15">
        <f t="shared" si="48"/>
        <v>75</v>
      </c>
      <c r="DJ39" s="58">
        <f t="shared" si="48"/>
        <v>75</v>
      </c>
      <c r="DK39" s="58">
        <f t="shared" si="48"/>
        <v>75</v>
      </c>
      <c r="DL39" s="15">
        <f t="shared" si="48"/>
        <v>75</v>
      </c>
      <c r="DM39" s="58">
        <f t="shared" si="48"/>
        <v>75</v>
      </c>
      <c r="DN39" s="58">
        <f t="shared" si="48"/>
        <v>75</v>
      </c>
      <c r="DO39" s="15">
        <f t="shared" si="48"/>
        <v>75</v>
      </c>
      <c r="DP39" s="58">
        <f t="shared" si="48"/>
        <v>75</v>
      </c>
      <c r="DQ39" s="58">
        <f t="shared" si="48"/>
        <v>75</v>
      </c>
      <c r="DR39" s="58">
        <f t="shared" si="48"/>
        <v>75</v>
      </c>
      <c r="DS39" s="15">
        <f t="shared" si="48"/>
        <v>75</v>
      </c>
      <c r="DT39" s="58">
        <f t="shared" si="48"/>
        <v>75</v>
      </c>
      <c r="DU39" s="58">
        <f t="shared" si="48"/>
        <v>75</v>
      </c>
      <c r="DV39" s="15">
        <f t="shared" si="48"/>
        <v>75</v>
      </c>
      <c r="DW39" s="58">
        <f t="shared" si="48"/>
        <v>75</v>
      </c>
      <c r="DX39" s="58">
        <f t="shared" si="48"/>
        <v>75</v>
      </c>
      <c r="DY39" s="15">
        <f t="shared" si="48"/>
        <v>75</v>
      </c>
      <c r="DZ39" s="58">
        <f t="shared" si="48"/>
        <v>75</v>
      </c>
      <c r="EA39" s="58">
        <f t="shared" ref="EA39:EJ39" si="49">EA15*EA58/(EA58+1)</f>
        <v>75</v>
      </c>
      <c r="EB39" s="15">
        <f t="shared" si="49"/>
        <v>75</v>
      </c>
      <c r="EC39" s="58">
        <f t="shared" si="49"/>
        <v>75</v>
      </c>
      <c r="ED39" s="58">
        <f t="shared" si="49"/>
        <v>75</v>
      </c>
      <c r="EE39" s="15">
        <f t="shared" si="49"/>
        <v>75</v>
      </c>
      <c r="EF39" s="58">
        <f t="shared" si="49"/>
        <v>75</v>
      </c>
      <c r="EG39" s="58">
        <f t="shared" si="49"/>
        <v>75</v>
      </c>
      <c r="EH39" s="15">
        <f t="shared" si="49"/>
        <v>75</v>
      </c>
      <c r="EI39" s="58">
        <f t="shared" si="49"/>
        <v>75</v>
      </c>
      <c r="EJ39" s="58">
        <f t="shared" si="49"/>
        <v>75</v>
      </c>
    </row>
    <row r="40" spans="1:140" x14ac:dyDescent="0.2">
      <c r="B40" s="15"/>
      <c r="C40" s="78"/>
      <c r="D40" s="58"/>
      <c r="E40" s="1"/>
      <c r="F40" s="15"/>
      <c r="G40" s="58"/>
      <c r="H40" s="58"/>
      <c r="I40" s="15"/>
      <c r="J40" s="58"/>
      <c r="K40" s="58"/>
      <c r="L40" s="15"/>
      <c r="M40" s="58"/>
      <c r="N40" s="58"/>
      <c r="O40" s="15"/>
      <c r="P40" s="58"/>
      <c r="Q40" s="58"/>
      <c r="R40" s="15"/>
      <c r="S40" s="58"/>
      <c r="T40" s="58"/>
      <c r="U40" s="15"/>
      <c r="V40" s="58"/>
      <c r="W40" s="58"/>
      <c r="X40" s="15"/>
      <c r="Y40" s="58"/>
      <c r="Z40" s="58"/>
      <c r="AA40" s="58"/>
      <c r="AB40" s="15"/>
      <c r="AC40" s="58"/>
      <c r="AD40" s="58"/>
      <c r="AE40" s="15"/>
      <c r="AF40" s="58"/>
      <c r="AG40" s="58"/>
      <c r="AH40" s="15"/>
      <c r="AI40" s="58"/>
      <c r="AJ40" s="58"/>
      <c r="AK40" s="15"/>
      <c r="AL40" s="58"/>
      <c r="AM40" s="58"/>
      <c r="AN40" s="15"/>
      <c r="AO40" s="58"/>
      <c r="AP40" s="58"/>
      <c r="AQ40" s="15"/>
      <c r="AR40" s="58"/>
      <c r="AS40" s="58"/>
      <c r="AT40" s="58"/>
      <c r="AU40" s="15"/>
      <c r="AV40" s="58"/>
      <c r="AW40" s="58"/>
      <c r="AX40" s="15"/>
      <c r="AY40" s="58"/>
      <c r="AZ40" s="58"/>
      <c r="BA40" s="15"/>
      <c r="BB40" s="58"/>
      <c r="BC40" s="58"/>
      <c r="BD40" s="15"/>
      <c r="BE40" s="58"/>
      <c r="BF40" s="58"/>
      <c r="BG40" s="15"/>
      <c r="BH40" s="58"/>
      <c r="BI40" s="58"/>
      <c r="BJ40" s="15"/>
      <c r="BK40" s="58"/>
      <c r="BL40" s="58"/>
      <c r="BM40" s="58"/>
      <c r="BN40" s="15"/>
      <c r="BO40" s="58"/>
      <c r="BP40" s="58"/>
      <c r="BQ40" s="15"/>
      <c r="BR40" s="58"/>
      <c r="BS40" s="58"/>
      <c r="BT40" s="15"/>
      <c r="BU40" s="58"/>
      <c r="BV40" s="58"/>
      <c r="BW40" s="15"/>
      <c r="BX40" s="58"/>
      <c r="BY40" s="58"/>
      <c r="BZ40" s="15"/>
      <c r="CA40" s="58"/>
      <c r="CB40" s="58"/>
      <c r="CC40" s="15"/>
      <c r="CD40" s="58"/>
      <c r="CE40" s="58"/>
      <c r="CF40" s="58"/>
      <c r="CG40" s="15"/>
      <c r="CH40" s="58"/>
      <c r="CI40" s="58"/>
      <c r="CJ40" s="15"/>
      <c r="CK40" s="58"/>
      <c r="CL40" s="58"/>
      <c r="CM40" s="15"/>
      <c r="CN40" s="58"/>
      <c r="CO40" s="58"/>
      <c r="CP40" s="15"/>
      <c r="CQ40" s="58"/>
      <c r="CR40" s="58"/>
      <c r="CS40" s="15"/>
      <c r="CT40" s="58"/>
      <c r="CU40" s="58"/>
      <c r="CV40" s="15"/>
      <c r="CW40" s="58"/>
      <c r="CX40" s="58"/>
      <c r="CY40" s="58"/>
      <c r="CZ40" s="15"/>
      <c r="DA40" s="58"/>
      <c r="DB40" s="58"/>
      <c r="DC40" s="15"/>
      <c r="DD40" s="58"/>
      <c r="DE40" s="58"/>
      <c r="DF40" s="15"/>
      <c r="DG40" s="58"/>
      <c r="DH40" s="58"/>
      <c r="DI40" s="15"/>
      <c r="DJ40" s="58"/>
      <c r="DK40" s="58"/>
      <c r="DL40" s="15"/>
      <c r="DM40" s="58"/>
      <c r="DN40" s="58"/>
      <c r="DO40" s="15"/>
      <c r="DP40" s="58"/>
      <c r="DQ40" s="58"/>
      <c r="DR40" s="58"/>
      <c r="DS40" s="15"/>
      <c r="DT40" s="58"/>
      <c r="DU40" s="58"/>
      <c r="DV40" s="15"/>
      <c r="DW40" s="58"/>
      <c r="DX40" s="58"/>
      <c r="DY40" s="15"/>
      <c r="DZ40" s="58"/>
      <c r="EA40" s="58"/>
      <c r="EB40" s="15"/>
      <c r="EC40" s="58"/>
      <c r="ED40" s="58"/>
      <c r="EE40" s="15"/>
      <c r="EF40" s="58"/>
      <c r="EG40" s="58"/>
      <c r="EH40" s="15"/>
      <c r="EI40" s="58"/>
      <c r="EJ40" s="58"/>
    </row>
    <row r="41" spans="1:140" x14ac:dyDescent="0.2">
      <c r="A41" s="11" t="s">
        <v>61</v>
      </c>
      <c r="B41" s="12" t="s">
        <v>62</v>
      </c>
      <c r="C41" s="75">
        <f t="shared" ref="C41:AH41" si="50">C11*C18/(C18+1)</f>
        <v>61.773752040000005</v>
      </c>
      <c r="D41" s="55">
        <f t="shared" si="50"/>
        <v>59.184500399999997</v>
      </c>
      <c r="E41" s="13">
        <f t="shared" si="50"/>
        <v>40.375716030000007</v>
      </c>
      <c r="F41" s="12">
        <f t="shared" si="50"/>
        <v>54.595623599999996</v>
      </c>
      <c r="G41" s="55">
        <f t="shared" si="50"/>
        <v>54.682247580000002</v>
      </c>
      <c r="H41" s="55">
        <f t="shared" si="50"/>
        <v>43.87545222</v>
      </c>
      <c r="I41" s="12">
        <f t="shared" si="50"/>
        <v>56.105879619999996</v>
      </c>
      <c r="J41" s="55">
        <f t="shared" si="50"/>
        <v>55.724719500000006</v>
      </c>
      <c r="K41" s="55">
        <f t="shared" si="50"/>
        <v>56.783062799999996</v>
      </c>
      <c r="L41" s="12">
        <f t="shared" si="50"/>
        <v>48.405841000000002</v>
      </c>
      <c r="M41" s="55">
        <f t="shared" si="50"/>
        <v>22.196971999999995</v>
      </c>
      <c r="N41" s="55">
        <f t="shared" si="50"/>
        <v>21.584698540000002</v>
      </c>
      <c r="O41" s="12">
        <f t="shared" si="50"/>
        <v>37.927747079999996</v>
      </c>
      <c r="P41" s="55">
        <f t="shared" si="50"/>
        <v>23.586378530000001</v>
      </c>
      <c r="Q41" s="55">
        <f t="shared" si="50"/>
        <v>11.431001999999999</v>
      </c>
      <c r="R41" s="12">
        <f t="shared" si="50"/>
        <v>12.36549924</v>
      </c>
      <c r="S41" s="55">
        <f t="shared" si="50"/>
        <v>22.420698080000001</v>
      </c>
      <c r="T41" s="55">
        <f t="shared" si="50"/>
        <v>36.85275704</v>
      </c>
      <c r="U41" s="12">
        <f t="shared" si="50"/>
        <v>37.2167016</v>
      </c>
      <c r="V41" s="55">
        <f t="shared" si="50"/>
        <v>12.44768328</v>
      </c>
      <c r="W41" s="55">
        <f t="shared" si="50"/>
        <v>37.06523464</v>
      </c>
      <c r="X41" s="12">
        <f t="shared" si="50"/>
        <v>29.942363280000002</v>
      </c>
      <c r="Y41" s="55">
        <f t="shared" si="50"/>
        <v>22.528599360000001</v>
      </c>
      <c r="Z41" s="55">
        <f t="shared" si="50"/>
        <v>12.44768328</v>
      </c>
      <c r="AA41" s="55" t="e">
        <f t="shared" si="50"/>
        <v>#DIV/0!</v>
      </c>
      <c r="AB41" s="12" t="e">
        <f t="shared" si="50"/>
        <v>#DIV/0!</v>
      </c>
      <c r="AC41" s="55" t="e">
        <f t="shared" si="50"/>
        <v>#DIV/0!</v>
      </c>
      <c r="AD41" s="55" t="e">
        <f t="shared" si="50"/>
        <v>#DIV/0!</v>
      </c>
      <c r="AE41" s="12" t="e">
        <f t="shared" si="50"/>
        <v>#DIV/0!</v>
      </c>
      <c r="AF41" s="55" t="e">
        <f t="shared" si="50"/>
        <v>#DIV/0!</v>
      </c>
      <c r="AG41" s="55" t="e">
        <f t="shared" si="50"/>
        <v>#DIV/0!</v>
      </c>
      <c r="AH41" s="12" t="e">
        <f t="shared" si="50"/>
        <v>#DIV/0!</v>
      </c>
      <c r="AI41" s="55" t="e">
        <f t="shared" ref="AI41:BN41" si="51">AI11*AI18/(AI18+1)</f>
        <v>#DIV/0!</v>
      </c>
      <c r="AJ41" s="55" t="e">
        <f t="shared" si="51"/>
        <v>#DIV/0!</v>
      </c>
      <c r="AK41" s="12" t="e">
        <f t="shared" si="51"/>
        <v>#DIV/0!</v>
      </c>
      <c r="AL41" s="55" t="e">
        <f t="shared" si="51"/>
        <v>#DIV/0!</v>
      </c>
      <c r="AM41" s="55" t="e">
        <f t="shared" si="51"/>
        <v>#DIV/0!</v>
      </c>
      <c r="AN41" s="12" t="e">
        <f t="shared" si="51"/>
        <v>#DIV/0!</v>
      </c>
      <c r="AO41" s="55" t="e">
        <f t="shared" si="51"/>
        <v>#DIV/0!</v>
      </c>
      <c r="AP41" s="55" t="e">
        <f t="shared" si="51"/>
        <v>#DIV/0!</v>
      </c>
      <c r="AQ41" s="12" t="e">
        <f t="shared" si="51"/>
        <v>#DIV/0!</v>
      </c>
      <c r="AR41" s="55" t="e">
        <f t="shared" si="51"/>
        <v>#DIV/0!</v>
      </c>
      <c r="AS41" s="55" t="e">
        <f t="shared" si="51"/>
        <v>#DIV/0!</v>
      </c>
      <c r="AT41" s="55" t="e">
        <f t="shared" si="51"/>
        <v>#DIV/0!</v>
      </c>
      <c r="AU41" s="12" t="e">
        <f t="shared" si="51"/>
        <v>#DIV/0!</v>
      </c>
      <c r="AV41" s="55" t="e">
        <f t="shared" si="51"/>
        <v>#DIV/0!</v>
      </c>
      <c r="AW41" s="55" t="e">
        <f t="shared" si="51"/>
        <v>#DIV/0!</v>
      </c>
      <c r="AX41" s="12" t="e">
        <f t="shared" si="51"/>
        <v>#DIV/0!</v>
      </c>
      <c r="AY41" s="55" t="e">
        <f t="shared" si="51"/>
        <v>#DIV/0!</v>
      </c>
      <c r="AZ41" s="55" t="e">
        <f t="shared" si="51"/>
        <v>#DIV/0!</v>
      </c>
      <c r="BA41" s="12" t="e">
        <f t="shared" si="51"/>
        <v>#DIV/0!</v>
      </c>
      <c r="BB41" s="55" t="e">
        <f t="shared" si="51"/>
        <v>#DIV/0!</v>
      </c>
      <c r="BC41" s="55" t="e">
        <f t="shared" si="51"/>
        <v>#DIV/0!</v>
      </c>
      <c r="BD41" s="12" t="e">
        <f t="shared" si="51"/>
        <v>#DIV/0!</v>
      </c>
      <c r="BE41" s="55" t="e">
        <f t="shared" si="51"/>
        <v>#DIV/0!</v>
      </c>
      <c r="BF41" s="55" t="e">
        <f t="shared" si="51"/>
        <v>#DIV/0!</v>
      </c>
      <c r="BG41" s="12" t="e">
        <f t="shared" si="51"/>
        <v>#DIV/0!</v>
      </c>
      <c r="BH41" s="55" t="e">
        <f t="shared" si="51"/>
        <v>#DIV/0!</v>
      </c>
      <c r="BI41" s="55" t="e">
        <f t="shared" si="51"/>
        <v>#DIV/0!</v>
      </c>
      <c r="BJ41" s="12" t="e">
        <f t="shared" si="51"/>
        <v>#DIV/0!</v>
      </c>
      <c r="BK41" s="55" t="e">
        <f t="shared" si="51"/>
        <v>#DIV/0!</v>
      </c>
      <c r="BL41" s="55" t="e">
        <f t="shared" si="51"/>
        <v>#DIV/0!</v>
      </c>
      <c r="BM41" s="55" t="e">
        <f t="shared" si="51"/>
        <v>#DIV/0!</v>
      </c>
      <c r="BN41" s="12" t="e">
        <f t="shared" si="51"/>
        <v>#DIV/0!</v>
      </c>
      <c r="BO41" s="55" t="e">
        <f t="shared" ref="BO41:CT41" si="52">BO11*BO18/(BO18+1)</f>
        <v>#DIV/0!</v>
      </c>
      <c r="BP41" s="55" t="e">
        <f t="shared" si="52"/>
        <v>#DIV/0!</v>
      </c>
      <c r="BQ41" s="12" t="e">
        <f t="shared" si="52"/>
        <v>#DIV/0!</v>
      </c>
      <c r="BR41" s="55" t="e">
        <f t="shared" si="52"/>
        <v>#DIV/0!</v>
      </c>
      <c r="BS41" s="55" t="e">
        <f t="shared" si="52"/>
        <v>#DIV/0!</v>
      </c>
      <c r="BT41" s="12" t="e">
        <f t="shared" si="52"/>
        <v>#DIV/0!</v>
      </c>
      <c r="BU41" s="55" t="e">
        <f t="shared" si="52"/>
        <v>#DIV/0!</v>
      </c>
      <c r="BV41" s="55" t="e">
        <f t="shared" si="52"/>
        <v>#DIV/0!</v>
      </c>
      <c r="BW41" s="12" t="e">
        <f t="shared" si="52"/>
        <v>#DIV/0!</v>
      </c>
      <c r="BX41" s="55" t="e">
        <f t="shared" si="52"/>
        <v>#DIV/0!</v>
      </c>
      <c r="BY41" s="55" t="e">
        <f t="shared" si="52"/>
        <v>#DIV/0!</v>
      </c>
      <c r="BZ41" s="12" t="e">
        <f t="shared" si="52"/>
        <v>#DIV/0!</v>
      </c>
      <c r="CA41" s="55" t="e">
        <f t="shared" si="52"/>
        <v>#DIV/0!</v>
      </c>
      <c r="CB41" s="55" t="e">
        <f t="shared" si="52"/>
        <v>#DIV/0!</v>
      </c>
      <c r="CC41" s="12" t="e">
        <f t="shared" si="52"/>
        <v>#DIV/0!</v>
      </c>
      <c r="CD41" s="55" t="e">
        <f t="shared" si="52"/>
        <v>#DIV/0!</v>
      </c>
      <c r="CE41" s="55" t="e">
        <f t="shared" si="52"/>
        <v>#DIV/0!</v>
      </c>
      <c r="CF41" s="55" t="e">
        <f t="shared" si="52"/>
        <v>#DIV/0!</v>
      </c>
      <c r="CG41" s="12" t="e">
        <f t="shared" si="52"/>
        <v>#DIV/0!</v>
      </c>
      <c r="CH41" s="55" t="e">
        <f t="shared" si="52"/>
        <v>#DIV/0!</v>
      </c>
      <c r="CI41" s="55" t="e">
        <f t="shared" si="52"/>
        <v>#DIV/0!</v>
      </c>
      <c r="CJ41" s="12" t="e">
        <f t="shared" si="52"/>
        <v>#DIV/0!</v>
      </c>
      <c r="CK41" s="55" t="e">
        <f t="shared" si="52"/>
        <v>#DIV/0!</v>
      </c>
      <c r="CL41" s="55" t="e">
        <f t="shared" si="52"/>
        <v>#DIV/0!</v>
      </c>
      <c r="CM41" s="12" t="e">
        <f t="shared" si="52"/>
        <v>#DIV/0!</v>
      </c>
      <c r="CN41" s="55" t="e">
        <f t="shared" si="52"/>
        <v>#DIV/0!</v>
      </c>
      <c r="CO41" s="55" t="e">
        <f t="shared" si="52"/>
        <v>#DIV/0!</v>
      </c>
      <c r="CP41" s="12" t="e">
        <f t="shared" si="52"/>
        <v>#DIV/0!</v>
      </c>
      <c r="CQ41" s="55" t="e">
        <f t="shared" si="52"/>
        <v>#DIV/0!</v>
      </c>
      <c r="CR41" s="55" t="e">
        <f t="shared" si="52"/>
        <v>#DIV/0!</v>
      </c>
      <c r="CS41" s="12" t="e">
        <f t="shared" si="52"/>
        <v>#DIV/0!</v>
      </c>
      <c r="CT41" s="55" t="e">
        <f t="shared" si="52"/>
        <v>#DIV/0!</v>
      </c>
      <c r="CU41" s="55" t="e">
        <f t="shared" ref="CU41:DZ41" si="53">CU11*CU18/(CU18+1)</f>
        <v>#DIV/0!</v>
      </c>
      <c r="CV41" s="12" t="e">
        <f t="shared" si="53"/>
        <v>#DIV/0!</v>
      </c>
      <c r="CW41" s="55" t="e">
        <f t="shared" si="53"/>
        <v>#DIV/0!</v>
      </c>
      <c r="CX41" s="55" t="e">
        <f t="shared" si="53"/>
        <v>#DIV/0!</v>
      </c>
      <c r="CY41" s="55" t="e">
        <f t="shared" si="53"/>
        <v>#DIV/0!</v>
      </c>
      <c r="CZ41" s="12" t="e">
        <f t="shared" si="53"/>
        <v>#DIV/0!</v>
      </c>
      <c r="DA41" s="55" t="e">
        <f t="shared" si="53"/>
        <v>#DIV/0!</v>
      </c>
      <c r="DB41" s="55" t="e">
        <f t="shared" si="53"/>
        <v>#DIV/0!</v>
      </c>
      <c r="DC41" s="12" t="e">
        <f t="shared" si="53"/>
        <v>#DIV/0!</v>
      </c>
      <c r="DD41" s="55" t="e">
        <f t="shared" si="53"/>
        <v>#DIV/0!</v>
      </c>
      <c r="DE41" s="55" t="e">
        <f t="shared" si="53"/>
        <v>#DIV/0!</v>
      </c>
      <c r="DF41" s="12" t="e">
        <f t="shared" si="53"/>
        <v>#DIV/0!</v>
      </c>
      <c r="DG41" s="55" t="e">
        <f t="shared" si="53"/>
        <v>#DIV/0!</v>
      </c>
      <c r="DH41" s="55" t="e">
        <f t="shared" si="53"/>
        <v>#DIV/0!</v>
      </c>
      <c r="DI41" s="12" t="e">
        <f t="shared" si="53"/>
        <v>#DIV/0!</v>
      </c>
      <c r="DJ41" s="55" t="e">
        <f t="shared" si="53"/>
        <v>#DIV/0!</v>
      </c>
      <c r="DK41" s="55" t="e">
        <f t="shared" si="53"/>
        <v>#DIV/0!</v>
      </c>
      <c r="DL41" s="12" t="e">
        <f t="shared" si="53"/>
        <v>#DIV/0!</v>
      </c>
      <c r="DM41" s="55" t="e">
        <f t="shared" si="53"/>
        <v>#DIV/0!</v>
      </c>
      <c r="DN41" s="55" t="e">
        <f t="shared" si="53"/>
        <v>#DIV/0!</v>
      </c>
      <c r="DO41" s="12" t="e">
        <f t="shared" si="53"/>
        <v>#DIV/0!</v>
      </c>
      <c r="DP41" s="55" t="e">
        <f t="shared" si="53"/>
        <v>#DIV/0!</v>
      </c>
      <c r="DQ41" s="55" t="e">
        <f t="shared" si="53"/>
        <v>#DIV/0!</v>
      </c>
      <c r="DR41" s="55" t="e">
        <f t="shared" si="53"/>
        <v>#DIV/0!</v>
      </c>
      <c r="DS41" s="12" t="e">
        <f t="shared" si="53"/>
        <v>#DIV/0!</v>
      </c>
      <c r="DT41" s="55" t="e">
        <f t="shared" si="53"/>
        <v>#DIV/0!</v>
      </c>
      <c r="DU41" s="55" t="e">
        <f t="shared" si="53"/>
        <v>#DIV/0!</v>
      </c>
      <c r="DV41" s="12" t="e">
        <f t="shared" si="53"/>
        <v>#DIV/0!</v>
      </c>
      <c r="DW41" s="55" t="e">
        <f t="shared" si="53"/>
        <v>#DIV/0!</v>
      </c>
      <c r="DX41" s="55" t="e">
        <f t="shared" si="53"/>
        <v>#DIV/0!</v>
      </c>
      <c r="DY41" s="12" t="e">
        <f t="shared" si="53"/>
        <v>#DIV/0!</v>
      </c>
      <c r="DZ41" s="55" t="e">
        <f t="shared" si="53"/>
        <v>#DIV/0!</v>
      </c>
      <c r="EA41" s="55" t="e">
        <f t="shared" ref="EA41:EJ41" si="54">EA11*EA18/(EA18+1)</f>
        <v>#DIV/0!</v>
      </c>
      <c r="EB41" s="12" t="e">
        <f t="shared" si="54"/>
        <v>#DIV/0!</v>
      </c>
      <c r="EC41" s="55" t="e">
        <f t="shared" si="54"/>
        <v>#DIV/0!</v>
      </c>
      <c r="ED41" s="55" t="e">
        <f t="shared" si="54"/>
        <v>#DIV/0!</v>
      </c>
      <c r="EE41" s="12" t="e">
        <f t="shared" si="54"/>
        <v>#DIV/0!</v>
      </c>
      <c r="EF41" s="55" t="e">
        <f t="shared" si="54"/>
        <v>#DIV/0!</v>
      </c>
      <c r="EG41" s="55" t="e">
        <f t="shared" si="54"/>
        <v>#DIV/0!</v>
      </c>
      <c r="EH41" s="12" t="e">
        <f t="shared" si="54"/>
        <v>#DIV/0!</v>
      </c>
      <c r="EI41" s="55" t="e">
        <f t="shared" si="54"/>
        <v>#DIV/0!</v>
      </c>
      <c r="EJ41" s="55" t="e">
        <f t="shared" si="54"/>
        <v>#DIV/0!</v>
      </c>
    </row>
    <row r="42" spans="1:140" x14ac:dyDescent="0.2">
      <c r="A42" s="11" t="s">
        <v>63</v>
      </c>
      <c r="B42" s="12" t="s">
        <v>64</v>
      </c>
      <c r="C42" s="75">
        <f t="shared" ref="C42:AH42" si="55">C36*C41/100</f>
        <v>51.754002300000003</v>
      </c>
      <c r="D42" s="55">
        <f t="shared" si="55"/>
        <v>50.655532800000003</v>
      </c>
      <c r="E42" s="13">
        <f t="shared" si="55"/>
        <v>36.208190700000003</v>
      </c>
      <c r="F42" s="12">
        <f t="shared" si="55"/>
        <v>49.09573619999999</v>
      </c>
      <c r="G42" s="55">
        <f t="shared" si="55"/>
        <v>44.702110949999998</v>
      </c>
      <c r="H42" s="55">
        <f t="shared" si="55"/>
        <v>43.707041100000005</v>
      </c>
      <c r="I42" s="12">
        <f t="shared" si="55"/>
        <v>48.801012600000007</v>
      </c>
      <c r="J42" s="55">
        <f t="shared" si="55"/>
        <v>51.926883750000009</v>
      </c>
      <c r="K42" s="55">
        <f t="shared" si="55"/>
        <v>56.34401849999999</v>
      </c>
      <c r="L42" s="12">
        <f t="shared" si="55"/>
        <v>51.265580850000006</v>
      </c>
      <c r="M42" s="55">
        <f t="shared" si="55"/>
        <v>36.302460000000004</v>
      </c>
      <c r="N42" s="55">
        <f t="shared" si="55"/>
        <v>37.665570449999997</v>
      </c>
      <c r="O42" s="12">
        <f t="shared" si="55"/>
        <v>59.151589200000011</v>
      </c>
      <c r="P42" s="55">
        <f t="shared" si="55"/>
        <v>57.150586350000005</v>
      </c>
      <c r="Q42" s="55">
        <f t="shared" si="55"/>
        <v>28.948738500000005</v>
      </c>
      <c r="R42" s="12">
        <f t="shared" si="55"/>
        <v>31.373572199999998</v>
      </c>
      <c r="S42" s="55">
        <f t="shared" si="55"/>
        <v>62.691633600000017</v>
      </c>
      <c r="T42" s="55">
        <f t="shared" si="55"/>
        <v>64.503266850000003</v>
      </c>
      <c r="U42" s="12">
        <f t="shared" si="55"/>
        <v>53.194319100000001</v>
      </c>
      <c r="V42" s="55">
        <f t="shared" si="55"/>
        <v>36.984886799999998</v>
      </c>
      <c r="W42" s="55">
        <f t="shared" si="55"/>
        <v>62.110414800000001</v>
      </c>
      <c r="X42" s="12">
        <f t="shared" si="55"/>
        <v>58.945697100000004</v>
      </c>
      <c r="Y42" s="55">
        <f t="shared" si="55"/>
        <v>62.676784799999993</v>
      </c>
      <c r="Z42" s="55">
        <f t="shared" si="55"/>
        <v>37.038004200000003</v>
      </c>
      <c r="AA42" s="55" t="e">
        <f t="shared" si="55"/>
        <v>#N/A</v>
      </c>
      <c r="AB42" s="12" t="e">
        <f t="shared" si="55"/>
        <v>#N/A</v>
      </c>
      <c r="AC42" s="55" t="e">
        <f t="shared" si="55"/>
        <v>#N/A</v>
      </c>
      <c r="AD42" s="55" t="e">
        <f t="shared" si="55"/>
        <v>#N/A</v>
      </c>
      <c r="AE42" s="12" t="e">
        <f t="shared" si="55"/>
        <v>#N/A</v>
      </c>
      <c r="AF42" s="55" t="e">
        <f t="shared" si="55"/>
        <v>#N/A</v>
      </c>
      <c r="AG42" s="55" t="e">
        <f t="shared" si="55"/>
        <v>#N/A</v>
      </c>
      <c r="AH42" s="12" t="e">
        <f t="shared" si="55"/>
        <v>#N/A</v>
      </c>
      <c r="AI42" s="55" t="e">
        <f t="shared" ref="AI42:BN42" si="56">AI36*AI41/100</f>
        <v>#N/A</v>
      </c>
      <c r="AJ42" s="55" t="e">
        <f t="shared" si="56"/>
        <v>#N/A</v>
      </c>
      <c r="AK42" s="12" t="e">
        <f t="shared" si="56"/>
        <v>#N/A</v>
      </c>
      <c r="AL42" s="55" t="e">
        <f t="shared" si="56"/>
        <v>#N/A</v>
      </c>
      <c r="AM42" s="55" t="e">
        <f t="shared" si="56"/>
        <v>#N/A</v>
      </c>
      <c r="AN42" s="12" t="e">
        <f t="shared" si="56"/>
        <v>#N/A</v>
      </c>
      <c r="AO42" s="55" t="e">
        <f t="shared" si="56"/>
        <v>#N/A</v>
      </c>
      <c r="AP42" s="55" t="e">
        <f t="shared" si="56"/>
        <v>#N/A</v>
      </c>
      <c r="AQ42" s="12" t="e">
        <f t="shared" si="56"/>
        <v>#N/A</v>
      </c>
      <c r="AR42" s="55" t="e">
        <f t="shared" si="56"/>
        <v>#N/A</v>
      </c>
      <c r="AS42" s="55" t="e">
        <f t="shared" si="56"/>
        <v>#N/A</v>
      </c>
      <c r="AT42" s="55" t="e">
        <f t="shared" si="56"/>
        <v>#N/A</v>
      </c>
      <c r="AU42" s="12" t="e">
        <f t="shared" si="56"/>
        <v>#N/A</v>
      </c>
      <c r="AV42" s="55" t="e">
        <f t="shared" si="56"/>
        <v>#N/A</v>
      </c>
      <c r="AW42" s="55" t="e">
        <f t="shared" si="56"/>
        <v>#N/A</v>
      </c>
      <c r="AX42" s="12" t="e">
        <f t="shared" si="56"/>
        <v>#N/A</v>
      </c>
      <c r="AY42" s="55" t="e">
        <f t="shared" si="56"/>
        <v>#N/A</v>
      </c>
      <c r="AZ42" s="55" t="e">
        <f t="shared" si="56"/>
        <v>#N/A</v>
      </c>
      <c r="BA42" s="12" t="e">
        <f t="shared" si="56"/>
        <v>#N/A</v>
      </c>
      <c r="BB42" s="55" t="e">
        <f t="shared" si="56"/>
        <v>#N/A</v>
      </c>
      <c r="BC42" s="55" t="e">
        <f t="shared" si="56"/>
        <v>#N/A</v>
      </c>
      <c r="BD42" s="12" t="e">
        <f t="shared" si="56"/>
        <v>#N/A</v>
      </c>
      <c r="BE42" s="55" t="e">
        <f t="shared" si="56"/>
        <v>#N/A</v>
      </c>
      <c r="BF42" s="55" t="e">
        <f t="shared" si="56"/>
        <v>#N/A</v>
      </c>
      <c r="BG42" s="12" t="e">
        <f t="shared" si="56"/>
        <v>#N/A</v>
      </c>
      <c r="BH42" s="55" t="e">
        <f t="shared" si="56"/>
        <v>#N/A</v>
      </c>
      <c r="BI42" s="55" t="e">
        <f t="shared" si="56"/>
        <v>#N/A</v>
      </c>
      <c r="BJ42" s="12" t="e">
        <f t="shared" si="56"/>
        <v>#N/A</v>
      </c>
      <c r="BK42" s="55" t="e">
        <f t="shared" si="56"/>
        <v>#N/A</v>
      </c>
      <c r="BL42" s="55" t="e">
        <f t="shared" si="56"/>
        <v>#N/A</v>
      </c>
      <c r="BM42" s="55" t="e">
        <f t="shared" si="56"/>
        <v>#N/A</v>
      </c>
      <c r="BN42" s="12" t="e">
        <f t="shared" si="56"/>
        <v>#N/A</v>
      </c>
      <c r="BO42" s="55" t="e">
        <f t="shared" ref="BO42:CT42" si="57">BO36*BO41/100</f>
        <v>#N/A</v>
      </c>
      <c r="BP42" s="55" t="e">
        <f t="shared" si="57"/>
        <v>#N/A</v>
      </c>
      <c r="BQ42" s="12" t="e">
        <f t="shared" si="57"/>
        <v>#N/A</v>
      </c>
      <c r="BR42" s="55" t="e">
        <f t="shared" si="57"/>
        <v>#N/A</v>
      </c>
      <c r="BS42" s="55" t="e">
        <f t="shared" si="57"/>
        <v>#N/A</v>
      </c>
      <c r="BT42" s="12" t="e">
        <f t="shared" si="57"/>
        <v>#N/A</v>
      </c>
      <c r="BU42" s="55" t="e">
        <f t="shared" si="57"/>
        <v>#N/A</v>
      </c>
      <c r="BV42" s="55" t="e">
        <f t="shared" si="57"/>
        <v>#N/A</v>
      </c>
      <c r="BW42" s="12" t="e">
        <f t="shared" si="57"/>
        <v>#N/A</v>
      </c>
      <c r="BX42" s="55" t="e">
        <f t="shared" si="57"/>
        <v>#N/A</v>
      </c>
      <c r="BY42" s="55" t="e">
        <f t="shared" si="57"/>
        <v>#N/A</v>
      </c>
      <c r="BZ42" s="12" t="e">
        <f t="shared" si="57"/>
        <v>#N/A</v>
      </c>
      <c r="CA42" s="55" t="e">
        <f t="shared" si="57"/>
        <v>#N/A</v>
      </c>
      <c r="CB42" s="55" t="e">
        <f t="shared" si="57"/>
        <v>#N/A</v>
      </c>
      <c r="CC42" s="12" t="e">
        <f t="shared" si="57"/>
        <v>#N/A</v>
      </c>
      <c r="CD42" s="55" t="e">
        <f t="shared" si="57"/>
        <v>#N/A</v>
      </c>
      <c r="CE42" s="55" t="e">
        <f t="shared" si="57"/>
        <v>#N/A</v>
      </c>
      <c r="CF42" s="55" t="e">
        <f t="shared" si="57"/>
        <v>#N/A</v>
      </c>
      <c r="CG42" s="12" t="e">
        <f t="shared" si="57"/>
        <v>#N/A</v>
      </c>
      <c r="CH42" s="55" t="e">
        <f t="shared" si="57"/>
        <v>#N/A</v>
      </c>
      <c r="CI42" s="55" t="e">
        <f t="shared" si="57"/>
        <v>#N/A</v>
      </c>
      <c r="CJ42" s="12" t="e">
        <f t="shared" si="57"/>
        <v>#N/A</v>
      </c>
      <c r="CK42" s="55" t="e">
        <f t="shared" si="57"/>
        <v>#N/A</v>
      </c>
      <c r="CL42" s="55" t="e">
        <f t="shared" si="57"/>
        <v>#N/A</v>
      </c>
      <c r="CM42" s="12" t="e">
        <f t="shared" si="57"/>
        <v>#N/A</v>
      </c>
      <c r="CN42" s="55" t="e">
        <f t="shared" si="57"/>
        <v>#N/A</v>
      </c>
      <c r="CO42" s="55" t="e">
        <f t="shared" si="57"/>
        <v>#N/A</v>
      </c>
      <c r="CP42" s="12" t="e">
        <f t="shared" si="57"/>
        <v>#N/A</v>
      </c>
      <c r="CQ42" s="55" t="e">
        <f t="shared" si="57"/>
        <v>#N/A</v>
      </c>
      <c r="CR42" s="55" t="e">
        <f t="shared" si="57"/>
        <v>#N/A</v>
      </c>
      <c r="CS42" s="12" t="e">
        <f t="shared" si="57"/>
        <v>#N/A</v>
      </c>
      <c r="CT42" s="55" t="e">
        <f t="shared" si="57"/>
        <v>#N/A</v>
      </c>
      <c r="CU42" s="55" t="e">
        <f t="shared" ref="CU42:DZ42" si="58">CU36*CU41/100</f>
        <v>#N/A</v>
      </c>
      <c r="CV42" s="12" t="e">
        <f t="shared" si="58"/>
        <v>#N/A</v>
      </c>
      <c r="CW42" s="55" t="e">
        <f t="shared" si="58"/>
        <v>#N/A</v>
      </c>
      <c r="CX42" s="55" t="e">
        <f t="shared" si="58"/>
        <v>#N/A</v>
      </c>
      <c r="CY42" s="55" t="e">
        <f t="shared" si="58"/>
        <v>#N/A</v>
      </c>
      <c r="CZ42" s="12" t="e">
        <f t="shared" si="58"/>
        <v>#N/A</v>
      </c>
      <c r="DA42" s="55" t="e">
        <f t="shared" si="58"/>
        <v>#N/A</v>
      </c>
      <c r="DB42" s="55" t="e">
        <f t="shared" si="58"/>
        <v>#N/A</v>
      </c>
      <c r="DC42" s="12" t="e">
        <f t="shared" si="58"/>
        <v>#N/A</v>
      </c>
      <c r="DD42" s="55" t="e">
        <f t="shared" si="58"/>
        <v>#N/A</v>
      </c>
      <c r="DE42" s="55" t="e">
        <f t="shared" si="58"/>
        <v>#N/A</v>
      </c>
      <c r="DF42" s="12" t="e">
        <f t="shared" si="58"/>
        <v>#N/A</v>
      </c>
      <c r="DG42" s="55" t="e">
        <f t="shared" si="58"/>
        <v>#N/A</v>
      </c>
      <c r="DH42" s="55" t="e">
        <f t="shared" si="58"/>
        <v>#N/A</v>
      </c>
      <c r="DI42" s="12" t="e">
        <f t="shared" si="58"/>
        <v>#N/A</v>
      </c>
      <c r="DJ42" s="55" t="e">
        <f t="shared" si="58"/>
        <v>#N/A</v>
      </c>
      <c r="DK42" s="55" t="e">
        <f t="shared" si="58"/>
        <v>#N/A</v>
      </c>
      <c r="DL42" s="12" t="e">
        <f t="shared" si="58"/>
        <v>#N/A</v>
      </c>
      <c r="DM42" s="55" t="e">
        <f t="shared" si="58"/>
        <v>#N/A</v>
      </c>
      <c r="DN42" s="55" t="e">
        <f t="shared" si="58"/>
        <v>#N/A</v>
      </c>
      <c r="DO42" s="12" t="e">
        <f t="shared" si="58"/>
        <v>#N/A</v>
      </c>
      <c r="DP42" s="55" t="e">
        <f t="shared" si="58"/>
        <v>#N/A</v>
      </c>
      <c r="DQ42" s="55" t="e">
        <f t="shared" si="58"/>
        <v>#N/A</v>
      </c>
      <c r="DR42" s="55" t="e">
        <f t="shared" si="58"/>
        <v>#N/A</v>
      </c>
      <c r="DS42" s="12" t="e">
        <f t="shared" si="58"/>
        <v>#N/A</v>
      </c>
      <c r="DT42" s="55" t="e">
        <f t="shared" si="58"/>
        <v>#N/A</v>
      </c>
      <c r="DU42" s="55" t="e">
        <f t="shared" si="58"/>
        <v>#N/A</v>
      </c>
      <c r="DV42" s="12" t="e">
        <f t="shared" si="58"/>
        <v>#N/A</v>
      </c>
      <c r="DW42" s="55" t="e">
        <f t="shared" si="58"/>
        <v>#N/A</v>
      </c>
      <c r="DX42" s="55" t="e">
        <f t="shared" si="58"/>
        <v>#N/A</v>
      </c>
      <c r="DY42" s="12" t="e">
        <f t="shared" si="58"/>
        <v>#N/A</v>
      </c>
      <c r="DZ42" s="55" t="e">
        <f t="shared" si="58"/>
        <v>#N/A</v>
      </c>
      <c r="EA42" s="55" t="e">
        <f t="shared" ref="EA42:FF42" si="59">EA36*EA41/100</f>
        <v>#N/A</v>
      </c>
      <c r="EB42" s="12" t="e">
        <f t="shared" si="59"/>
        <v>#N/A</v>
      </c>
      <c r="EC42" s="55" t="e">
        <f t="shared" si="59"/>
        <v>#N/A</v>
      </c>
      <c r="ED42" s="55" t="e">
        <f t="shared" si="59"/>
        <v>#N/A</v>
      </c>
      <c r="EE42" s="12" t="e">
        <f t="shared" si="59"/>
        <v>#N/A</v>
      </c>
      <c r="EF42" s="55" t="e">
        <f t="shared" si="59"/>
        <v>#N/A</v>
      </c>
      <c r="EG42" s="55" t="e">
        <f t="shared" si="59"/>
        <v>#N/A</v>
      </c>
      <c r="EH42" s="12" t="e">
        <f t="shared" si="59"/>
        <v>#N/A</v>
      </c>
      <c r="EI42" s="55" t="e">
        <f t="shared" si="59"/>
        <v>#N/A</v>
      </c>
      <c r="EJ42" s="55" t="e">
        <f t="shared" si="59"/>
        <v>#N/A</v>
      </c>
    </row>
    <row r="43" spans="1:140" x14ac:dyDescent="0.2">
      <c r="G43" s="55"/>
      <c r="H43" s="55"/>
      <c r="J43" s="55"/>
      <c r="K43" s="55"/>
      <c r="M43" s="55"/>
      <c r="N43" s="55"/>
      <c r="P43" s="55"/>
      <c r="Q43" s="55"/>
      <c r="S43" s="55"/>
      <c r="T43" s="55"/>
      <c r="V43" s="55"/>
      <c r="W43" s="55"/>
      <c r="Y43" s="55"/>
      <c r="Z43" s="55"/>
      <c r="AA43" s="55"/>
      <c r="AC43" s="55"/>
      <c r="AD43" s="55"/>
      <c r="AF43" s="55"/>
      <c r="AG43" s="55"/>
      <c r="AI43" s="55"/>
      <c r="AJ43" s="55"/>
      <c r="AL43" s="55"/>
      <c r="AM43" s="55"/>
      <c r="AO43" s="55"/>
      <c r="AP43" s="55"/>
      <c r="AR43" s="55"/>
      <c r="AS43" s="55"/>
      <c r="AT43" s="55"/>
      <c r="AV43" s="55"/>
      <c r="AW43" s="55"/>
      <c r="AY43" s="55"/>
      <c r="AZ43" s="55"/>
      <c r="BB43" s="55"/>
      <c r="BC43" s="55"/>
      <c r="BE43" s="55"/>
      <c r="BF43" s="55"/>
      <c r="BH43" s="55"/>
      <c r="BI43" s="55"/>
      <c r="BK43" s="55"/>
      <c r="BL43" s="55"/>
      <c r="BM43" s="55"/>
      <c r="BO43" s="55"/>
      <c r="BP43" s="55"/>
      <c r="BR43" s="55"/>
      <c r="BS43" s="55"/>
      <c r="BU43" s="55"/>
      <c r="BV43" s="55"/>
      <c r="BX43" s="55"/>
      <c r="BY43" s="55"/>
      <c r="CA43" s="55"/>
      <c r="CB43" s="55"/>
      <c r="CD43" s="55"/>
      <c r="CE43" s="55"/>
      <c r="CF43" s="55"/>
      <c r="CH43" s="55"/>
      <c r="CI43" s="55"/>
      <c r="CK43" s="55"/>
      <c r="CL43" s="55"/>
      <c r="CN43" s="55"/>
      <c r="CO43" s="55"/>
      <c r="CQ43" s="55"/>
      <c r="CR43" s="55"/>
      <c r="CT43" s="55"/>
      <c r="CU43" s="55"/>
      <c r="CW43" s="55"/>
      <c r="CX43" s="55"/>
      <c r="CY43" s="55"/>
      <c r="DA43" s="55"/>
      <c r="DB43" s="55"/>
      <c r="DD43" s="55"/>
      <c r="DE43" s="55"/>
      <c r="DG43" s="55"/>
      <c r="DH43" s="55"/>
      <c r="DJ43" s="55"/>
      <c r="DK43" s="55"/>
      <c r="DM43" s="55"/>
      <c r="DN43" s="55"/>
      <c r="DP43" s="55"/>
      <c r="DQ43" s="55"/>
      <c r="DR43" s="55"/>
      <c r="DT43" s="55"/>
      <c r="DU43" s="55"/>
      <c r="DW43" s="55"/>
      <c r="DX43" s="55"/>
      <c r="DZ43" s="55"/>
      <c r="EA43" s="55"/>
      <c r="EC43" s="55"/>
      <c r="ED43" s="55"/>
      <c r="EF43" s="55"/>
      <c r="EG43" s="55"/>
      <c r="EI43" s="55"/>
      <c r="EJ43" s="55"/>
    </row>
    <row r="44" spans="1:140" x14ac:dyDescent="0.2">
      <c r="A44" s="11" t="s">
        <v>65</v>
      </c>
      <c r="B44" s="12" t="s">
        <v>62</v>
      </c>
      <c r="C44" s="75">
        <f t="shared" ref="C44:AH44" si="60">C11/(1+C18)</f>
        <v>17.344247960000001</v>
      </c>
      <c r="D44" s="55">
        <f t="shared" si="60"/>
        <v>19.610499600000001</v>
      </c>
      <c r="E44" s="13">
        <f t="shared" si="60"/>
        <v>23.285283969999998</v>
      </c>
      <c r="F44" s="12">
        <f t="shared" si="60"/>
        <v>18.5143764</v>
      </c>
      <c r="G44" s="55">
        <f t="shared" si="60"/>
        <v>33.043752420000004</v>
      </c>
      <c r="H44" s="55">
        <f t="shared" si="60"/>
        <v>16.566547779999997</v>
      </c>
      <c r="I44" s="12">
        <f t="shared" si="60"/>
        <v>30.155120379999996</v>
      </c>
      <c r="J44" s="55">
        <f t="shared" si="60"/>
        <v>26.193280500000004</v>
      </c>
      <c r="K44" s="55">
        <f t="shared" si="60"/>
        <v>21.204937200000003</v>
      </c>
      <c r="L44" s="12">
        <f t="shared" si="60"/>
        <v>24.294159000000004</v>
      </c>
      <c r="M44" s="55">
        <f t="shared" si="60"/>
        <v>11.032028</v>
      </c>
      <c r="N44" s="55">
        <f t="shared" si="60"/>
        <v>12.601301460000002</v>
      </c>
      <c r="O44" s="12">
        <f t="shared" si="60"/>
        <v>9.0462529199999988</v>
      </c>
      <c r="P44" s="55">
        <f t="shared" si="60"/>
        <v>0.35262146999999999</v>
      </c>
      <c r="Q44" s="55">
        <f t="shared" si="60"/>
        <v>11.508998000000002</v>
      </c>
      <c r="R44" s="12">
        <f t="shared" si="60"/>
        <v>12.240500760000002</v>
      </c>
      <c r="S44" s="55">
        <f t="shared" si="60"/>
        <v>0.22830192000000002</v>
      </c>
      <c r="T44" s="55">
        <f t="shared" si="60"/>
        <v>0.19524296000000002</v>
      </c>
      <c r="U44" s="12">
        <f t="shared" si="60"/>
        <v>0.34329840000000006</v>
      </c>
      <c r="V44" s="55">
        <f t="shared" si="60"/>
        <v>12.158316720000002</v>
      </c>
      <c r="W44" s="55">
        <f t="shared" si="60"/>
        <v>0.18176535999999999</v>
      </c>
      <c r="X44" s="12">
        <f t="shared" si="60"/>
        <v>7.141636720000001</v>
      </c>
      <c r="Y44" s="55">
        <f t="shared" si="60"/>
        <v>0.22940063999999999</v>
      </c>
      <c r="Z44" s="55">
        <f t="shared" si="60"/>
        <v>12.158316720000002</v>
      </c>
      <c r="AA44" s="55" t="e">
        <f t="shared" si="60"/>
        <v>#DIV/0!</v>
      </c>
      <c r="AB44" s="12" t="e">
        <f t="shared" si="60"/>
        <v>#DIV/0!</v>
      </c>
      <c r="AC44" s="55" t="e">
        <f t="shared" si="60"/>
        <v>#DIV/0!</v>
      </c>
      <c r="AD44" s="55" t="e">
        <f t="shared" si="60"/>
        <v>#DIV/0!</v>
      </c>
      <c r="AE44" s="12" t="e">
        <f t="shared" si="60"/>
        <v>#DIV/0!</v>
      </c>
      <c r="AF44" s="55" t="e">
        <f t="shared" si="60"/>
        <v>#DIV/0!</v>
      </c>
      <c r="AG44" s="55" t="e">
        <f t="shared" si="60"/>
        <v>#DIV/0!</v>
      </c>
      <c r="AH44" s="12" t="e">
        <f t="shared" si="60"/>
        <v>#DIV/0!</v>
      </c>
      <c r="AI44" s="55" t="e">
        <f t="shared" ref="AI44:BN44" si="61">AI11/(1+AI18)</f>
        <v>#DIV/0!</v>
      </c>
      <c r="AJ44" s="55" t="e">
        <f t="shared" si="61"/>
        <v>#DIV/0!</v>
      </c>
      <c r="AK44" s="12" t="e">
        <f t="shared" si="61"/>
        <v>#DIV/0!</v>
      </c>
      <c r="AL44" s="55" t="e">
        <f t="shared" si="61"/>
        <v>#DIV/0!</v>
      </c>
      <c r="AM44" s="55" t="e">
        <f t="shared" si="61"/>
        <v>#DIV/0!</v>
      </c>
      <c r="AN44" s="12" t="e">
        <f t="shared" si="61"/>
        <v>#DIV/0!</v>
      </c>
      <c r="AO44" s="55" t="e">
        <f t="shared" si="61"/>
        <v>#DIV/0!</v>
      </c>
      <c r="AP44" s="55" t="e">
        <f t="shared" si="61"/>
        <v>#DIV/0!</v>
      </c>
      <c r="AQ44" s="12" t="e">
        <f t="shared" si="61"/>
        <v>#DIV/0!</v>
      </c>
      <c r="AR44" s="55" t="e">
        <f t="shared" si="61"/>
        <v>#DIV/0!</v>
      </c>
      <c r="AS44" s="55" t="e">
        <f t="shared" si="61"/>
        <v>#DIV/0!</v>
      </c>
      <c r="AT44" s="55" t="e">
        <f t="shared" si="61"/>
        <v>#DIV/0!</v>
      </c>
      <c r="AU44" s="12" t="e">
        <f t="shared" si="61"/>
        <v>#DIV/0!</v>
      </c>
      <c r="AV44" s="55" t="e">
        <f t="shared" si="61"/>
        <v>#DIV/0!</v>
      </c>
      <c r="AW44" s="55" t="e">
        <f t="shared" si="61"/>
        <v>#DIV/0!</v>
      </c>
      <c r="AX44" s="12" t="e">
        <f t="shared" si="61"/>
        <v>#DIV/0!</v>
      </c>
      <c r="AY44" s="55" t="e">
        <f t="shared" si="61"/>
        <v>#DIV/0!</v>
      </c>
      <c r="AZ44" s="55" t="e">
        <f t="shared" si="61"/>
        <v>#DIV/0!</v>
      </c>
      <c r="BA44" s="12" t="e">
        <f t="shared" si="61"/>
        <v>#DIV/0!</v>
      </c>
      <c r="BB44" s="55" t="e">
        <f t="shared" si="61"/>
        <v>#DIV/0!</v>
      </c>
      <c r="BC44" s="55" t="e">
        <f t="shared" si="61"/>
        <v>#DIV/0!</v>
      </c>
      <c r="BD44" s="12" t="e">
        <f t="shared" si="61"/>
        <v>#DIV/0!</v>
      </c>
      <c r="BE44" s="55" t="e">
        <f t="shared" si="61"/>
        <v>#DIV/0!</v>
      </c>
      <c r="BF44" s="55" t="e">
        <f t="shared" si="61"/>
        <v>#DIV/0!</v>
      </c>
      <c r="BG44" s="12" t="e">
        <f t="shared" si="61"/>
        <v>#DIV/0!</v>
      </c>
      <c r="BH44" s="55" t="e">
        <f t="shared" si="61"/>
        <v>#DIV/0!</v>
      </c>
      <c r="BI44" s="55" t="e">
        <f t="shared" si="61"/>
        <v>#DIV/0!</v>
      </c>
      <c r="BJ44" s="12" t="e">
        <f t="shared" si="61"/>
        <v>#DIV/0!</v>
      </c>
      <c r="BK44" s="55" t="e">
        <f t="shared" si="61"/>
        <v>#DIV/0!</v>
      </c>
      <c r="BL44" s="55" t="e">
        <f t="shared" si="61"/>
        <v>#DIV/0!</v>
      </c>
      <c r="BM44" s="55" t="e">
        <f t="shared" si="61"/>
        <v>#DIV/0!</v>
      </c>
      <c r="BN44" s="12" t="e">
        <f t="shared" si="61"/>
        <v>#DIV/0!</v>
      </c>
      <c r="BO44" s="55" t="e">
        <f t="shared" ref="BO44:CT44" si="62">BO11/(1+BO18)</f>
        <v>#DIV/0!</v>
      </c>
      <c r="BP44" s="55" t="e">
        <f t="shared" si="62"/>
        <v>#DIV/0!</v>
      </c>
      <c r="BQ44" s="12" t="e">
        <f t="shared" si="62"/>
        <v>#DIV/0!</v>
      </c>
      <c r="BR44" s="55" t="e">
        <f t="shared" si="62"/>
        <v>#DIV/0!</v>
      </c>
      <c r="BS44" s="55" t="e">
        <f t="shared" si="62"/>
        <v>#DIV/0!</v>
      </c>
      <c r="BT44" s="12" t="e">
        <f t="shared" si="62"/>
        <v>#DIV/0!</v>
      </c>
      <c r="BU44" s="55" t="e">
        <f t="shared" si="62"/>
        <v>#DIV/0!</v>
      </c>
      <c r="BV44" s="55" t="e">
        <f t="shared" si="62"/>
        <v>#DIV/0!</v>
      </c>
      <c r="BW44" s="12" t="e">
        <f t="shared" si="62"/>
        <v>#DIV/0!</v>
      </c>
      <c r="BX44" s="55" t="e">
        <f t="shared" si="62"/>
        <v>#DIV/0!</v>
      </c>
      <c r="BY44" s="55" t="e">
        <f t="shared" si="62"/>
        <v>#DIV/0!</v>
      </c>
      <c r="BZ44" s="12" t="e">
        <f t="shared" si="62"/>
        <v>#DIV/0!</v>
      </c>
      <c r="CA44" s="55" t="e">
        <f t="shared" si="62"/>
        <v>#DIV/0!</v>
      </c>
      <c r="CB44" s="55" t="e">
        <f t="shared" si="62"/>
        <v>#DIV/0!</v>
      </c>
      <c r="CC44" s="12" t="e">
        <f t="shared" si="62"/>
        <v>#DIV/0!</v>
      </c>
      <c r="CD44" s="55" t="e">
        <f t="shared" si="62"/>
        <v>#DIV/0!</v>
      </c>
      <c r="CE44" s="55" t="e">
        <f t="shared" si="62"/>
        <v>#DIV/0!</v>
      </c>
      <c r="CF44" s="55" t="e">
        <f t="shared" si="62"/>
        <v>#DIV/0!</v>
      </c>
      <c r="CG44" s="12" t="e">
        <f t="shared" si="62"/>
        <v>#DIV/0!</v>
      </c>
      <c r="CH44" s="55" t="e">
        <f t="shared" si="62"/>
        <v>#DIV/0!</v>
      </c>
      <c r="CI44" s="55" t="e">
        <f t="shared" si="62"/>
        <v>#DIV/0!</v>
      </c>
      <c r="CJ44" s="12" t="e">
        <f t="shared" si="62"/>
        <v>#DIV/0!</v>
      </c>
      <c r="CK44" s="55" t="e">
        <f t="shared" si="62"/>
        <v>#DIV/0!</v>
      </c>
      <c r="CL44" s="55" t="e">
        <f t="shared" si="62"/>
        <v>#DIV/0!</v>
      </c>
      <c r="CM44" s="12" t="e">
        <f t="shared" si="62"/>
        <v>#DIV/0!</v>
      </c>
      <c r="CN44" s="55" t="e">
        <f t="shared" si="62"/>
        <v>#DIV/0!</v>
      </c>
      <c r="CO44" s="55" t="e">
        <f t="shared" si="62"/>
        <v>#DIV/0!</v>
      </c>
      <c r="CP44" s="12" t="e">
        <f t="shared" si="62"/>
        <v>#DIV/0!</v>
      </c>
      <c r="CQ44" s="55" t="e">
        <f t="shared" si="62"/>
        <v>#DIV/0!</v>
      </c>
      <c r="CR44" s="55" t="e">
        <f t="shared" si="62"/>
        <v>#DIV/0!</v>
      </c>
      <c r="CS44" s="12" t="e">
        <f t="shared" si="62"/>
        <v>#DIV/0!</v>
      </c>
      <c r="CT44" s="55" t="e">
        <f t="shared" si="62"/>
        <v>#DIV/0!</v>
      </c>
      <c r="CU44" s="55" t="e">
        <f t="shared" ref="CU44:DZ44" si="63">CU11/(1+CU18)</f>
        <v>#DIV/0!</v>
      </c>
      <c r="CV44" s="12" t="e">
        <f t="shared" si="63"/>
        <v>#DIV/0!</v>
      </c>
      <c r="CW44" s="55" t="e">
        <f t="shared" si="63"/>
        <v>#DIV/0!</v>
      </c>
      <c r="CX44" s="55" t="e">
        <f t="shared" si="63"/>
        <v>#DIV/0!</v>
      </c>
      <c r="CY44" s="55" t="e">
        <f t="shared" si="63"/>
        <v>#DIV/0!</v>
      </c>
      <c r="CZ44" s="12" t="e">
        <f t="shared" si="63"/>
        <v>#DIV/0!</v>
      </c>
      <c r="DA44" s="55" t="e">
        <f t="shared" si="63"/>
        <v>#DIV/0!</v>
      </c>
      <c r="DB44" s="55" t="e">
        <f t="shared" si="63"/>
        <v>#DIV/0!</v>
      </c>
      <c r="DC44" s="12" t="e">
        <f t="shared" si="63"/>
        <v>#DIV/0!</v>
      </c>
      <c r="DD44" s="55" t="e">
        <f t="shared" si="63"/>
        <v>#DIV/0!</v>
      </c>
      <c r="DE44" s="55" t="e">
        <f t="shared" si="63"/>
        <v>#DIV/0!</v>
      </c>
      <c r="DF44" s="12" t="e">
        <f t="shared" si="63"/>
        <v>#DIV/0!</v>
      </c>
      <c r="DG44" s="55" t="e">
        <f t="shared" si="63"/>
        <v>#DIV/0!</v>
      </c>
      <c r="DH44" s="55" t="e">
        <f t="shared" si="63"/>
        <v>#DIV/0!</v>
      </c>
      <c r="DI44" s="12" t="e">
        <f t="shared" si="63"/>
        <v>#DIV/0!</v>
      </c>
      <c r="DJ44" s="55" t="e">
        <f t="shared" si="63"/>
        <v>#DIV/0!</v>
      </c>
      <c r="DK44" s="55" t="e">
        <f t="shared" si="63"/>
        <v>#DIV/0!</v>
      </c>
      <c r="DL44" s="12" t="e">
        <f t="shared" si="63"/>
        <v>#DIV/0!</v>
      </c>
      <c r="DM44" s="55" t="e">
        <f t="shared" si="63"/>
        <v>#DIV/0!</v>
      </c>
      <c r="DN44" s="55" t="e">
        <f t="shared" si="63"/>
        <v>#DIV/0!</v>
      </c>
      <c r="DO44" s="12" t="e">
        <f t="shared" si="63"/>
        <v>#DIV/0!</v>
      </c>
      <c r="DP44" s="55" t="e">
        <f t="shared" si="63"/>
        <v>#DIV/0!</v>
      </c>
      <c r="DQ44" s="55" t="e">
        <f t="shared" si="63"/>
        <v>#DIV/0!</v>
      </c>
      <c r="DR44" s="55" t="e">
        <f t="shared" si="63"/>
        <v>#DIV/0!</v>
      </c>
      <c r="DS44" s="12" t="e">
        <f t="shared" si="63"/>
        <v>#DIV/0!</v>
      </c>
      <c r="DT44" s="55" t="e">
        <f t="shared" si="63"/>
        <v>#DIV/0!</v>
      </c>
      <c r="DU44" s="55" t="e">
        <f t="shared" si="63"/>
        <v>#DIV/0!</v>
      </c>
      <c r="DV44" s="12" t="e">
        <f t="shared" si="63"/>
        <v>#DIV/0!</v>
      </c>
      <c r="DW44" s="55" t="e">
        <f t="shared" si="63"/>
        <v>#DIV/0!</v>
      </c>
      <c r="DX44" s="55" t="e">
        <f t="shared" si="63"/>
        <v>#DIV/0!</v>
      </c>
      <c r="DY44" s="12" t="e">
        <f t="shared" si="63"/>
        <v>#DIV/0!</v>
      </c>
      <c r="DZ44" s="55" t="e">
        <f t="shared" si="63"/>
        <v>#DIV/0!</v>
      </c>
      <c r="EA44" s="55" t="e">
        <f t="shared" ref="EA44:EJ44" si="64">EA11/(1+EA18)</f>
        <v>#DIV/0!</v>
      </c>
      <c r="EB44" s="12" t="e">
        <f t="shared" si="64"/>
        <v>#DIV/0!</v>
      </c>
      <c r="EC44" s="55" t="e">
        <f t="shared" si="64"/>
        <v>#DIV/0!</v>
      </c>
      <c r="ED44" s="55" t="e">
        <f t="shared" si="64"/>
        <v>#DIV/0!</v>
      </c>
      <c r="EE44" s="12" t="e">
        <f t="shared" si="64"/>
        <v>#DIV/0!</v>
      </c>
      <c r="EF44" s="55" t="e">
        <f t="shared" si="64"/>
        <v>#DIV/0!</v>
      </c>
      <c r="EG44" s="55" t="e">
        <f t="shared" si="64"/>
        <v>#DIV/0!</v>
      </c>
      <c r="EH44" s="12" t="e">
        <f t="shared" si="64"/>
        <v>#DIV/0!</v>
      </c>
      <c r="EI44" s="55" t="e">
        <f t="shared" si="64"/>
        <v>#DIV/0!</v>
      </c>
      <c r="EJ44" s="55" t="e">
        <f t="shared" si="64"/>
        <v>#DIV/0!</v>
      </c>
    </row>
    <row r="45" spans="1:140" x14ac:dyDescent="0.2">
      <c r="A45" s="11" t="s">
        <v>66</v>
      </c>
      <c r="B45" s="12" t="s">
        <v>64</v>
      </c>
      <c r="C45" s="75">
        <f t="shared" ref="C45:AH45" si="65">C36*C44/100</f>
        <v>14.5309977</v>
      </c>
      <c r="D45" s="55">
        <f t="shared" si="65"/>
        <v>16.784467200000005</v>
      </c>
      <c r="E45" s="13">
        <f t="shared" si="65"/>
        <v>20.8818093</v>
      </c>
      <c r="F45" s="12">
        <f t="shared" si="65"/>
        <v>16.6492638</v>
      </c>
      <c r="G45" s="55">
        <f t="shared" si="65"/>
        <v>27.012889050000002</v>
      </c>
      <c r="H45" s="55">
        <f t="shared" si="65"/>
        <v>16.502958899999999</v>
      </c>
      <c r="I45" s="12">
        <f t="shared" si="65"/>
        <v>26.228987399999998</v>
      </c>
      <c r="J45" s="55">
        <f t="shared" si="65"/>
        <v>24.408116250000006</v>
      </c>
      <c r="K45" s="55">
        <f t="shared" si="65"/>
        <v>21.040981500000001</v>
      </c>
      <c r="L45" s="12">
        <f t="shared" si="65"/>
        <v>25.729419150000002</v>
      </c>
      <c r="M45" s="55">
        <f t="shared" si="65"/>
        <v>18.042540000000006</v>
      </c>
      <c r="N45" s="55">
        <f t="shared" si="65"/>
        <v>21.989429550000001</v>
      </c>
      <c r="O45" s="12">
        <f t="shared" si="65"/>
        <v>14.108410800000001</v>
      </c>
      <c r="P45" s="55">
        <f t="shared" si="65"/>
        <v>0.85441365000000002</v>
      </c>
      <c r="Q45" s="55">
        <f t="shared" si="65"/>
        <v>29.146261500000008</v>
      </c>
      <c r="R45" s="12">
        <f t="shared" si="65"/>
        <v>31.056427800000002</v>
      </c>
      <c r="S45" s="55">
        <f t="shared" si="65"/>
        <v>0.63836640000000022</v>
      </c>
      <c r="T45" s="55">
        <f t="shared" si="65"/>
        <v>0.34173315000000004</v>
      </c>
      <c r="U45" s="12">
        <f t="shared" si="65"/>
        <v>0.49068090000000003</v>
      </c>
      <c r="V45" s="55">
        <f t="shared" si="65"/>
        <v>36.125113200000008</v>
      </c>
      <c r="W45" s="55">
        <f t="shared" si="65"/>
        <v>0.30458519999999994</v>
      </c>
      <c r="X45" s="12">
        <f t="shared" si="65"/>
        <v>14.059302900000002</v>
      </c>
      <c r="Y45" s="55">
        <f t="shared" si="65"/>
        <v>0.63821519999999987</v>
      </c>
      <c r="Z45" s="55">
        <f t="shared" si="65"/>
        <v>36.176995800000007</v>
      </c>
      <c r="AA45" s="55" t="e">
        <f t="shared" si="65"/>
        <v>#N/A</v>
      </c>
      <c r="AB45" s="12" t="e">
        <f t="shared" si="65"/>
        <v>#N/A</v>
      </c>
      <c r="AC45" s="55" t="e">
        <f t="shared" si="65"/>
        <v>#N/A</v>
      </c>
      <c r="AD45" s="55" t="e">
        <f t="shared" si="65"/>
        <v>#N/A</v>
      </c>
      <c r="AE45" s="12" t="e">
        <f t="shared" si="65"/>
        <v>#N/A</v>
      </c>
      <c r="AF45" s="55" t="e">
        <f t="shared" si="65"/>
        <v>#N/A</v>
      </c>
      <c r="AG45" s="55" t="e">
        <f t="shared" si="65"/>
        <v>#N/A</v>
      </c>
      <c r="AH45" s="12" t="e">
        <f t="shared" si="65"/>
        <v>#N/A</v>
      </c>
      <c r="AI45" s="55" t="e">
        <f t="shared" ref="AI45:BN45" si="66">AI36*AI44/100</f>
        <v>#N/A</v>
      </c>
      <c r="AJ45" s="55" t="e">
        <f t="shared" si="66"/>
        <v>#N/A</v>
      </c>
      <c r="AK45" s="12" t="e">
        <f t="shared" si="66"/>
        <v>#N/A</v>
      </c>
      <c r="AL45" s="55" t="e">
        <f t="shared" si="66"/>
        <v>#N/A</v>
      </c>
      <c r="AM45" s="55" t="e">
        <f t="shared" si="66"/>
        <v>#N/A</v>
      </c>
      <c r="AN45" s="12" t="e">
        <f t="shared" si="66"/>
        <v>#N/A</v>
      </c>
      <c r="AO45" s="55" t="e">
        <f t="shared" si="66"/>
        <v>#N/A</v>
      </c>
      <c r="AP45" s="55" t="e">
        <f t="shared" si="66"/>
        <v>#N/A</v>
      </c>
      <c r="AQ45" s="12" t="e">
        <f t="shared" si="66"/>
        <v>#N/A</v>
      </c>
      <c r="AR45" s="55" t="e">
        <f t="shared" si="66"/>
        <v>#N/A</v>
      </c>
      <c r="AS45" s="55" t="e">
        <f t="shared" si="66"/>
        <v>#N/A</v>
      </c>
      <c r="AT45" s="55" t="e">
        <f t="shared" si="66"/>
        <v>#N/A</v>
      </c>
      <c r="AU45" s="12" t="e">
        <f t="shared" si="66"/>
        <v>#N/A</v>
      </c>
      <c r="AV45" s="55" t="e">
        <f t="shared" si="66"/>
        <v>#N/A</v>
      </c>
      <c r="AW45" s="55" t="e">
        <f t="shared" si="66"/>
        <v>#N/A</v>
      </c>
      <c r="AX45" s="12" t="e">
        <f t="shared" si="66"/>
        <v>#N/A</v>
      </c>
      <c r="AY45" s="55" t="e">
        <f t="shared" si="66"/>
        <v>#N/A</v>
      </c>
      <c r="AZ45" s="55" t="e">
        <f t="shared" si="66"/>
        <v>#N/A</v>
      </c>
      <c r="BA45" s="12" t="e">
        <f t="shared" si="66"/>
        <v>#N/A</v>
      </c>
      <c r="BB45" s="55" t="e">
        <f t="shared" si="66"/>
        <v>#N/A</v>
      </c>
      <c r="BC45" s="55" t="e">
        <f t="shared" si="66"/>
        <v>#N/A</v>
      </c>
      <c r="BD45" s="12" t="e">
        <f t="shared" si="66"/>
        <v>#N/A</v>
      </c>
      <c r="BE45" s="55" t="e">
        <f t="shared" si="66"/>
        <v>#N/A</v>
      </c>
      <c r="BF45" s="55" t="e">
        <f t="shared" si="66"/>
        <v>#N/A</v>
      </c>
      <c r="BG45" s="12" t="e">
        <f t="shared" si="66"/>
        <v>#N/A</v>
      </c>
      <c r="BH45" s="55" t="e">
        <f t="shared" si="66"/>
        <v>#N/A</v>
      </c>
      <c r="BI45" s="55" t="e">
        <f t="shared" si="66"/>
        <v>#N/A</v>
      </c>
      <c r="BJ45" s="12" t="e">
        <f t="shared" si="66"/>
        <v>#N/A</v>
      </c>
      <c r="BK45" s="55" t="e">
        <f t="shared" si="66"/>
        <v>#N/A</v>
      </c>
      <c r="BL45" s="55" t="e">
        <f t="shared" si="66"/>
        <v>#N/A</v>
      </c>
      <c r="BM45" s="55" t="e">
        <f t="shared" si="66"/>
        <v>#N/A</v>
      </c>
      <c r="BN45" s="12" t="e">
        <f t="shared" si="66"/>
        <v>#N/A</v>
      </c>
      <c r="BO45" s="55" t="e">
        <f t="shared" ref="BO45:CT45" si="67">BO36*BO44/100</f>
        <v>#N/A</v>
      </c>
      <c r="BP45" s="55" t="e">
        <f t="shared" si="67"/>
        <v>#N/A</v>
      </c>
      <c r="BQ45" s="12" t="e">
        <f t="shared" si="67"/>
        <v>#N/A</v>
      </c>
      <c r="BR45" s="55" t="e">
        <f t="shared" si="67"/>
        <v>#N/A</v>
      </c>
      <c r="BS45" s="55" t="e">
        <f t="shared" si="67"/>
        <v>#N/A</v>
      </c>
      <c r="BT45" s="12" t="e">
        <f t="shared" si="67"/>
        <v>#N/A</v>
      </c>
      <c r="BU45" s="55" t="e">
        <f t="shared" si="67"/>
        <v>#N/A</v>
      </c>
      <c r="BV45" s="55" t="e">
        <f t="shared" si="67"/>
        <v>#N/A</v>
      </c>
      <c r="BW45" s="12" t="e">
        <f t="shared" si="67"/>
        <v>#N/A</v>
      </c>
      <c r="BX45" s="55" t="e">
        <f t="shared" si="67"/>
        <v>#N/A</v>
      </c>
      <c r="BY45" s="55" t="e">
        <f t="shared" si="67"/>
        <v>#N/A</v>
      </c>
      <c r="BZ45" s="12" t="e">
        <f t="shared" si="67"/>
        <v>#N/A</v>
      </c>
      <c r="CA45" s="55" t="e">
        <f t="shared" si="67"/>
        <v>#N/A</v>
      </c>
      <c r="CB45" s="55" t="e">
        <f t="shared" si="67"/>
        <v>#N/A</v>
      </c>
      <c r="CC45" s="12" t="e">
        <f t="shared" si="67"/>
        <v>#N/A</v>
      </c>
      <c r="CD45" s="55" t="e">
        <f t="shared" si="67"/>
        <v>#N/A</v>
      </c>
      <c r="CE45" s="55" t="e">
        <f t="shared" si="67"/>
        <v>#N/A</v>
      </c>
      <c r="CF45" s="55" t="e">
        <f t="shared" si="67"/>
        <v>#N/A</v>
      </c>
      <c r="CG45" s="12" t="e">
        <f t="shared" si="67"/>
        <v>#N/A</v>
      </c>
      <c r="CH45" s="55" t="e">
        <f t="shared" si="67"/>
        <v>#N/A</v>
      </c>
      <c r="CI45" s="55" t="e">
        <f t="shared" si="67"/>
        <v>#N/A</v>
      </c>
      <c r="CJ45" s="12" t="e">
        <f t="shared" si="67"/>
        <v>#N/A</v>
      </c>
      <c r="CK45" s="55" t="e">
        <f t="shared" si="67"/>
        <v>#N/A</v>
      </c>
      <c r="CL45" s="55" t="e">
        <f t="shared" si="67"/>
        <v>#N/A</v>
      </c>
      <c r="CM45" s="12" t="e">
        <f t="shared" si="67"/>
        <v>#N/A</v>
      </c>
      <c r="CN45" s="55" t="e">
        <f t="shared" si="67"/>
        <v>#N/A</v>
      </c>
      <c r="CO45" s="55" t="e">
        <f t="shared" si="67"/>
        <v>#N/A</v>
      </c>
      <c r="CP45" s="12" t="e">
        <f t="shared" si="67"/>
        <v>#N/A</v>
      </c>
      <c r="CQ45" s="55" t="e">
        <f t="shared" si="67"/>
        <v>#N/A</v>
      </c>
      <c r="CR45" s="55" t="e">
        <f t="shared" si="67"/>
        <v>#N/A</v>
      </c>
      <c r="CS45" s="12" t="e">
        <f t="shared" si="67"/>
        <v>#N/A</v>
      </c>
      <c r="CT45" s="55" t="e">
        <f t="shared" si="67"/>
        <v>#N/A</v>
      </c>
      <c r="CU45" s="55" t="e">
        <f t="shared" ref="CU45:DZ45" si="68">CU36*CU44/100</f>
        <v>#N/A</v>
      </c>
      <c r="CV45" s="12" t="e">
        <f t="shared" si="68"/>
        <v>#N/A</v>
      </c>
      <c r="CW45" s="55" t="e">
        <f t="shared" si="68"/>
        <v>#N/A</v>
      </c>
      <c r="CX45" s="55" t="e">
        <f t="shared" si="68"/>
        <v>#N/A</v>
      </c>
      <c r="CY45" s="55" t="e">
        <f t="shared" si="68"/>
        <v>#N/A</v>
      </c>
      <c r="CZ45" s="12" t="e">
        <f t="shared" si="68"/>
        <v>#N/A</v>
      </c>
      <c r="DA45" s="55" t="e">
        <f t="shared" si="68"/>
        <v>#N/A</v>
      </c>
      <c r="DB45" s="55" t="e">
        <f t="shared" si="68"/>
        <v>#N/A</v>
      </c>
      <c r="DC45" s="12" t="e">
        <f t="shared" si="68"/>
        <v>#N/A</v>
      </c>
      <c r="DD45" s="55" t="e">
        <f t="shared" si="68"/>
        <v>#N/A</v>
      </c>
      <c r="DE45" s="55" t="e">
        <f t="shared" si="68"/>
        <v>#N/A</v>
      </c>
      <c r="DF45" s="12" t="e">
        <f t="shared" si="68"/>
        <v>#N/A</v>
      </c>
      <c r="DG45" s="55" t="e">
        <f t="shared" si="68"/>
        <v>#N/A</v>
      </c>
      <c r="DH45" s="55" t="e">
        <f t="shared" si="68"/>
        <v>#N/A</v>
      </c>
      <c r="DI45" s="12" t="e">
        <f t="shared" si="68"/>
        <v>#N/A</v>
      </c>
      <c r="DJ45" s="55" t="e">
        <f t="shared" si="68"/>
        <v>#N/A</v>
      </c>
      <c r="DK45" s="55" t="e">
        <f t="shared" si="68"/>
        <v>#N/A</v>
      </c>
      <c r="DL45" s="12" t="e">
        <f t="shared" si="68"/>
        <v>#N/A</v>
      </c>
      <c r="DM45" s="55" t="e">
        <f t="shared" si="68"/>
        <v>#N/A</v>
      </c>
      <c r="DN45" s="55" t="e">
        <f t="shared" si="68"/>
        <v>#N/A</v>
      </c>
      <c r="DO45" s="12" t="e">
        <f t="shared" si="68"/>
        <v>#N/A</v>
      </c>
      <c r="DP45" s="55" t="e">
        <f t="shared" si="68"/>
        <v>#N/A</v>
      </c>
      <c r="DQ45" s="55" t="e">
        <f t="shared" si="68"/>
        <v>#N/A</v>
      </c>
      <c r="DR45" s="55" t="e">
        <f t="shared" si="68"/>
        <v>#N/A</v>
      </c>
      <c r="DS45" s="12" t="e">
        <f t="shared" si="68"/>
        <v>#N/A</v>
      </c>
      <c r="DT45" s="55" t="e">
        <f t="shared" si="68"/>
        <v>#N/A</v>
      </c>
      <c r="DU45" s="55" t="e">
        <f t="shared" si="68"/>
        <v>#N/A</v>
      </c>
      <c r="DV45" s="12" t="e">
        <f t="shared" si="68"/>
        <v>#N/A</v>
      </c>
      <c r="DW45" s="55" t="e">
        <f t="shared" si="68"/>
        <v>#N/A</v>
      </c>
      <c r="DX45" s="55" t="e">
        <f t="shared" si="68"/>
        <v>#N/A</v>
      </c>
      <c r="DY45" s="12" t="e">
        <f t="shared" si="68"/>
        <v>#N/A</v>
      </c>
      <c r="DZ45" s="55" t="e">
        <f t="shared" si="68"/>
        <v>#N/A</v>
      </c>
      <c r="EA45" s="55" t="e">
        <f t="shared" ref="EA45:FF45" si="69">EA36*EA44/100</f>
        <v>#N/A</v>
      </c>
      <c r="EB45" s="12" t="e">
        <f t="shared" si="69"/>
        <v>#N/A</v>
      </c>
      <c r="EC45" s="55" t="e">
        <f t="shared" si="69"/>
        <v>#N/A</v>
      </c>
      <c r="ED45" s="55" t="e">
        <f t="shared" si="69"/>
        <v>#N/A</v>
      </c>
      <c r="EE45" s="12" t="e">
        <f t="shared" si="69"/>
        <v>#N/A</v>
      </c>
      <c r="EF45" s="55" t="e">
        <f t="shared" si="69"/>
        <v>#N/A</v>
      </c>
      <c r="EG45" s="55" t="e">
        <f t="shared" si="69"/>
        <v>#N/A</v>
      </c>
      <c r="EH45" s="12" t="e">
        <f t="shared" si="69"/>
        <v>#N/A</v>
      </c>
      <c r="EI45" s="55" t="e">
        <f t="shared" si="69"/>
        <v>#N/A</v>
      </c>
      <c r="EJ45" s="55" t="e">
        <f t="shared" si="69"/>
        <v>#N/A</v>
      </c>
    </row>
    <row r="46" spans="1:140" x14ac:dyDescent="0.2">
      <c r="G46" s="55"/>
      <c r="H46" s="55"/>
      <c r="J46" s="55"/>
      <c r="K46" s="55"/>
      <c r="M46" s="55"/>
      <c r="N46" s="55"/>
      <c r="P46" s="55"/>
      <c r="Q46" s="55"/>
      <c r="S46" s="55"/>
      <c r="T46" s="55"/>
      <c r="V46" s="55"/>
      <c r="W46" s="55"/>
      <c r="Y46" s="55"/>
      <c r="Z46" s="55"/>
      <c r="AA46" s="55"/>
      <c r="AC46" s="55"/>
      <c r="AD46" s="55"/>
      <c r="AF46" s="55"/>
      <c r="AG46" s="55"/>
      <c r="AI46" s="55"/>
      <c r="AJ46" s="55"/>
      <c r="AL46" s="55"/>
      <c r="AM46" s="55"/>
      <c r="AO46" s="55"/>
      <c r="AP46" s="55"/>
      <c r="AR46" s="55"/>
      <c r="AS46" s="55"/>
      <c r="AT46" s="55"/>
      <c r="AV46" s="55"/>
      <c r="AW46" s="55"/>
      <c r="AY46" s="55"/>
      <c r="AZ46" s="55"/>
      <c r="BB46" s="55"/>
      <c r="BC46" s="55"/>
      <c r="BE46" s="55"/>
      <c r="BF46" s="55"/>
      <c r="BH46" s="55"/>
      <c r="BI46" s="55"/>
      <c r="BK46" s="55"/>
      <c r="BL46" s="55"/>
      <c r="BM46" s="55"/>
      <c r="BO46" s="55"/>
      <c r="BP46" s="55"/>
      <c r="BR46" s="55"/>
      <c r="BS46" s="55"/>
      <c r="BU46" s="55"/>
      <c r="BV46" s="55"/>
      <c r="BX46" s="55"/>
      <c r="BY46" s="55"/>
      <c r="CA46" s="55"/>
      <c r="CB46" s="55"/>
      <c r="CD46" s="55"/>
      <c r="CE46" s="55"/>
      <c r="CF46" s="55"/>
      <c r="CH46" s="55"/>
      <c r="CI46" s="55"/>
      <c r="CK46" s="55"/>
      <c r="CL46" s="55"/>
      <c r="CN46" s="55"/>
      <c r="CO46" s="55"/>
      <c r="CQ46" s="55"/>
      <c r="CR46" s="55"/>
      <c r="CT46" s="55"/>
      <c r="CU46" s="55"/>
      <c r="CW46" s="55"/>
      <c r="CX46" s="55"/>
      <c r="CY46" s="55"/>
      <c r="DA46" s="55"/>
      <c r="DB46" s="55"/>
      <c r="DD46" s="55"/>
      <c r="DE46" s="55"/>
      <c r="DG46" s="55"/>
      <c r="DH46" s="55"/>
      <c r="DJ46" s="55"/>
      <c r="DK46" s="55"/>
      <c r="DM46" s="55"/>
      <c r="DN46" s="55"/>
      <c r="DP46" s="55"/>
      <c r="DQ46" s="55"/>
      <c r="DR46" s="55"/>
      <c r="DT46" s="55"/>
      <c r="DU46" s="55"/>
      <c r="DW46" s="55"/>
      <c r="DX46" s="55"/>
      <c r="DZ46" s="55"/>
      <c r="EA46" s="55"/>
      <c r="EC46" s="55"/>
      <c r="ED46" s="55"/>
      <c r="EF46" s="55"/>
      <c r="EG46" s="55"/>
      <c r="EI46" s="55"/>
      <c r="EJ46" s="55"/>
    </row>
    <row r="47" spans="1:140" x14ac:dyDescent="0.2">
      <c r="A47" s="11" t="s">
        <v>67</v>
      </c>
      <c r="B47" s="12" t="s">
        <v>62</v>
      </c>
      <c r="C47" s="75">
        <f t="shared" ref="C47:AH47" si="70">(100-C11)*C19/(C19+1)</f>
        <v>19.610077380000003</v>
      </c>
      <c r="D47" s="55">
        <f t="shared" si="70"/>
        <v>19.742703199999998</v>
      </c>
      <c r="E47" s="13">
        <f t="shared" si="70"/>
        <v>34.543853399999996</v>
      </c>
      <c r="F47" s="12">
        <f t="shared" si="70"/>
        <v>24.897182099999998</v>
      </c>
      <c r="G47" s="55">
        <f t="shared" si="70"/>
        <v>11.26790022</v>
      </c>
      <c r="H47" s="55">
        <f t="shared" si="70"/>
        <v>36.479596440000002</v>
      </c>
      <c r="I47" s="12">
        <f t="shared" si="70"/>
        <v>12.839919840000004</v>
      </c>
      <c r="J47" s="55">
        <f t="shared" si="70"/>
        <v>16.877196339999994</v>
      </c>
      <c r="K47" s="55">
        <f t="shared" si="70"/>
        <v>20.265127680000003</v>
      </c>
      <c r="L47" s="12">
        <f t="shared" si="70"/>
        <v>25.194350999999997</v>
      </c>
      <c r="M47" s="55">
        <f t="shared" si="70"/>
        <v>62.021578770000005</v>
      </c>
      <c r="N47" s="55">
        <f t="shared" si="70"/>
        <v>61.183985099999994</v>
      </c>
      <c r="O47" s="12">
        <f t="shared" si="70"/>
        <v>48.473187639999999</v>
      </c>
      <c r="P47" s="55">
        <f t="shared" si="70"/>
        <v>48.433362970000005</v>
      </c>
      <c r="Q47" s="55">
        <f t="shared" si="70"/>
        <v>52.621191600000003</v>
      </c>
      <c r="R47" s="12">
        <f t="shared" si="70"/>
        <v>67.337397159999995</v>
      </c>
      <c r="S47" s="55">
        <f t="shared" si="70"/>
        <v>69.517664229999994</v>
      </c>
      <c r="T47" s="55">
        <f t="shared" si="70"/>
        <v>60.505055759999998</v>
      </c>
      <c r="U47" s="12">
        <f t="shared" si="70"/>
        <v>57.1563272</v>
      </c>
      <c r="V47" s="55">
        <f t="shared" si="70"/>
        <v>68.898052960000001</v>
      </c>
      <c r="W47" s="55">
        <f t="shared" si="70"/>
        <v>56.12063543</v>
      </c>
      <c r="X47" s="12">
        <f t="shared" si="70"/>
        <v>57.514032239999992</v>
      </c>
      <c r="Y47" s="55">
        <f t="shared" si="70"/>
        <v>70.756761679999997</v>
      </c>
      <c r="Z47" s="55">
        <f t="shared" si="70"/>
        <v>67.328349880000005</v>
      </c>
      <c r="AA47" s="55" t="e">
        <f t="shared" si="70"/>
        <v>#DIV/0!</v>
      </c>
      <c r="AB47" s="12" t="e">
        <f t="shared" si="70"/>
        <v>#DIV/0!</v>
      </c>
      <c r="AC47" s="55" t="e">
        <f t="shared" si="70"/>
        <v>#DIV/0!</v>
      </c>
      <c r="AD47" s="55" t="e">
        <f t="shared" si="70"/>
        <v>#DIV/0!</v>
      </c>
      <c r="AE47" s="12" t="e">
        <f t="shared" si="70"/>
        <v>#DIV/0!</v>
      </c>
      <c r="AF47" s="55" t="e">
        <f t="shared" si="70"/>
        <v>#DIV/0!</v>
      </c>
      <c r="AG47" s="55" t="e">
        <f t="shared" si="70"/>
        <v>#DIV/0!</v>
      </c>
      <c r="AH47" s="12" t="e">
        <f t="shared" si="70"/>
        <v>#DIV/0!</v>
      </c>
      <c r="AI47" s="55" t="e">
        <f t="shared" ref="AI47:BN47" si="71">(100-AI11)*AI19/(AI19+1)</f>
        <v>#DIV/0!</v>
      </c>
      <c r="AJ47" s="55" t="e">
        <f t="shared" si="71"/>
        <v>#DIV/0!</v>
      </c>
      <c r="AK47" s="12" t="e">
        <f t="shared" si="71"/>
        <v>#DIV/0!</v>
      </c>
      <c r="AL47" s="55" t="e">
        <f t="shared" si="71"/>
        <v>#DIV/0!</v>
      </c>
      <c r="AM47" s="55" t="e">
        <f t="shared" si="71"/>
        <v>#DIV/0!</v>
      </c>
      <c r="AN47" s="12" t="e">
        <f t="shared" si="71"/>
        <v>#DIV/0!</v>
      </c>
      <c r="AO47" s="55" t="e">
        <f t="shared" si="71"/>
        <v>#DIV/0!</v>
      </c>
      <c r="AP47" s="55" t="e">
        <f t="shared" si="71"/>
        <v>#DIV/0!</v>
      </c>
      <c r="AQ47" s="12" t="e">
        <f t="shared" si="71"/>
        <v>#DIV/0!</v>
      </c>
      <c r="AR47" s="55" t="e">
        <f t="shared" si="71"/>
        <v>#DIV/0!</v>
      </c>
      <c r="AS47" s="55" t="e">
        <f t="shared" si="71"/>
        <v>#DIV/0!</v>
      </c>
      <c r="AT47" s="55" t="e">
        <f t="shared" si="71"/>
        <v>#DIV/0!</v>
      </c>
      <c r="AU47" s="12" t="e">
        <f t="shared" si="71"/>
        <v>#DIV/0!</v>
      </c>
      <c r="AV47" s="55" t="e">
        <f t="shared" si="71"/>
        <v>#DIV/0!</v>
      </c>
      <c r="AW47" s="55" t="e">
        <f t="shared" si="71"/>
        <v>#DIV/0!</v>
      </c>
      <c r="AX47" s="12" t="e">
        <f t="shared" si="71"/>
        <v>#DIV/0!</v>
      </c>
      <c r="AY47" s="55" t="e">
        <f t="shared" si="71"/>
        <v>#DIV/0!</v>
      </c>
      <c r="AZ47" s="55" t="e">
        <f t="shared" si="71"/>
        <v>#DIV/0!</v>
      </c>
      <c r="BA47" s="12" t="e">
        <f t="shared" si="71"/>
        <v>#DIV/0!</v>
      </c>
      <c r="BB47" s="55" t="e">
        <f t="shared" si="71"/>
        <v>#DIV/0!</v>
      </c>
      <c r="BC47" s="55" t="e">
        <f t="shared" si="71"/>
        <v>#DIV/0!</v>
      </c>
      <c r="BD47" s="12" t="e">
        <f t="shared" si="71"/>
        <v>#DIV/0!</v>
      </c>
      <c r="BE47" s="55" t="e">
        <f t="shared" si="71"/>
        <v>#DIV/0!</v>
      </c>
      <c r="BF47" s="55" t="e">
        <f t="shared" si="71"/>
        <v>#DIV/0!</v>
      </c>
      <c r="BG47" s="12" t="e">
        <f t="shared" si="71"/>
        <v>#DIV/0!</v>
      </c>
      <c r="BH47" s="55" t="e">
        <f t="shared" si="71"/>
        <v>#DIV/0!</v>
      </c>
      <c r="BI47" s="55" t="e">
        <f t="shared" si="71"/>
        <v>#DIV/0!</v>
      </c>
      <c r="BJ47" s="12" t="e">
        <f t="shared" si="71"/>
        <v>#DIV/0!</v>
      </c>
      <c r="BK47" s="55" t="e">
        <f t="shared" si="71"/>
        <v>#DIV/0!</v>
      </c>
      <c r="BL47" s="55" t="e">
        <f t="shared" si="71"/>
        <v>#DIV/0!</v>
      </c>
      <c r="BM47" s="55" t="e">
        <f t="shared" si="71"/>
        <v>#DIV/0!</v>
      </c>
      <c r="BN47" s="12" t="e">
        <f t="shared" si="71"/>
        <v>#DIV/0!</v>
      </c>
      <c r="BO47" s="55" t="e">
        <f t="shared" ref="BO47:CT47" si="72">(100-BO11)*BO19/(BO19+1)</f>
        <v>#DIV/0!</v>
      </c>
      <c r="BP47" s="55" t="e">
        <f t="shared" si="72"/>
        <v>#DIV/0!</v>
      </c>
      <c r="BQ47" s="12" t="e">
        <f t="shared" si="72"/>
        <v>#DIV/0!</v>
      </c>
      <c r="BR47" s="55" t="e">
        <f t="shared" si="72"/>
        <v>#DIV/0!</v>
      </c>
      <c r="BS47" s="55" t="e">
        <f t="shared" si="72"/>
        <v>#DIV/0!</v>
      </c>
      <c r="BT47" s="12" t="e">
        <f t="shared" si="72"/>
        <v>#DIV/0!</v>
      </c>
      <c r="BU47" s="55" t="e">
        <f t="shared" si="72"/>
        <v>#DIV/0!</v>
      </c>
      <c r="BV47" s="55" t="e">
        <f t="shared" si="72"/>
        <v>#DIV/0!</v>
      </c>
      <c r="BW47" s="12" t="e">
        <f t="shared" si="72"/>
        <v>#DIV/0!</v>
      </c>
      <c r="BX47" s="55" t="e">
        <f t="shared" si="72"/>
        <v>#DIV/0!</v>
      </c>
      <c r="BY47" s="55" t="e">
        <f t="shared" si="72"/>
        <v>#DIV/0!</v>
      </c>
      <c r="BZ47" s="12" t="e">
        <f t="shared" si="72"/>
        <v>#DIV/0!</v>
      </c>
      <c r="CA47" s="55" t="e">
        <f t="shared" si="72"/>
        <v>#DIV/0!</v>
      </c>
      <c r="CB47" s="55" t="e">
        <f t="shared" si="72"/>
        <v>#DIV/0!</v>
      </c>
      <c r="CC47" s="12" t="e">
        <f t="shared" si="72"/>
        <v>#DIV/0!</v>
      </c>
      <c r="CD47" s="55" t="e">
        <f t="shared" si="72"/>
        <v>#DIV/0!</v>
      </c>
      <c r="CE47" s="55" t="e">
        <f t="shared" si="72"/>
        <v>#DIV/0!</v>
      </c>
      <c r="CF47" s="55" t="e">
        <f t="shared" si="72"/>
        <v>#DIV/0!</v>
      </c>
      <c r="CG47" s="12" t="e">
        <f t="shared" si="72"/>
        <v>#DIV/0!</v>
      </c>
      <c r="CH47" s="55" t="e">
        <f t="shared" si="72"/>
        <v>#DIV/0!</v>
      </c>
      <c r="CI47" s="55" t="e">
        <f t="shared" si="72"/>
        <v>#DIV/0!</v>
      </c>
      <c r="CJ47" s="12" t="e">
        <f t="shared" si="72"/>
        <v>#DIV/0!</v>
      </c>
      <c r="CK47" s="55" t="e">
        <f t="shared" si="72"/>
        <v>#DIV/0!</v>
      </c>
      <c r="CL47" s="55" t="e">
        <f t="shared" si="72"/>
        <v>#DIV/0!</v>
      </c>
      <c r="CM47" s="12" t="e">
        <f t="shared" si="72"/>
        <v>#DIV/0!</v>
      </c>
      <c r="CN47" s="55" t="e">
        <f t="shared" si="72"/>
        <v>#DIV/0!</v>
      </c>
      <c r="CO47" s="55" t="e">
        <f t="shared" si="72"/>
        <v>#DIV/0!</v>
      </c>
      <c r="CP47" s="12" t="e">
        <f t="shared" si="72"/>
        <v>#DIV/0!</v>
      </c>
      <c r="CQ47" s="55" t="e">
        <f t="shared" si="72"/>
        <v>#DIV/0!</v>
      </c>
      <c r="CR47" s="55" t="e">
        <f t="shared" si="72"/>
        <v>#DIV/0!</v>
      </c>
      <c r="CS47" s="12" t="e">
        <f t="shared" si="72"/>
        <v>#DIV/0!</v>
      </c>
      <c r="CT47" s="55" t="e">
        <f t="shared" si="72"/>
        <v>#DIV/0!</v>
      </c>
      <c r="CU47" s="55" t="e">
        <f t="shared" ref="CU47:DZ47" si="73">(100-CU11)*CU19/(CU19+1)</f>
        <v>#DIV/0!</v>
      </c>
      <c r="CV47" s="12" t="e">
        <f t="shared" si="73"/>
        <v>#DIV/0!</v>
      </c>
      <c r="CW47" s="55" t="e">
        <f t="shared" si="73"/>
        <v>#DIV/0!</v>
      </c>
      <c r="CX47" s="55" t="e">
        <f t="shared" si="73"/>
        <v>#DIV/0!</v>
      </c>
      <c r="CY47" s="55" t="e">
        <f t="shared" si="73"/>
        <v>#DIV/0!</v>
      </c>
      <c r="CZ47" s="12" t="e">
        <f t="shared" si="73"/>
        <v>#DIV/0!</v>
      </c>
      <c r="DA47" s="55" t="e">
        <f t="shared" si="73"/>
        <v>#DIV/0!</v>
      </c>
      <c r="DB47" s="55" t="e">
        <f t="shared" si="73"/>
        <v>#DIV/0!</v>
      </c>
      <c r="DC47" s="12" t="e">
        <f t="shared" si="73"/>
        <v>#DIV/0!</v>
      </c>
      <c r="DD47" s="55" t="e">
        <f t="shared" si="73"/>
        <v>#DIV/0!</v>
      </c>
      <c r="DE47" s="55" t="e">
        <f t="shared" si="73"/>
        <v>#DIV/0!</v>
      </c>
      <c r="DF47" s="12" t="e">
        <f t="shared" si="73"/>
        <v>#DIV/0!</v>
      </c>
      <c r="DG47" s="55" t="e">
        <f t="shared" si="73"/>
        <v>#DIV/0!</v>
      </c>
      <c r="DH47" s="55" t="e">
        <f t="shared" si="73"/>
        <v>#DIV/0!</v>
      </c>
      <c r="DI47" s="12" t="e">
        <f t="shared" si="73"/>
        <v>#DIV/0!</v>
      </c>
      <c r="DJ47" s="55" t="e">
        <f t="shared" si="73"/>
        <v>#DIV/0!</v>
      </c>
      <c r="DK47" s="55" t="e">
        <f t="shared" si="73"/>
        <v>#DIV/0!</v>
      </c>
      <c r="DL47" s="12" t="e">
        <f t="shared" si="73"/>
        <v>#DIV/0!</v>
      </c>
      <c r="DM47" s="55" t="e">
        <f t="shared" si="73"/>
        <v>#DIV/0!</v>
      </c>
      <c r="DN47" s="55" t="e">
        <f t="shared" si="73"/>
        <v>#DIV/0!</v>
      </c>
      <c r="DO47" s="12" t="e">
        <f t="shared" si="73"/>
        <v>#DIV/0!</v>
      </c>
      <c r="DP47" s="55" t="e">
        <f t="shared" si="73"/>
        <v>#DIV/0!</v>
      </c>
      <c r="DQ47" s="55" t="e">
        <f t="shared" si="73"/>
        <v>#DIV/0!</v>
      </c>
      <c r="DR47" s="55" t="e">
        <f t="shared" si="73"/>
        <v>#DIV/0!</v>
      </c>
      <c r="DS47" s="12" t="e">
        <f t="shared" si="73"/>
        <v>#DIV/0!</v>
      </c>
      <c r="DT47" s="55" t="e">
        <f t="shared" si="73"/>
        <v>#DIV/0!</v>
      </c>
      <c r="DU47" s="55" t="e">
        <f t="shared" si="73"/>
        <v>#DIV/0!</v>
      </c>
      <c r="DV47" s="12" t="e">
        <f t="shared" si="73"/>
        <v>#DIV/0!</v>
      </c>
      <c r="DW47" s="55" t="e">
        <f t="shared" si="73"/>
        <v>#DIV/0!</v>
      </c>
      <c r="DX47" s="55" t="e">
        <f t="shared" si="73"/>
        <v>#DIV/0!</v>
      </c>
      <c r="DY47" s="12" t="e">
        <f t="shared" si="73"/>
        <v>#DIV/0!</v>
      </c>
      <c r="DZ47" s="55" t="e">
        <f t="shared" si="73"/>
        <v>#DIV/0!</v>
      </c>
      <c r="EA47" s="55" t="e">
        <f t="shared" ref="EA47:EJ47" si="74">(100-EA11)*EA19/(EA19+1)</f>
        <v>#DIV/0!</v>
      </c>
      <c r="EB47" s="12" t="e">
        <f t="shared" si="74"/>
        <v>#DIV/0!</v>
      </c>
      <c r="EC47" s="55" t="e">
        <f t="shared" si="74"/>
        <v>#DIV/0!</v>
      </c>
      <c r="ED47" s="55" t="e">
        <f t="shared" si="74"/>
        <v>#DIV/0!</v>
      </c>
      <c r="EE47" s="12" t="e">
        <f t="shared" si="74"/>
        <v>#DIV/0!</v>
      </c>
      <c r="EF47" s="55" t="e">
        <f t="shared" si="74"/>
        <v>#DIV/0!</v>
      </c>
      <c r="EG47" s="55" t="e">
        <f t="shared" si="74"/>
        <v>#DIV/0!</v>
      </c>
      <c r="EH47" s="12" t="e">
        <f t="shared" si="74"/>
        <v>#DIV/0!</v>
      </c>
      <c r="EI47" s="55" t="e">
        <f t="shared" si="74"/>
        <v>#DIV/0!</v>
      </c>
      <c r="EJ47" s="55" t="e">
        <f t="shared" si="74"/>
        <v>#DIV/0!</v>
      </c>
    </row>
    <row r="48" spans="1:140" x14ac:dyDescent="0.2">
      <c r="A48" s="11" t="s">
        <v>68</v>
      </c>
      <c r="B48" s="12" t="s">
        <v>69</v>
      </c>
      <c r="C48" s="75">
        <f t="shared" ref="C48:AH48" si="75">C36*C47/100*C24/10^6</f>
        <v>6.3524576006446969E-3</v>
      </c>
      <c r="D48" s="55">
        <f t="shared" si="75"/>
        <v>6.533532048974916E-3</v>
      </c>
      <c r="E48" s="13">
        <f t="shared" si="75"/>
        <v>1.1977877742922234E-2</v>
      </c>
      <c r="F48" s="12">
        <f t="shared" si="75"/>
        <v>8.6568252142060261E-3</v>
      </c>
      <c r="G48" s="55">
        <f t="shared" si="75"/>
        <v>3.5616166686350125E-3</v>
      </c>
      <c r="H48" s="55">
        <f t="shared" si="75"/>
        <v>1.4050841453127084E-2</v>
      </c>
      <c r="I48" s="12">
        <f t="shared" si="75"/>
        <v>4.3182251031999011E-3</v>
      </c>
      <c r="J48" s="55">
        <f t="shared" si="75"/>
        <v>6.0808904499718586E-3</v>
      </c>
      <c r="K48" s="55">
        <f t="shared" si="75"/>
        <v>7.7750081985137826E-3</v>
      </c>
      <c r="L48" s="12">
        <f t="shared" si="75"/>
        <v>1.0317008666667127E-2</v>
      </c>
      <c r="M48" s="55">
        <f t="shared" si="75"/>
        <v>3.9220005101909192E-2</v>
      </c>
      <c r="N48" s="55">
        <f t="shared" si="75"/>
        <v>4.1281819407154932E-2</v>
      </c>
      <c r="O48" s="12">
        <f t="shared" si="75"/>
        <v>2.9230312507697996E-2</v>
      </c>
      <c r="P48" s="55">
        <f t="shared" si="75"/>
        <v>4.5376036562269399E-2</v>
      </c>
      <c r="Q48" s="55">
        <f t="shared" si="75"/>
        <v>5.1526249042335548E-2</v>
      </c>
      <c r="R48" s="12">
        <f t="shared" si="75"/>
        <v>6.6058871145924139E-2</v>
      </c>
      <c r="S48" s="55">
        <f t="shared" si="75"/>
        <v>7.5158505405035797E-2</v>
      </c>
      <c r="T48" s="55">
        <f t="shared" si="75"/>
        <v>4.0947359319130162E-2</v>
      </c>
      <c r="U48" s="12">
        <f t="shared" si="75"/>
        <v>3.1587422907587343E-2</v>
      </c>
      <c r="V48" s="55">
        <f t="shared" si="75"/>
        <v>7.9152606478334872E-2</v>
      </c>
      <c r="W48" s="55">
        <f t="shared" si="75"/>
        <v>3.6361581414002982E-2</v>
      </c>
      <c r="X48" s="12">
        <f t="shared" si="75"/>
        <v>4.3778649162415875E-2</v>
      </c>
      <c r="Y48" s="55">
        <f t="shared" si="75"/>
        <v>7.6113724487306605E-2</v>
      </c>
      <c r="Z48" s="55">
        <f t="shared" si="75"/>
        <v>7.746036250485365E-2</v>
      </c>
      <c r="AA48" s="55" t="e">
        <f t="shared" si="75"/>
        <v>#N/A</v>
      </c>
      <c r="AB48" s="12" t="e">
        <f t="shared" si="75"/>
        <v>#N/A</v>
      </c>
      <c r="AC48" s="55" t="e">
        <f t="shared" si="75"/>
        <v>#N/A</v>
      </c>
      <c r="AD48" s="55" t="e">
        <f t="shared" si="75"/>
        <v>#N/A</v>
      </c>
      <c r="AE48" s="12" t="e">
        <f t="shared" si="75"/>
        <v>#N/A</v>
      </c>
      <c r="AF48" s="55" t="e">
        <f t="shared" si="75"/>
        <v>#N/A</v>
      </c>
      <c r="AG48" s="55" t="e">
        <f t="shared" si="75"/>
        <v>#N/A</v>
      </c>
      <c r="AH48" s="12" t="e">
        <f t="shared" si="75"/>
        <v>#N/A</v>
      </c>
      <c r="AI48" s="55" t="e">
        <f t="shared" ref="AI48:BN48" si="76">AI36*AI47/100*AI24/10^6</f>
        <v>#N/A</v>
      </c>
      <c r="AJ48" s="55" t="e">
        <f t="shared" si="76"/>
        <v>#N/A</v>
      </c>
      <c r="AK48" s="12" t="e">
        <f t="shared" si="76"/>
        <v>#N/A</v>
      </c>
      <c r="AL48" s="55" t="e">
        <f t="shared" si="76"/>
        <v>#N/A</v>
      </c>
      <c r="AM48" s="55" t="e">
        <f t="shared" si="76"/>
        <v>#N/A</v>
      </c>
      <c r="AN48" s="12" t="e">
        <f t="shared" si="76"/>
        <v>#N/A</v>
      </c>
      <c r="AO48" s="55" t="e">
        <f t="shared" si="76"/>
        <v>#N/A</v>
      </c>
      <c r="AP48" s="55" t="e">
        <f t="shared" si="76"/>
        <v>#N/A</v>
      </c>
      <c r="AQ48" s="12" t="e">
        <f t="shared" si="76"/>
        <v>#N/A</v>
      </c>
      <c r="AR48" s="55" t="e">
        <f t="shared" si="76"/>
        <v>#N/A</v>
      </c>
      <c r="AS48" s="55" t="e">
        <f t="shared" si="76"/>
        <v>#N/A</v>
      </c>
      <c r="AT48" s="55" t="e">
        <f t="shared" si="76"/>
        <v>#N/A</v>
      </c>
      <c r="AU48" s="12" t="e">
        <f t="shared" si="76"/>
        <v>#N/A</v>
      </c>
      <c r="AV48" s="55" t="e">
        <f t="shared" si="76"/>
        <v>#N/A</v>
      </c>
      <c r="AW48" s="55" t="e">
        <f t="shared" si="76"/>
        <v>#N/A</v>
      </c>
      <c r="AX48" s="12" t="e">
        <f t="shared" si="76"/>
        <v>#N/A</v>
      </c>
      <c r="AY48" s="55" t="e">
        <f t="shared" si="76"/>
        <v>#N/A</v>
      </c>
      <c r="AZ48" s="55" t="e">
        <f t="shared" si="76"/>
        <v>#N/A</v>
      </c>
      <c r="BA48" s="12" t="e">
        <f t="shared" si="76"/>
        <v>#N/A</v>
      </c>
      <c r="BB48" s="55" t="e">
        <f t="shared" si="76"/>
        <v>#N/A</v>
      </c>
      <c r="BC48" s="55" t="e">
        <f t="shared" si="76"/>
        <v>#N/A</v>
      </c>
      <c r="BD48" s="12" t="e">
        <f t="shared" si="76"/>
        <v>#N/A</v>
      </c>
      <c r="BE48" s="55" t="e">
        <f t="shared" si="76"/>
        <v>#N/A</v>
      </c>
      <c r="BF48" s="55" t="e">
        <f t="shared" si="76"/>
        <v>#N/A</v>
      </c>
      <c r="BG48" s="12" t="e">
        <f t="shared" si="76"/>
        <v>#N/A</v>
      </c>
      <c r="BH48" s="55" t="e">
        <f t="shared" si="76"/>
        <v>#N/A</v>
      </c>
      <c r="BI48" s="55" t="e">
        <f t="shared" si="76"/>
        <v>#N/A</v>
      </c>
      <c r="BJ48" s="12" t="e">
        <f t="shared" si="76"/>
        <v>#N/A</v>
      </c>
      <c r="BK48" s="55" t="e">
        <f t="shared" si="76"/>
        <v>#N/A</v>
      </c>
      <c r="BL48" s="55" t="e">
        <f t="shared" si="76"/>
        <v>#N/A</v>
      </c>
      <c r="BM48" s="55" t="e">
        <f t="shared" si="76"/>
        <v>#N/A</v>
      </c>
      <c r="BN48" s="12" t="e">
        <f t="shared" si="76"/>
        <v>#N/A</v>
      </c>
      <c r="BO48" s="55" t="e">
        <f t="shared" ref="BO48:CT48" si="77">BO36*BO47/100*BO24/10^6</f>
        <v>#N/A</v>
      </c>
      <c r="BP48" s="55" t="e">
        <f t="shared" si="77"/>
        <v>#N/A</v>
      </c>
      <c r="BQ48" s="12" t="e">
        <f t="shared" si="77"/>
        <v>#N/A</v>
      </c>
      <c r="BR48" s="55" t="e">
        <f t="shared" si="77"/>
        <v>#N/A</v>
      </c>
      <c r="BS48" s="55" t="e">
        <f t="shared" si="77"/>
        <v>#N/A</v>
      </c>
      <c r="BT48" s="12" t="e">
        <f t="shared" si="77"/>
        <v>#N/A</v>
      </c>
      <c r="BU48" s="55" t="e">
        <f t="shared" si="77"/>
        <v>#N/A</v>
      </c>
      <c r="BV48" s="55" t="e">
        <f t="shared" si="77"/>
        <v>#N/A</v>
      </c>
      <c r="BW48" s="12" t="e">
        <f t="shared" si="77"/>
        <v>#N/A</v>
      </c>
      <c r="BX48" s="55" t="e">
        <f t="shared" si="77"/>
        <v>#N/A</v>
      </c>
      <c r="BY48" s="55" t="e">
        <f t="shared" si="77"/>
        <v>#N/A</v>
      </c>
      <c r="BZ48" s="12" t="e">
        <f t="shared" si="77"/>
        <v>#N/A</v>
      </c>
      <c r="CA48" s="55" t="e">
        <f t="shared" si="77"/>
        <v>#N/A</v>
      </c>
      <c r="CB48" s="55" t="e">
        <f t="shared" si="77"/>
        <v>#N/A</v>
      </c>
      <c r="CC48" s="12" t="e">
        <f t="shared" si="77"/>
        <v>#N/A</v>
      </c>
      <c r="CD48" s="55" t="e">
        <f t="shared" si="77"/>
        <v>#N/A</v>
      </c>
      <c r="CE48" s="55" t="e">
        <f t="shared" si="77"/>
        <v>#N/A</v>
      </c>
      <c r="CF48" s="55" t="e">
        <f t="shared" si="77"/>
        <v>#N/A</v>
      </c>
      <c r="CG48" s="12" t="e">
        <f t="shared" si="77"/>
        <v>#N/A</v>
      </c>
      <c r="CH48" s="55" t="e">
        <f t="shared" si="77"/>
        <v>#N/A</v>
      </c>
      <c r="CI48" s="55" t="e">
        <f t="shared" si="77"/>
        <v>#N/A</v>
      </c>
      <c r="CJ48" s="12" t="e">
        <f t="shared" si="77"/>
        <v>#N/A</v>
      </c>
      <c r="CK48" s="55" t="e">
        <f t="shared" si="77"/>
        <v>#N/A</v>
      </c>
      <c r="CL48" s="55" t="e">
        <f t="shared" si="77"/>
        <v>#N/A</v>
      </c>
      <c r="CM48" s="12" t="e">
        <f t="shared" si="77"/>
        <v>#N/A</v>
      </c>
      <c r="CN48" s="55" t="e">
        <f t="shared" si="77"/>
        <v>#N/A</v>
      </c>
      <c r="CO48" s="55" t="e">
        <f t="shared" si="77"/>
        <v>#N/A</v>
      </c>
      <c r="CP48" s="12" t="e">
        <f t="shared" si="77"/>
        <v>#N/A</v>
      </c>
      <c r="CQ48" s="55" t="e">
        <f t="shared" si="77"/>
        <v>#N/A</v>
      </c>
      <c r="CR48" s="55" t="e">
        <f t="shared" si="77"/>
        <v>#N/A</v>
      </c>
      <c r="CS48" s="12" t="e">
        <f t="shared" si="77"/>
        <v>#N/A</v>
      </c>
      <c r="CT48" s="55" t="e">
        <f t="shared" si="77"/>
        <v>#N/A</v>
      </c>
      <c r="CU48" s="55" t="e">
        <f t="shared" ref="CU48:DZ48" si="78">CU36*CU47/100*CU24/10^6</f>
        <v>#N/A</v>
      </c>
      <c r="CV48" s="12" t="e">
        <f t="shared" si="78"/>
        <v>#N/A</v>
      </c>
      <c r="CW48" s="55" t="e">
        <f t="shared" si="78"/>
        <v>#N/A</v>
      </c>
      <c r="CX48" s="55" t="e">
        <f t="shared" si="78"/>
        <v>#N/A</v>
      </c>
      <c r="CY48" s="55" t="e">
        <f t="shared" si="78"/>
        <v>#N/A</v>
      </c>
      <c r="CZ48" s="12" t="e">
        <f t="shared" si="78"/>
        <v>#N/A</v>
      </c>
      <c r="DA48" s="55" t="e">
        <f t="shared" si="78"/>
        <v>#N/A</v>
      </c>
      <c r="DB48" s="55" t="e">
        <f t="shared" si="78"/>
        <v>#N/A</v>
      </c>
      <c r="DC48" s="12" t="e">
        <f t="shared" si="78"/>
        <v>#N/A</v>
      </c>
      <c r="DD48" s="55" t="e">
        <f t="shared" si="78"/>
        <v>#N/A</v>
      </c>
      <c r="DE48" s="55" t="e">
        <f t="shared" si="78"/>
        <v>#N/A</v>
      </c>
      <c r="DF48" s="12" t="e">
        <f t="shared" si="78"/>
        <v>#N/A</v>
      </c>
      <c r="DG48" s="55" t="e">
        <f t="shared" si="78"/>
        <v>#N/A</v>
      </c>
      <c r="DH48" s="55" t="e">
        <f t="shared" si="78"/>
        <v>#N/A</v>
      </c>
      <c r="DI48" s="12" t="e">
        <f t="shared" si="78"/>
        <v>#N/A</v>
      </c>
      <c r="DJ48" s="55" t="e">
        <f t="shared" si="78"/>
        <v>#N/A</v>
      </c>
      <c r="DK48" s="55" t="e">
        <f t="shared" si="78"/>
        <v>#N/A</v>
      </c>
      <c r="DL48" s="12" t="e">
        <f t="shared" si="78"/>
        <v>#N/A</v>
      </c>
      <c r="DM48" s="55" t="e">
        <f t="shared" si="78"/>
        <v>#N/A</v>
      </c>
      <c r="DN48" s="55" t="e">
        <f t="shared" si="78"/>
        <v>#N/A</v>
      </c>
      <c r="DO48" s="12" t="e">
        <f t="shared" si="78"/>
        <v>#N/A</v>
      </c>
      <c r="DP48" s="55" t="e">
        <f t="shared" si="78"/>
        <v>#N/A</v>
      </c>
      <c r="DQ48" s="55" t="e">
        <f t="shared" si="78"/>
        <v>#N/A</v>
      </c>
      <c r="DR48" s="55" t="e">
        <f t="shared" si="78"/>
        <v>#N/A</v>
      </c>
      <c r="DS48" s="12" t="e">
        <f t="shared" si="78"/>
        <v>#N/A</v>
      </c>
      <c r="DT48" s="55" t="e">
        <f t="shared" si="78"/>
        <v>#N/A</v>
      </c>
      <c r="DU48" s="55" t="e">
        <f t="shared" si="78"/>
        <v>#N/A</v>
      </c>
      <c r="DV48" s="12" t="e">
        <f t="shared" si="78"/>
        <v>#N/A</v>
      </c>
      <c r="DW48" s="55" t="e">
        <f t="shared" si="78"/>
        <v>#N/A</v>
      </c>
      <c r="DX48" s="55" t="e">
        <f t="shared" si="78"/>
        <v>#N/A</v>
      </c>
      <c r="DY48" s="12" t="e">
        <f t="shared" si="78"/>
        <v>#N/A</v>
      </c>
      <c r="DZ48" s="55" t="e">
        <f t="shared" si="78"/>
        <v>#N/A</v>
      </c>
      <c r="EA48" s="55" t="e">
        <f t="shared" ref="EA48:FF48" si="79">EA36*EA47/100*EA24/10^6</f>
        <v>#N/A</v>
      </c>
      <c r="EB48" s="12" t="e">
        <f t="shared" si="79"/>
        <v>#N/A</v>
      </c>
      <c r="EC48" s="55" t="e">
        <f t="shared" si="79"/>
        <v>#N/A</v>
      </c>
      <c r="ED48" s="55" t="e">
        <f t="shared" si="79"/>
        <v>#N/A</v>
      </c>
      <c r="EE48" s="12" t="e">
        <f t="shared" si="79"/>
        <v>#N/A</v>
      </c>
      <c r="EF48" s="55" t="e">
        <f t="shared" si="79"/>
        <v>#N/A</v>
      </c>
      <c r="EG48" s="55" t="e">
        <f t="shared" si="79"/>
        <v>#N/A</v>
      </c>
      <c r="EH48" s="12" t="e">
        <f t="shared" si="79"/>
        <v>#N/A</v>
      </c>
      <c r="EI48" s="55" t="e">
        <f t="shared" si="79"/>
        <v>#N/A</v>
      </c>
      <c r="EJ48" s="55" t="e">
        <f t="shared" si="79"/>
        <v>#N/A</v>
      </c>
    </row>
    <row r="49" spans="1:140" x14ac:dyDescent="0.2">
      <c r="G49" s="55"/>
      <c r="H49" s="55"/>
      <c r="J49" s="55"/>
      <c r="K49" s="55"/>
      <c r="M49" s="55"/>
      <c r="N49" s="55"/>
      <c r="P49" s="55"/>
      <c r="Q49" s="55"/>
      <c r="S49" s="55"/>
      <c r="T49" s="55"/>
      <c r="V49" s="55"/>
      <c r="W49" s="55"/>
      <c r="Y49" s="55"/>
      <c r="Z49" s="55"/>
      <c r="AA49" s="55"/>
      <c r="AC49" s="55"/>
      <c r="AD49" s="55"/>
      <c r="AF49" s="55"/>
      <c r="AG49" s="55"/>
      <c r="AI49" s="55"/>
      <c r="AJ49" s="55"/>
      <c r="AL49" s="55"/>
      <c r="AM49" s="55"/>
      <c r="AO49" s="55"/>
      <c r="AP49" s="55"/>
      <c r="AR49" s="55"/>
      <c r="AS49" s="55"/>
      <c r="AT49" s="55"/>
      <c r="AV49" s="55"/>
      <c r="AW49" s="55"/>
      <c r="AY49" s="55"/>
      <c r="AZ49" s="55"/>
      <c r="BB49" s="55"/>
      <c r="BC49" s="55"/>
      <c r="BE49" s="55"/>
      <c r="BF49" s="55"/>
      <c r="BH49" s="55"/>
      <c r="BI49" s="55"/>
      <c r="BK49" s="55"/>
      <c r="BL49" s="55"/>
      <c r="BM49" s="55"/>
      <c r="BO49" s="55"/>
      <c r="BP49" s="55"/>
      <c r="BR49" s="55"/>
      <c r="BS49" s="55"/>
      <c r="BU49" s="55"/>
      <c r="BV49" s="55"/>
      <c r="BX49" s="55"/>
      <c r="BY49" s="55"/>
      <c r="CA49" s="55"/>
      <c r="CB49" s="55"/>
      <c r="CD49" s="55"/>
      <c r="CE49" s="55"/>
      <c r="CF49" s="55"/>
      <c r="CH49" s="55"/>
      <c r="CI49" s="55"/>
      <c r="CK49" s="55"/>
      <c r="CL49" s="55"/>
      <c r="CN49" s="55"/>
      <c r="CO49" s="55"/>
      <c r="CQ49" s="55"/>
      <c r="CR49" s="55"/>
      <c r="CT49" s="55"/>
      <c r="CU49" s="55"/>
      <c r="CW49" s="55"/>
      <c r="CX49" s="55"/>
      <c r="CY49" s="55"/>
      <c r="DA49" s="55"/>
      <c r="DB49" s="55"/>
      <c r="DD49" s="55"/>
      <c r="DE49" s="55"/>
      <c r="DG49" s="55"/>
      <c r="DH49" s="55"/>
      <c r="DJ49" s="55"/>
      <c r="DK49" s="55"/>
      <c r="DM49" s="55"/>
      <c r="DN49" s="55"/>
      <c r="DP49" s="55"/>
      <c r="DQ49" s="55"/>
      <c r="DR49" s="55"/>
      <c r="DT49" s="55"/>
      <c r="DU49" s="55"/>
      <c r="DW49" s="55"/>
      <c r="DX49" s="55"/>
      <c r="DZ49" s="55"/>
      <c r="EA49" s="55"/>
      <c r="EC49" s="55"/>
      <c r="ED49" s="55"/>
      <c r="EF49" s="55"/>
      <c r="EG49" s="55"/>
      <c r="EI49" s="55"/>
      <c r="EJ49" s="55"/>
    </row>
    <row r="50" spans="1:140" x14ac:dyDescent="0.2">
      <c r="A50" s="11" t="s">
        <v>70</v>
      </c>
      <c r="B50" s="12" t="s">
        <v>62</v>
      </c>
      <c r="C50" s="75">
        <f t="shared" ref="C50:AH50" si="80">(100-C11)/(C19+1)</f>
        <v>1.2719226200000002</v>
      </c>
      <c r="D50" s="55">
        <f t="shared" si="80"/>
        <v>1.4622967999999996</v>
      </c>
      <c r="E50" s="13">
        <f t="shared" si="80"/>
        <v>1.7951466000000003</v>
      </c>
      <c r="F50" s="12">
        <f t="shared" si="80"/>
        <v>1.9928178999999999</v>
      </c>
      <c r="G50" s="55">
        <f t="shared" si="80"/>
        <v>1.00609978</v>
      </c>
      <c r="H50" s="55">
        <f t="shared" si="80"/>
        <v>3.0784035600000004</v>
      </c>
      <c r="I50" s="12">
        <f t="shared" si="80"/>
        <v>0.89908016000000013</v>
      </c>
      <c r="J50" s="55">
        <f t="shared" si="80"/>
        <v>1.2048036599999996</v>
      </c>
      <c r="K50" s="55">
        <f t="shared" si="80"/>
        <v>1.74687232</v>
      </c>
      <c r="L50" s="12">
        <f t="shared" si="80"/>
        <v>2.1056490000000001</v>
      </c>
      <c r="M50" s="55">
        <f t="shared" si="80"/>
        <v>4.7494212300000003</v>
      </c>
      <c r="N50" s="55">
        <f t="shared" si="80"/>
        <v>4.6300148999999999</v>
      </c>
      <c r="O50" s="12">
        <f t="shared" si="80"/>
        <v>4.5528123600000008</v>
      </c>
      <c r="P50" s="55">
        <f t="shared" si="80"/>
        <v>27.627637029999999</v>
      </c>
      <c r="Q50" s="55">
        <f t="shared" si="80"/>
        <v>24.438808399999999</v>
      </c>
      <c r="R50" s="12">
        <f t="shared" si="80"/>
        <v>8.05660284</v>
      </c>
      <c r="S50" s="55">
        <f t="shared" si="80"/>
        <v>7.8333357700000006</v>
      </c>
      <c r="T50" s="55">
        <f t="shared" si="80"/>
        <v>2.4469442399999997</v>
      </c>
      <c r="U50" s="12">
        <f t="shared" si="80"/>
        <v>5.2836728000000006</v>
      </c>
      <c r="V50" s="55">
        <f t="shared" si="80"/>
        <v>6.4959470400000008</v>
      </c>
      <c r="W50" s="55">
        <f t="shared" si="80"/>
        <v>6.6323645700000009</v>
      </c>
      <c r="X50" s="12">
        <f t="shared" si="80"/>
        <v>5.4019677600000007</v>
      </c>
      <c r="Y50" s="55">
        <f t="shared" si="80"/>
        <v>6.4852383200000006</v>
      </c>
      <c r="Z50" s="55">
        <f t="shared" si="80"/>
        <v>8.0656501200000008</v>
      </c>
      <c r="AA50" s="55" t="e">
        <f t="shared" si="80"/>
        <v>#DIV/0!</v>
      </c>
      <c r="AB50" s="12" t="e">
        <f t="shared" si="80"/>
        <v>#DIV/0!</v>
      </c>
      <c r="AC50" s="55" t="e">
        <f t="shared" si="80"/>
        <v>#DIV/0!</v>
      </c>
      <c r="AD50" s="55" t="e">
        <f t="shared" si="80"/>
        <v>#DIV/0!</v>
      </c>
      <c r="AE50" s="12" t="e">
        <f t="shared" si="80"/>
        <v>#DIV/0!</v>
      </c>
      <c r="AF50" s="55" t="e">
        <f t="shared" si="80"/>
        <v>#DIV/0!</v>
      </c>
      <c r="AG50" s="55" t="e">
        <f t="shared" si="80"/>
        <v>#DIV/0!</v>
      </c>
      <c r="AH50" s="12" t="e">
        <f t="shared" si="80"/>
        <v>#DIV/0!</v>
      </c>
      <c r="AI50" s="55" t="e">
        <f t="shared" ref="AI50:BN50" si="81">(100-AI11)/(AI19+1)</f>
        <v>#DIV/0!</v>
      </c>
      <c r="AJ50" s="55" t="e">
        <f t="shared" si="81"/>
        <v>#DIV/0!</v>
      </c>
      <c r="AK50" s="12" t="e">
        <f t="shared" si="81"/>
        <v>#DIV/0!</v>
      </c>
      <c r="AL50" s="55" t="e">
        <f t="shared" si="81"/>
        <v>#DIV/0!</v>
      </c>
      <c r="AM50" s="55" t="e">
        <f t="shared" si="81"/>
        <v>#DIV/0!</v>
      </c>
      <c r="AN50" s="12" t="e">
        <f t="shared" si="81"/>
        <v>#DIV/0!</v>
      </c>
      <c r="AO50" s="55" t="e">
        <f t="shared" si="81"/>
        <v>#DIV/0!</v>
      </c>
      <c r="AP50" s="55" t="e">
        <f t="shared" si="81"/>
        <v>#DIV/0!</v>
      </c>
      <c r="AQ50" s="12" t="e">
        <f t="shared" si="81"/>
        <v>#DIV/0!</v>
      </c>
      <c r="AR50" s="55" t="e">
        <f t="shared" si="81"/>
        <v>#DIV/0!</v>
      </c>
      <c r="AS50" s="55" t="e">
        <f t="shared" si="81"/>
        <v>#DIV/0!</v>
      </c>
      <c r="AT50" s="55" t="e">
        <f t="shared" si="81"/>
        <v>#DIV/0!</v>
      </c>
      <c r="AU50" s="12" t="e">
        <f t="shared" si="81"/>
        <v>#DIV/0!</v>
      </c>
      <c r="AV50" s="55" t="e">
        <f t="shared" si="81"/>
        <v>#DIV/0!</v>
      </c>
      <c r="AW50" s="55" t="e">
        <f t="shared" si="81"/>
        <v>#DIV/0!</v>
      </c>
      <c r="AX50" s="12" t="e">
        <f t="shared" si="81"/>
        <v>#DIV/0!</v>
      </c>
      <c r="AY50" s="55" t="e">
        <f t="shared" si="81"/>
        <v>#DIV/0!</v>
      </c>
      <c r="AZ50" s="55" t="e">
        <f t="shared" si="81"/>
        <v>#DIV/0!</v>
      </c>
      <c r="BA50" s="12" t="e">
        <f t="shared" si="81"/>
        <v>#DIV/0!</v>
      </c>
      <c r="BB50" s="55" t="e">
        <f t="shared" si="81"/>
        <v>#DIV/0!</v>
      </c>
      <c r="BC50" s="55" t="e">
        <f t="shared" si="81"/>
        <v>#DIV/0!</v>
      </c>
      <c r="BD50" s="12" t="e">
        <f t="shared" si="81"/>
        <v>#DIV/0!</v>
      </c>
      <c r="BE50" s="55" t="e">
        <f t="shared" si="81"/>
        <v>#DIV/0!</v>
      </c>
      <c r="BF50" s="55" t="e">
        <f t="shared" si="81"/>
        <v>#DIV/0!</v>
      </c>
      <c r="BG50" s="12" t="e">
        <f t="shared" si="81"/>
        <v>#DIV/0!</v>
      </c>
      <c r="BH50" s="55" t="e">
        <f t="shared" si="81"/>
        <v>#DIV/0!</v>
      </c>
      <c r="BI50" s="55" t="e">
        <f t="shared" si="81"/>
        <v>#DIV/0!</v>
      </c>
      <c r="BJ50" s="12" t="e">
        <f t="shared" si="81"/>
        <v>#DIV/0!</v>
      </c>
      <c r="BK50" s="55" t="e">
        <f t="shared" si="81"/>
        <v>#DIV/0!</v>
      </c>
      <c r="BL50" s="55" t="e">
        <f t="shared" si="81"/>
        <v>#DIV/0!</v>
      </c>
      <c r="BM50" s="55" t="e">
        <f t="shared" si="81"/>
        <v>#DIV/0!</v>
      </c>
      <c r="BN50" s="12" t="e">
        <f t="shared" si="81"/>
        <v>#DIV/0!</v>
      </c>
      <c r="BO50" s="55" t="e">
        <f t="shared" ref="BO50:CT50" si="82">(100-BO11)/(BO19+1)</f>
        <v>#DIV/0!</v>
      </c>
      <c r="BP50" s="55" t="e">
        <f t="shared" si="82"/>
        <v>#DIV/0!</v>
      </c>
      <c r="BQ50" s="12" t="e">
        <f t="shared" si="82"/>
        <v>#DIV/0!</v>
      </c>
      <c r="BR50" s="55" t="e">
        <f t="shared" si="82"/>
        <v>#DIV/0!</v>
      </c>
      <c r="BS50" s="55" t="e">
        <f t="shared" si="82"/>
        <v>#DIV/0!</v>
      </c>
      <c r="BT50" s="12" t="e">
        <f t="shared" si="82"/>
        <v>#DIV/0!</v>
      </c>
      <c r="BU50" s="55" t="e">
        <f t="shared" si="82"/>
        <v>#DIV/0!</v>
      </c>
      <c r="BV50" s="55" t="e">
        <f t="shared" si="82"/>
        <v>#DIV/0!</v>
      </c>
      <c r="BW50" s="12" t="e">
        <f t="shared" si="82"/>
        <v>#DIV/0!</v>
      </c>
      <c r="BX50" s="55" t="e">
        <f t="shared" si="82"/>
        <v>#DIV/0!</v>
      </c>
      <c r="BY50" s="55" t="e">
        <f t="shared" si="82"/>
        <v>#DIV/0!</v>
      </c>
      <c r="BZ50" s="12" t="e">
        <f t="shared" si="82"/>
        <v>#DIV/0!</v>
      </c>
      <c r="CA50" s="55" t="e">
        <f t="shared" si="82"/>
        <v>#DIV/0!</v>
      </c>
      <c r="CB50" s="55" t="e">
        <f t="shared" si="82"/>
        <v>#DIV/0!</v>
      </c>
      <c r="CC50" s="12" t="e">
        <f t="shared" si="82"/>
        <v>#DIV/0!</v>
      </c>
      <c r="CD50" s="55" t="e">
        <f t="shared" si="82"/>
        <v>#DIV/0!</v>
      </c>
      <c r="CE50" s="55" t="e">
        <f t="shared" si="82"/>
        <v>#DIV/0!</v>
      </c>
      <c r="CF50" s="55" t="e">
        <f t="shared" si="82"/>
        <v>#DIV/0!</v>
      </c>
      <c r="CG50" s="12" t="e">
        <f t="shared" si="82"/>
        <v>#DIV/0!</v>
      </c>
      <c r="CH50" s="55" t="e">
        <f t="shared" si="82"/>
        <v>#DIV/0!</v>
      </c>
      <c r="CI50" s="55" t="e">
        <f t="shared" si="82"/>
        <v>#DIV/0!</v>
      </c>
      <c r="CJ50" s="12" t="e">
        <f t="shared" si="82"/>
        <v>#DIV/0!</v>
      </c>
      <c r="CK50" s="55" t="e">
        <f t="shared" si="82"/>
        <v>#DIV/0!</v>
      </c>
      <c r="CL50" s="55" t="e">
        <f t="shared" si="82"/>
        <v>#DIV/0!</v>
      </c>
      <c r="CM50" s="12" t="e">
        <f t="shared" si="82"/>
        <v>#DIV/0!</v>
      </c>
      <c r="CN50" s="55" t="e">
        <f t="shared" si="82"/>
        <v>#DIV/0!</v>
      </c>
      <c r="CO50" s="55" t="e">
        <f t="shared" si="82"/>
        <v>#DIV/0!</v>
      </c>
      <c r="CP50" s="12" t="e">
        <f t="shared" si="82"/>
        <v>#DIV/0!</v>
      </c>
      <c r="CQ50" s="55" t="e">
        <f t="shared" si="82"/>
        <v>#DIV/0!</v>
      </c>
      <c r="CR50" s="55" t="e">
        <f t="shared" si="82"/>
        <v>#DIV/0!</v>
      </c>
      <c r="CS50" s="12" t="e">
        <f t="shared" si="82"/>
        <v>#DIV/0!</v>
      </c>
      <c r="CT50" s="55" t="e">
        <f t="shared" si="82"/>
        <v>#DIV/0!</v>
      </c>
      <c r="CU50" s="55" t="e">
        <f t="shared" ref="CU50:DZ50" si="83">(100-CU11)/(CU19+1)</f>
        <v>#DIV/0!</v>
      </c>
      <c r="CV50" s="12" t="e">
        <f t="shared" si="83"/>
        <v>#DIV/0!</v>
      </c>
      <c r="CW50" s="55" t="e">
        <f t="shared" si="83"/>
        <v>#DIV/0!</v>
      </c>
      <c r="CX50" s="55" t="e">
        <f t="shared" si="83"/>
        <v>#DIV/0!</v>
      </c>
      <c r="CY50" s="55" t="e">
        <f t="shared" si="83"/>
        <v>#DIV/0!</v>
      </c>
      <c r="CZ50" s="12" t="e">
        <f t="shared" si="83"/>
        <v>#DIV/0!</v>
      </c>
      <c r="DA50" s="55" t="e">
        <f t="shared" si="83"/>
        <v>#DIV/0!</v>
      </c>
      <c r="DB50" s="55" t="e">
        <f t="shared" si="83"/>
        <v>#DIV/0!</v>
      </c>
      <c r="DC50" s="12" t="e">
        <f t="shared" si="83"/>
        <v>#DIV/0!</v>
      </c>
      <c r="DD50" s="55" t="e">
        <f t="shared" si="83"/>
        <v>#DIV/0!</v>
      </c>
      <c r="DE50" s="55" t="e">
        <f t="shared" si="83"/>
        <v>#DIV/0!</v>
      </c>
      <c r="DF50" s="12" t="e">
        <f t="shared" si="83"/>
        <v>#DIV/0!</v>
      </c>
      <c r="DG50" s="55" t="e">
        <f t="shared" si="83"/>
        <v>#DIV/0!</v>
      </c>
      <c r="DH50" s="55" t="e">
        <f t="shared" si="83"/>
        <v>#DIV/0!</v>
      </c>
      <c r="DI50" s="12" t="e">
        <f t="shared" si="83"/>
        <v>#DIV/0!</v>
      </c>
      <c r="DJ50" s="55" t="e">
        <f t="shared" si="83"/>
        <v>#DIV/0!</v>
      </c>
      <c r="DK50" s="55" t="e">
        <f t="shared" si="83"/>
        <v>#DIV/0!</v>
      </c>
      <c r="DL50" s="12" t="e">
        <f t="shared" si="83"/>
        <v>#DIV/0!</v>
      </c>
      <c r="DM50" s="55" t="e">
        <f t="shared" si="83"/>
        <v>#DIV/0!</v>
      </c>
      <c r="DN50" s="55" t="e">
        <f t="shared" si="83"/>
        <v>#DIV/0!</v>
      </c>
      <c r="DO50" s="12" t="e">
        <f t="shared" si="83"/>
        <v>#DIV/0!</v>
      </c>
      <c r="DP50" s="55" t="e">
        <f t="shared" si="83"/>
        <v>#DIV/0!</v>
      </c>
      <c r="DQ50" s="55" t="e">
        <f t="shared" si="83"/>
        <v>#DIV/0!</v>
      </c>
      <c r="DR50" s="55" t="e">
        <f t="shared" si="83"/>
        <v>#DIV/0!</v>
      </c>
      <c r="DS50" s="12" t="e">
        <f t="shared" si="83"/>
        <v>#DIV/0!</v>
      </c>
      <c r="DT50" s="55" t="e">
        <f t="shared" si="83"/>
        <v>#DIV/0!</v>
      </c>
      <c r="DU50" s="55" t="e">
        <f t="shared" si="83"/>
        <v>#DIV/0!</v>
      </c>
      <c r="DV50" s="12" t="e">
        <f t="shared" si="83"/>
        <v>#DIV/0!</v>
      </c>
      <c r="DW50" s="55" t="e">
        <f t="shared" si="83"/>
        <v>#DIV/0!</v>
      </c>
      <c r="DX50" s="55" t="e">
        <f t="shared" si="83"/>
        <v>#DIV/0!</v>
      </c>
      <c r="DY50" s="12" t="e">
        <f t="shared" si="83"/>
        <v>#DIV/0!</v>
      </c>
      <c r="DZ50" s="55" t="e">
        <f t="shared" si="83"/>
        <v>#DIV/0!</v>
      </c>
      <c r="EA50" s="55" t="e">
        <f t="shared" ref="EA50:EJ50" si="84">(100-EA11)/(EA19+1)</f>
        <v>#DIV/0!</v>
      </c>
      <c r="EB50" s="12" t="e">
        <f t="shared" si="84"/>
        <v>#DIV/0!</v>
      </c>
      <c r="EC50" s="55" t="e">
        <f t="shared" si="84"/>
        <v>#DIV/0!</v>
      </c>
      <c r="ED50" s="55" t="e">
        <f t="shared" si="84"/>
        <v>#DIV/0!</v>
      </c>
      <c r="EE50" s="12" t="e">
        <f t="shared" si="84"/>
        <v>#DIV/0!</v>
      </c>
      <c r="EF50" s="55" t="e">
        <f t="shared" si="84"/>
        <v>#DIV/0!</v>
      </c>
      <c r="EG50" s="55" t="e">
        <f t="shared" si="84"/>
        <v>#DIV/0!</v>
      </c>
      <c r="EH50" s="12" t="e">
        <f t="shared" si="84"/>
        <v>#DIV/0!</v>
      </c>
      <c r="EI50" s="55" t="e">
        <f t="shared" si="84"/>
        <v>#DIV/0!</v>
      </c>
      <c r="EJ50" s="55" t="e">
        <f t="shared" si="84"/>
        <v>#DIV/0!</v>
      </c>
    </row>
    <row r="51" spans="1:140" x14ac:dyDescent="0.2">
      <c r="A51" s="11" t="s">
        <v>71</v>
      </c>
      <c r="B51" s="12" t="s">
        <v>69</v>
      </c>
      <c r="C51" s="75">
        <f t="shared" ref="C51:AH51" si="85">C36*C50/100*C25/10^6</f>
        <v>2.6640395000726768E-3</v>
      </c>
      <c r="D51" s="55">
        <f t="shared" si="85"/>
        <v>3.1289198614125259E-3</v>
      </c>
      <c r="E51" s="13">
        <f t="shared" si="85"/>
        <v>4.0246351531549934E-3</v>
      </c>
      <c r="F51" s="12">
        <f t="shared" si="85"/>
        <v>4.4801604717377925E-3</v>
      </c>
      <c r="G51" s="55">
        <f t="shared" si="85"/>
        <v>2.0561876103635181E-3</v>
      </c>
      <c r="H51" s="55">
        <f t="shared" si="85"/>
        <v>7.6664686123721938E-3</v>
      </c>
      <c r="I51" s="12">
        <f t="shared" si="85"/>
        <v>1.9550545555001688E-3</v>
      </c>
      <c r="J51" s="55">
        <f t="shared" si="85"/>
        <v>2.8067301260437261E-3</v>
      </c>
      <c r="K51" s="55">
        <f t="shared" si="85"/>
        <v>4.3334139381443291E-3</v>
      </c>
      <c r="L51" s="12">
        <f t="shared" si="85"/>
        <v>5.5751184578748279E-3</v>
      </c>
      <c r="M51" s="55">
        <f t="shared" si="85"/>
        <v>1.9418828188054866E-2</v>
      </c>
      <c r="N51" s="55">
        <f t="shared" si="85"/>
        <v>2.0198585594943828E-2</v>
      </c>
      <c r="O51" s="12">
        <f t="shared" si="85"/>
        <v>1.7751257796525744E-2</v>
      </c>
      <c r="P51" s="55">
        <f t="shared" si="85"/>
        <v>0.16735672813454508</v>
      </c>
      <c r="Q51" s="55">
        <f t="shared" si="85"/>
        <v>0.15472674084546645</v>
      </c>
      <c r="R51" s="12">
        <f t="shared" si="85"/>
        <v>5.1102750884052667E-2</v>
      </c>
      <c r="S51" s="55">
        <f t="shared" si="85"/>
        <v>5.4757953365943315E-2</v>
      </c>
      <c r="T51" s="55">
        <f t="shared" si="85"/>
        <v>1.0707197368467931E-2</v>
      </c>
      <c r="U51" s="12">
        <f t="shared" si="85"/>
        <v>1.8880056860223645E-2</v>
      </c>
      <c r="V51" s="55">
        <f t="shared" si="85"/>
        <v>4.8252325458668623E-2</v>
      </c>
      <c r="W51" s="55">
        <f t="shared" si="85"/>
        <v>2.7784723241908744E-2</v>
      </c>
      <c r="X51" s="12">
        <f t="shared" si="85"/>
        <v>2.6586307863148528E-2</v>
      </c>
      <c r="Y51" s="55">
        <f t="shared" si="85"/>
        <v>4.5106431170445556E-2</v>
      </c>
      <c r="Z51" s="55">
        <f t="shared" si="85"/>
        <v>5.9998229449707396E-2</v>
      </c>
      <c r="AA51" s="55" t="e">
        <f t="shared" si="85"/>
        <v>#N/A</v>
      </c>
      <c r="AB51" s="12" t="e">
        <f t="shared" si="85"/>
        <v>#N/A</v>
      </c>
      <c r="AC51" s="55" t="e">
        <f t="shared" si="85"/>
        <v>#N/A</v>
      </c>
      <c r="AD51" s="55" t="e">
        <f t="shared" si="85"/>
        <v>#N/A</v>
      </c>
      <c r="AE51" s="12" t="e">
        <f t="shared" si="85"/>
        <v>#N/A</v>
      </c>
      <c r="AF51" s="55" t="e">
        <f t="shared" si="85"/>
        <v>#N/A</v>
      </c>
      <c r="AG51" s="55" t="e">
        <f t="shared" si="85"/>
        <v>#N/A</v>
      </c>
      <c r="AH51" s="12" t="e">
        <f t="shared" si="85"/>
        <v>#N/A</v>
      </c>
      <c r="AI51" s="55" t="e">
        <f t="shared" ref="AI51:BN51" si="86">AI36*AI50/100*AI25/10^6</f>
        <v>#N/A</v>
      </c>
      <c r="AJ51" s="55" t="e">
        <f t="shared" si="86"/>
        <v>#N/A</v>
      </c>
      <c r="AK51" s="12" t="e">
        <f t="shared" si="86"/>
        <v>#N/A</v>
      </c>
      <c r="AL51" s="55" t="e">
        <f t="shared" si="86"/>
        <v>#N/A</v>
      </c>
      <c r="AM51" s="55" t="e">
        <f t="shared" si="86"/>
        <v>#N/A</v>
      </c>
      <c r="AN51" s="12" t="e">
        <f t="shared" si="86"/>
        <v>#N/A</v>
      </c>
      <c r="AO51" s="55" t="e">
        <f t="shared" si="86"/>
        <v>#N/A</v>
      </c>
      <c r="AP51" s="55" t="e">
        <f t="shared" si="86"/>
        <v>#N/A</v>
      </c>
      <c r="AQ51" s="12" t="e">
        <f t="shared" si="86"/>
        <v>#N/A</v>
      </c>
      <c r="AR51" s="55" t="e">
        <f t="shared" si="86"/>
        <v>#N/A</v>
      </c>
      <c r="AS51" s="55" t="e">
        <f t="shared" si="86"/>
        <v>#N/A</v>
      </c>
      <c r="AT51" s="55" t="e">
        <f t="shared" si="86"/>
        <v>#N/A</v>
      </c>
      <c r="AU51" s="12" t="e">
        <f t="shared" si="86"/>
        <v>#N/A</v>
      </c>
      <c r="AV51" s="55" t="e">
        <f t="shared" si="86"/>
        <v>#N/A</v>
      </c>
      <c r="AW51" s="55" t="e">
        <f t="shared" si="86"/>
        <v>#N/A</v>
      </c>
      <c r="AX51" s="12" t="e">
        <f t="shared" si="86"/>
        <v>#N/A</v>
      </c>
      <c r="AY51" s="55" t="e">
        <f t="shared" si="86"/>
        <v>#N/A</v>
      </c>
      <c r="AZ51" s="55" t="e">
        <f t="shared" si="86"/>
        <v>#N/A</v>
      </c>
      <c r="BA51" s="12" t="e">
        <f t="shared" si="86"/>
        <v>#N/A</v>
      </c>
      <c r="BB51" s="55" t="e">
        <f t="shared" si="86"/>
        <v>#N/A</v>
      </c>
      <c r="BC51" s="55" t="e">
        <f t="shared" si="86"/>
        <v>#N/A</v>
      </c>
      <c r="BD51" s="12" t="e">
        <f t="shared" si="86"/>
        <v>#N/A</v>
      </c>
      <c r="BE51" s="55" t="e">
        <f t="shared" si="86"/>
        <v>#N/A</v>
      </c>
      <c r="BF51" s="55" t="e">
        <f t="shared" si="86"/>
        <v>#N/A</v>
      </c>
      <c r="BG51" s="12" t="e">
        <f t="shared" si="86"/>
        <v>#N/A</v>
      </c>
      <c r="BH51" s="55" t="e">
        <f t="shared" si="86"/>
        <v>#N/A</v>
      </c>
      <c r="BI51" s="55" t="e">
        <f t="shared" si="86"/>
        <v>#N/A</v>
      </c>
      <c r="BJ51" s="12" t="e">
        <f t="shared" si="86"/>
        <v>#N/A</v>
      </c>
      <c r="BK51" s="55" t="e">
        <f t="shared" si="86"/>
        <v>#N/A</v>
      </c>
      <c r="BL51" s="55" t="e">
        <f t="shared" si="86"/>
        <v>#N/A</v>
      </c>
      <c r="BM51" s="55" t="e">
        <f t="shared" si="86"/>
        <v>#N/A</v>
      </c>
      <c r="BN51" s="12" t="e">
        <f t="shared" si="86"/>
        <v>#N/A</v>
      </c>
      <c r="BO51" s="55" t="e">
        <f t="shared" ref="BO51:CT51" si="87">BO36*BO50/100*BO25/10^6</f>
        <v>#N/A</v>
      </c>
      <c r="BP51" s="55" t="e">
        <f t="shared" si="87"/>
        <v>#N/A</v>
      </c>
      <c r="BQ51" s="12" t="e">
        <f t="shared" si="87"/>
        <v>#N/A</v>
      </c>
      <c r="BR51" s="55" t="e">
        <f t="shared" si="87"/>
        <v>#N/A</v>
      </c>
      <c r="BS51" s="55" t="e">
        <f t="shared" si="87"/>
        <v>#N/A</v>
      </c>
      <c r="BT51" s="12" t="e">
        <f t="shared" si="87"/>
        <v>#N/A</v>
      </c>
      <c r="BU51" s="55" t="e">
        <f t="shared" si="87"/>
        <v>#N/A</v>
      </c>
      <c r="BV51" s="55" t="e">
        <f t="shared" si="87"/>
        <v>#N/A</v>
      </c>
      <c r="BW51" s="12" t="e">
        <f t="shared" si="87"/>
        <v>#N/A</v>
      </c>
      <c r="BX51" s="55" t="e">
        <f t="shared" si="87"/>
        <v>#N/A</v>
      </c>
      <c r="BY51" s="55" t="e">
        <f t="shared" si="87"/>
        <v>#N/A</v>
      </c>
      <c r="BZ51" s="12" t="e">
        <f t="shared" si="87"/>
        <v>#N/A</v>
      </c>
      <c r="CA51" s="55" t="e">
        <f t="shared" si="87"/>
        <v>#N/A</v>
      </c>
      <c r="CB51" s="55" t="e">
        <f t="shared" si="87"/>
        <v>#N/A</v>
      </c>
      <c r="CC51" s="12" t="e">
        <f t="shared" si="87"/>
        <v>#N/A</v>
      </c>
      <c r="CD51" s="55" t="e">
        <f t="shared" si="87"/>
        <v>#N/A</v>
      </c>
      <c r="CE51" s="55" t="e">
        <f t="shared" si="87"/>
        <v>#N/A</v>
      </c>
      <c r="CF51" s="55" t="e">
        <f t="shared" si="87"/>
        <v>#N/A</v>
      </c>
      <c r="CG51" s="12" t="e">
        <f t="shared" si="87"/>
        <v>#N/A</v>
      </c>
      <c r="CH51" s="55" t="e">
        <f t="shared" si="87"/>
        <v>#N/A</v>
      </c>
      <c r="CI51" s="55" t="e">
        <f t="shared" si="87"/>
        <v>#N/A</v>
      </c>
      <c r="CJ51" s="12" t="e">
        <f t="shared" si="87"/>
        <v>#N/A</v>
      </c>
      <c r="CK51" s="55" t="e">
        <f t="shared" si="87"/>
        <v>#N/A</v>
      </c>
      <c r="CL51" s="55" t="e">
        <f t="shared" si="87"/>
        <v>#N/A</v>
      </c>
      <c r="CM51" s="12" t="e">
        <f t="shared" si="87"/>
        <v>#N/A</v>
      </c>
      <c r="CN51" s="55" t="e">
        <f t="shared" si="87"/>
        <v>#N/A</v>
      </c>
      <c r="CO51" s="55" t="e">
        <f t="shared" si="87"/>
        <v>#N/A</v>
      </c>
      <c r="CP51" s="12" t="e">
        <f t="shared" si="87"/>
        <v>#N/A</v>
      </c>
      <c r="CQ51" s="55" t="e">
        <f t="shared" si="87"/>
        <v>#N/A</v>
      </c>
      <c r="CR51" s="55" t="e">
        <f t="shared" si="87"/>
        <v>#N/A</v>
      </c>
      <c r="CS51" s="12" t="e">
        <f t="shared" si="87"/>
        <v>#N/A</v>
      </c>
      <c r="CT51" s="55" t="e">
        <f t="shared" si="87"/>
        <v>#N/A</v>
      </c>
      <c r="CU51" s="55" t="e">
        <f t="shared" ref="CU51:DZ51" si="88">CU36*CU50/100*CU25/10^6</f>
        <v>#N/A</v>
      </c>
      <c r="CV51" s="12" t="e">
        <f t="shared" si="88"/>
        <v>#N/A</v>
      </c>
      <c r="CW51" s="55" t="e">
        <f t="shared" si="88"/>
        <v>#N/A</v>
      </c>
      <c r="CX51" s="55" t="e">
        <f t="shared" si="88"/>
        <v>#N/A</v>
      </c>
      <c r="CY51" s="55" t="e">
        <f t="shared" si="88"/>
        <v>#N/A</v>
      </c>
      <c r="CZ51" s="12" t="e">
        <f t="shared" si="88"/>
        <v>#N/A</v>
      </c>
      <c r="DA51" s="55" t="e">
        <f t="shared" si="88"/>
        <v>#N/A</v>
      </c>
      <c r="DB51" s="55" t="e">
        <f t="shared" si="88"/>
        <v>#N/A</v>
      </c>
      <c r="DC51" s="12" t="e">
        <f t="shared" si="88"/>
        <v>#N/A</v>
      </c>
      <c r="DD51" s="55" t="e">
        <f t="shared" si="88"/>
        <v>#N/A</v>
      </c>
      <c r="DE51" s="55" t="e">
        <f t="shared" si="88"/>
        <v>#N/A</v>
      </c>
      <c r="DF51" s="12" t="e">
        <f t="shared" si="88"/>
        <v>#N/A</v>
      </c>
      <c r="DG51" s="55" t="e">
        <f t="shared" si="88"/>
        <v>#N/A</v>
      </c>
      <c r="DH51" s="55" t="e">
        <f t="shared" si="88"/>
        <v>#N/A</v>
      </c>
      <c r="DI51" s="12" t="e">
        <f t="shared" si="88"/>
        <v>#N/A</v>
      </c>
      <c r="DJ51" s="55" t="e">
        <f t="shared" si="88"/>
        <v>#N/A</v>
      </c>
      <c r="DK51" s="55" t="e">
        <f t="shared" si="88"/>
        <v>#N/A</v>
      </c>
      <c r="DL51" s="12" t="e">
        <f t="shared" si="88"/>
        <v>#N/A</v>
      </c>
      <c r="DM51" s="55" t="e">
        <f t="shared" si="88"/>
        <v>#N/A</v>
      </c>
      <c r="DN51" s="55" t="e">
        <f t="shared" si="88"/>
        <v>#N/A</v>
      </c>
      <c r="DO51" s="12" t="e">
        <f t="shared" si="88"/>
        <v>#N/A</v>
      </c>
      <c r="DP51" s="55" t="e">
        <f t="shared" si="88"/>
        <v>#N/A</v>
      </c>
      <c r="DQ51" s="55" t="e">
        <f t="shared" si="88"/>
        <v>#N/A</v>
      </c>
      <c r="DR51" s="55" t="e">
        <f t="shared" si="88"/>
        <v>#N/A</v>
      </c>
      <c r="DS51" s="12" t="e">
        <f t="shared" si="88"/>
        <v>#N/A</v>
      </c>
      <c r="DT51" s="55" t="e">
        <f t="shared" si="88"/>
        <v>#N/A</v>
      </c>
      <c r="DU51" s="55" t="e">
        <f t="shared" si="88"/>
        <v>#N/A</v>
      </c>
      <c r="DV51" s="12" t="e">
        <f t="shared" si="88"/>
        <v>#N/A</v>
      </c>
      <c r="DW51" s="55" t="e">
        <f t="shared" si="88"/>
        <v>#N/A</v>
      </c>
      <c r="DX51" s="55" t="e">
        <f t="shared" si="88"/>
        <v>#N/A</v>
      </c>
      <c r="DY51" s="12" t="e">
        <f t="shared" si="88"/>
        <v>#N/A</v>
      </c>
      <c r="DZ51" s="55" t="e">
        <f t="shared" si="88"/>
        <v>#N/A</v>
      </c>
      <c r="EA51" s="55" t="e">
        <f t="shared" ref="EA51:FF51" si="89">EA36*EA50/100*EA25/10^6</f>
        <v>#N/A</v>
      </c>
      <c r="EB51" s="12" t="e">
        <f t="shared" si="89"/>
        <v>#N/A</v>
      </c>
      <c r="EC51" s="55" t="e">
        <f t="shared" si="89"/>
        <v>#N/A</v>
      </c>
      <c r="ED51" s="55" t="e">
        <f t="shared" si="89"/>
        <v>#N/A</v>
      </c>
      <c r="EE51" s="12" t="e">
        <f t="shared" si="89"/>
        <v>#N/A</v>
      </c>
      <c r="EF51" s="55" t="e">
        <f t="shared" si="89"/>
        <v>#N/A</v>
      </c>
      <c r="EG51" s="55" t="e">
        <f t="shared" si="89"/>
        <v>#N/A</v>
      </c>
      <c r="EH51" s="12" t="e">
        <f t="shared" si="89"/>
        <v>#N/A</v>
      </c>
      <c r="EI51" s="55" t="e">
        <f t="shared" si="89"/>
        <v>#N/A</v>
      </c>
      <c r="EJ51" s="55" t="e">
        <f t="shared" si="89"/>
        <v>#N/A</v>
      </c>
    </row>
    <row r="52" spans="1:140" x14ac:dyDescent="0.2">
      <c r="G52" s="55"/>
      <c r="H52" s="55"/>
      <c r="J52" s="55"/>
      <c r="K52" s="55"/>
      <c r="M52" s="55"/>
      <c r="N52" s="55"/>
      <c r="P52" s="55"/>
      <c r="Q52" s="55"/>
      <c r="S52" s="55"/>
      <c r="T52" s="55"/>
      <c r="V52" s="55"/>
      <c r="W52" s="55"/>
      <c r="Y52" s="55"/>
      <c r="Z52" s="55"/>
      <c r="AA52" s="55"/>
      <c r="AC52" s="55"/>
      <c r="AD52" s="55"/>
      <c r="AF52" s="55"/>
      <c r="AG52" s="55"/>
      <c r="AI52" s="55"/>
      <c r="AJ52" s="55"/>
      <c r="AL52" s="55"/>
      <c r="AM52" s="55"/>
      <c r="AO52" s="55"/>
      <c r="AP52" s="55"/>
      <c r="AR52" s="55"/>
      <c r="AS52" s="55"/>
      <c r="AT52" s="55"/>
      <c r="AV52" s="55"/>
      <c r="AW52" s="55"/>
      <c r="AY52" s="55"/>
      <c r="AZ52" s="55"/>
      <c r="BB52" s="55"/>
      <c r="BC52" s="55"/>
      <c r="BE52" s="55"/>
      <c r="BF52" s="55"/>
      <c r="BH52" s="55"/>
      <c r="BI52" s="55"/>
      <c r="BK52" s="55"/>
      <c r="BL52" s="55"/>
      <c r="BM52" s="55"/>
      <c r="BO52" s="55"/>
      <c r="BP52" s="55"/>
      <c r="BR52" s="55"/>
      <c r="BS52" s="55"/>
      <c r="BU52" s="55"/>
      <c r="BV52" s="55"/>
      <c r="BX52" s="55"/>
      <c r="BY52" s="55"/>
      <c r="CA52" s="55"/>
      <c r="CB52" s="55"/>
      <c r="CD52" s="55"/>
      <c r="CE52" s="55"/>
      <c r="CF52" s="55"/>
      <c r="CH52" s="55"/>
      <c r="CI52" s="55"/>
      <c r="CK52" s="55"/>
      <c r="CL52" s="55"/>
      <c r="CN52" s="55"/>
      <c r="CO52" s="55"/>
      <c r="CQ52" s="55"/>
      <c r="CR52" s="55"/>
      <c r="CT52" s="55"/>
      <c r="CU52" s="55"/>
      <c r="CW52" s="55"/>
      <c r="CX52" s="55"/>
      <c r="CY52" s="55"/>
      <c r="DA52" s="55"/>
      <c r="DB52" s="55"/>
      <c r="DD52" s="55"/>
      <c r="DE52" s="55"/>
      <c r="DG52" s="55"/>
      <c r="DH52" s="55"/>
      <c r="DJ52" s="55"/>
      <c r="DK52" s="55"/>
      <c r="DM52" s="55"/>
      <c r="DN52" s="55"/>
      <c r="DP52" s="55"/>
      <c r="DQ52" s="55"/>
      <c r="DR52" s="55"/>
      <c r="DT52" s="55"/>
      <c r="DU52" s="55"/>
      <c r="DW52" s="55"/>
      <c r="DX52" s="55"/>
      <c r="DZ52" s="55"/>
      <c r="EA52" s="55"/>
      <c r="EC52" s="55"/>
      <c r="ED52" s="55"/>
      <c r="EF52" s="55"/>
      <c r="EG52" s="55"/>
      <c r="EI52" s="55"/>
      <c r="EJ52" s="55"/>
    </row>
    <row r="53" spans="1:140" ht="16" customHeight="1" thickBot="1" x14ac:dyDescent="0.25">
      <c r="A53" s="29" t="s">
        <v>72</v>
      </c>
      <c r="B53" s="91"/>
      <c r="C53" s="78"/>
      <c r="D53" s="58"/>
      <c r="E53" s="1"/>
      <c r="F53" s="15"/>
      <c r="G53" s="58"/>
      <c r="H53" s="58"/>
      <c r="I53" s="15"/>
      <c r="J53" s="58"/>
      <c r="K53" s="58"/>
      <c r="L53" s="15"/>
      <c r="M53" s="58"/>
      <c r="N53" s="58"/>
      <c r="O53" s="15"/>
      <c r="P53" s="58"/>
      <c r="Q53" s="58"/>
      <c r="R53" s="15"/>
      <c r="S53" s="58"/>
      <c r="T53" s="58"/>
      <c r="U53" s="15"/>
      <c r="V53" s="58"/>
      <c r="W53" s="58"/>
      <c r="X53" s="15"/>
      <c r="Y53" s="58"/>
      <c r="Z53" s="58"/>
      <c r="AA53" s="58"/>
      <c r="AB53" s="15"/>
      <c r="AC53" s="58"/>
      <c r="AD53" s="58"/>
      <c r="AE53" s="15"/>
      <c r="AF53" s="58"/>
      <c r="AG53" s="58"/>
      <c r="AH53" s="15"/>
      <c r="AI53" s="58"/>
      <c r="AJ53" s="58"/>
      <c r="AK53" s="15"/>
      <c r="AL53" s="58"/>
      <c r="AM53" s="58"/>
      <c r="AN53" s="15"/>
      <c r="AO53" s="58"/>
      <c r="AP53" s="58"/>
      <c r="AQ53" s="15"/>
      <c r="AR53" s="58"/>
      <c r="AS53" s="58"/>
      <c r="AT53" s="58"/>
      <c r="AU53" s="15"/>
      <c r="AV53" s="58"/>
      <c r="AW53" s="58"/>
      <c r="AX53" s="15"/>
      <c r="AY53" s="58"/>
      <c r="AZ53" s="58"/>
      <c r="BA53" s="15"/>
      <c r="BB53" s="58"/>
      <c r="BC53" s="58"/>
      <c r="BD53" s="15"/>
      <c r="BE53" s="58"/>
      <c r="BF53" s="58"/>
      <c r="BG53" s="15"/>
      <c r="BH53" s="58"/>
      <c r="BI53" s="58"/>
      <c r="BJ53" s="15"/>
      <c r="BK53" s="58"/>
      <c r="BL53" s="58"/>
      <c r="BM53" s="58"/>
      <c r="BN53" s="15"/>
      <c r="BO53" s="58"/>
      <c r="BP53" s="58"/>
      <c r="BQ53" s="15"/>
      <c r="BR53" s="58"/>
      <c r="BS53" s="58"/>
      <c r="BT53" s="15"/>
      <c r="BU53" s="58"/>
      <c r="BV53" s="58"/>
      <c r="BW53" s="15"/>
      <c r="BX53" s="58"/>
      <c r="BY53" s="58"/>
      <c r="BZ53" s="15"/>
      <c r="CA53" s="58"/>
      <c r="CB53" s="58"/>
      <c r="CC53" s="15"/>
      <c r="CD53" s="58"/>
      <c r="CE53" s="58"/>
      <c r="CF53" s="58"/>
      <c r="CG53" s="15"/>
      <c r="CH53" s="58"/>
      <c r="CI53" s="58"/>
      <c r="CJ53" s="15"/>
      <c r="CK53" s="58"/>
      <c r="CL53" s="58"/>
      <c r="CM53" s="15"/>
      <c r="CN53" s="58"/>
      <c r="CO53" s="58"/>
      <c r="CP53" s="15"/>
      <c r="CQ53" s="58"/>
      <c r="CR53" s="58"/>
      <c r="CS53" s="15"/>
      <c r="CT53" s="58"/>
      <c r="CU53" s="58"/>
      <c r="CV53" s="15"/>
      <c r="CW53" s="58"/>
      <c r="CX53" s="58"/>
      <c r="CY53" s="58"/>
      <c r="CZ53" s="15"/>
      <c r="DA53" s="58"/>
      <c r="DB53" s="58"/>
      <c r="DC53" s="15"/>
      <c r="DD53" s="58"/>
      <c r="DE53" s="58"/>
      <c r="DF53" s="15"/>
      <c r="DG53" s="58"/>
      <c r="DH53" s="58"/>
      <c r="DI53" s="15"/>
      <c r="DJ53" s="58"/>
      <c r="DK53" s="58"/>
      <c r="DL53" s="15"/>
      <c r="DM53" s="58"/>
      <c r="DN53" s="58"/>
      <c r="DO53" s="15"/>
      <c r="DP53" s="58"/>
      <c r="DQ53" s="58"/>
      <c r="DR53" s="58"/>
      <c r="DS53" s="15"/>
      <c r="DT53" s="58"/>
      <c r="DU53" s="58"/>
      <c r="DV53" s="15"/>
      <c r="DW53" s="58"/>
      <c r="DX53" s="58"/>
      <c r="DY53" s="15"/>
      <c r="DZ53" s="58"/>
      <c r="EA53" s="58"/>
      <c r="EB53" s="15"/>
      <c r="EC53" s="58"/>
      <c r="ED53" s="58"/>
      <c r="EE53" s="15"/>
      <c r="EF53" s="58"/>
      <c r="EG53" s="58"/>
      <c r="EH53" s="15"/>
      <c r="EI53" s="58"/>
      <c r="EJ53" s="58"/>
    </row>
    <row r="54" spans="1:140" s="2" customFormat="1" x14ac:dyDescent="0.2">
      <c r="A54" s="30" t="s">
        <v>73</v>
      </c>
      <c r="B54" s="31" t="s">
        <v>74</v>
      </c>
      <c r="C54" s="79"/>
      <c r="D54" s="59"/>
      <c r="E54" s="30"/>
      <c r="F54" s="31"/>
      <c r="G54" s="59"/>
      <c r="H54" s="59"/>
      <c r="I54" s="31"/>
      <c r="J54" s="59"/>
      <c r="K54" s="59"/>
      <c r="L54" s="31"/>
      <c r="M54" s="59"/>
      <c r="N54" s="59"/>
      <c r="O54" s="31"/>
      <c r="P54" s="59"/>
      <c r="Q54" s="59"/>
      <c r="R54" s="31"/>
      <c r="S54" s="59"/>
      <c r="T54" s="59"/>
      <c r="U54" s="31"/>
      <c r="V54" s="59"/>
      <c r="W54" s="59"/>
      <c r="X54" s="31"/>
      <c r="Y54" s="59"/>
      <c r="Z54" s="59"/>
      <c r="AA54" s="59"/>
      <c r="AB54" s="31"/>
      <c r="AC54" s="59"/>
      <c r="AD54" s="59"/>
      <c r="AE54" s="31"/>
      <c r="AF54" s="59"/>
      <c r="AG54" s="59"/>
      <c r="AH54" s="31"/>
      <c r="AI54" s="59"/>
      <c r="AJ54" s="59"/>
      <c r="AK54" s="31"/>
      <c r="AL54" s="59"/>
      <c r="AM54" s="59"/>
      <c r="AN54" s="31"/>
      <c r="AO54" s="59"/>
      <c r="AP54" s="59"/>
      <c r="AQ54" s="31"/>
      <c r="AR54" s="59"/>
      <c r="AS54" s="59"/>
      <c r="AT54" s="59"/>
      <c r="AU54" s="31"/>
      <c r="AV54" s="59"/>
      <c r="AW54" s="59"/>
      <c r="AX54" s="31"/>
      <c r="AY54" s="59"/>
      <c r="AZ54" s="59"/>
      <c r="BA54" s="31"/>
      <c r="BB54" s="59"/>
      <c r="BC54" s="59"/>
      <c r="BD54" s="31"/>
      <c r="BE54" s="59"/>
      <c r="BF54" s="59"/>
      <c r="BG54" s="31"/>
      <c r="BH54" s="59"/>
      <c r="BI54" s="59"/>
      <c r="BJ54" s="31"/>
      <c r="BK54" s="59"/>
      <c r="BL54" s="59"/>
      <c r="BM54" s="59"/>
      <c r="BN54" s="31"/>
      <c r="BO54" s="59"/>
      <c r="BP54" s="59"/>
      <c r="BQ54" s="31"/>
      <c r="BR54" s="59"/>
      <c r="BS54" s="59"/>
      <c r="BT54" s="31"/>
      <c r="BU54" s="59"/>
      <c r="BV54" s="59"/>
      <c r="BW54" s="31"/>
      <c r="BX54" s="59"/>
      <c r="BY54" s="59"/>
      <c r="BZ54" s="31"/>
      <c r="CA54" s="59"/>
      <c r="CB54" s="59"/>
      <c r="CC54" s="31"/>
      <c r="CD54" s="59"/>
      <c r="CE54" s="59"/>
      <c r="CF54" s="59"/>
      <c r="CG54" s="31"/>
      <c r="CH54" s="59"/>
      <c r="CI54" s="59"/>
      <c r="CJ54" s="31"/>
      <c r="CK54" s="59"/>
      <c r="CL54" s="59"/>
      <c r="CM54" s="31"/>
      <c r="CN54" s="59"/>
      <c r="CO54" s="59"/>
      <c r="CP54" s="31"/>
      <c r="CQ54" s="59"/>
      <c r="CR54" s="59"/>
      <c r="CS54" s="31"/>
      <c r="CT54" s="59"/>
      <c r="CU54" s="59"/>
      <c r="CV54" s="31"/>
      <c r="CW54" s="59"/>
      <c r="CX54" s="59"/>
      <c r="CY54" s="59"/>
      <c r="CZ54" s="31"/>
      <c r="DA54" s="59"/>
      <c r="DB54" s="59"/>
      <c r="DC54" s="31"/>
      <c r="DD54" s="59"/>
      <c r="DE54" s="59"/>
      <c r="DF54" s="31"/>
      <c r="DG54" s="59"/>
      <c r="DH54" s="59"/>
      <c r="DI54" s="31"/>
      <c r="DJ54" s="59"/>
      <c r="DK54" s="59"/>
      <c r="DL54" s="31"/>
      <c r="DM54" s="59"/>
      <c r="DN54" s="59"/>
      <c r="DO54" s="31"/>
      <c r="DP54" s="59"/>
      <c r="DQ54" s="59"/>
      <c r="DR54" s="59"/>
      <c r="DS54" s="31"/>
      <c r="DT54" s="59"/>
      <c r="DU54" s="59"/>
      <c r="DV54" s="31"/>
      <c r="DW54" s="59"/>
      <c r="DX54" s="59"/>
      <c r="DY54" s="31"/>
      <c r="DZ54" s="59"/>
      <c r="EA54" s="59"/>
      <c r="EB54" s="31"/>
      <c r="EC54" s="59"/>
      <c r="ED54" s="59"/>
      <c r="EE54" s="31"/>
      <c r="EF54" s="59"/>
      <c r="EG54" s="59"/>
      <c r="EH54" s="31"/>
      <c r="EI54" s="59"/>
      <c r="EJ54" s="59"/>
    </row>
    <row r="55" spans="1:140" s="3" customFormat="1" x14ac:dyDescent="0.2">
      <c r="A55" s="32" t="s">
        <v>75</v>
      </c>
      <c r="B55" s="33" t="s">
        <v>74</v>
      </c>
      <c r="C55" s="80"/>
      <c r="D55" s="60"/>
      <c r="E55" s="32"/>
      <c r="F55" s="33"/>
      <c r="G55" s="60"/>
      <c r="H55" s="60"/>
      <c r="I55" s="33"/>
      <c r="J55" s="60"/>
      <c r="K55" s="60"/>
      <c r="L55" s="33"/>
      <c r="M55" s="60"/>
      <c r="N55" s="60"/>
      <c r="O55" s="33"/>
      <c r="P55" s="60"/>
      <c r="Q55" s="60"/>
      <c r="R55" s="33"/>
      <c r="S55" s="60"/>
      <c r="T55" s="60"/>
      <c r="U55" s="33"/>
      <c r="V55" s="60"/>
      <c r="W55" s="60"/>
      <c r="X55" s="33"/>
      <c r="Y55" s="60"/>
      <c r="Z55" s="60"/>
      <c r="AA55" s="60"/>
      <c r="AB55" s="33"/>
      <c r="AC55" s="60"/>
      <c r="AD55" s="60"/>
      <c r="AE55" s="33"/>
      <c r="AF55" s="60"/>
      <c r="AG55" s="60"/>
      <c r="AH55" s="33"/>
      <c r="AI55" s="60"/>
      <c r="AJ55" s="60"/>
      <c r="AK55" s="33"/>
      <c r="AL55" s="60"/>
      <c r="AM55" s="60"/>
      <c r="AN55" s="33"/>
      <c r="AO55" s="60"/>
      <c r="AP55" s="60"/>
      <c r="AQ55" s="33"/>
      <c r="AR55" s="60"/>
      <c r="AS55" s="60"/>
      <c r="AT55" s="60"/>
      <c r="AU55" s="33"/>
      <c r="AV55" s="60"/>
      <c r="AW55" s="60"/>
      <c r="AX55" s="33"/>
      <c r="AY55" s="60"/>
      <c r="AZ55" s="60"/>
      <c r="BA55" s="33"/>
      <c r="BB55" s="60"/>
      <c r="BC55" s="60"/>
      <c r="BD55" s="33"/>
      <c r="BE55" s="60"/>
      <c r="BF55" s="60"/>
      <c r="BG55" s="33"/>
      <c r="BH55" s="60"/>
      <c r="BI55" s="60"/>
      <c r="BJ55" s="33"/>
      <c r="BK55" s="60"/>
      <c r="BL55" s="60"/>
      <c r="BM55" s="60"/>
      <c r="BN55" s="33"/>
      <c r="BO55" s="60"/>
      <c r="BP55" s="60"/>
      <c r="BQ55" s="33"/>
      <c r="BR55" s="60"/>
      <c r="BS55" s="60"/>
      <c r="BT55" s="33"/>
      <c r="BU55" s="60"/>
      <c r="BV55" s="60"/>
      <c r="BW55" s="33"/>
      <c r="BX55" s="60"/>
      <c r="BY55" s="60"/>
      <c r="BZ55" s="33"/>
      <c r="CA55" s="60"/>
      <c r="CB55" s="60"/>
      <c r="CC55" s="33"/>
      <c r="CD55" s="60"/>
      <c r="CE55" s="60"/>
      <c r="CF55" s="60"/>
      <c r="CG55" s="33"/>
      <c r="CH55" s="60"/>
      <c r="CI55" s="60"/>
      <c r="CJ55" s="33"/>
      <c r="CK55" s="60"/>
      <c r="CL55" s="60"/>
      <c r="CM55" s="33"/>
      <c r="CN55" s="60"/>
      <c r="CO55" s="60"/>
      <c r="CP55" s="33"/>
      <c r="CQ55" s="60"/>
      <c r="CR55" s="60"/>
      <c r="CS55" s="33"/>
      <c r="CT55" s="60"/>
      <c r="CU55" s="60"/>
      <c r="CV55" s="33"/>
      <c r="CW55" s="60"/>
      <c r="CX55" s="60"/>
      <c r="CY55" s="60"/>
      <c r="CZ55" s="33"/>
      <c r="DA55" s="60"/>
      <c r="DB55" s="60"/>
      <c r="DC55" s="33"/>
      <c r="DD55" s="60"/>
      <c r="DE55" s="60"/>
      <c r="DF55" s="33"/>
      <c r="DG55" s="60"/>
      <c r="DH55" s="60"/>
      <c r="DI55" s="33"/>
      <c r="DJ55" s="60"/>
      <c r="DK55" s="60"/>
      <c r="DL55" s="33"/>
      <c r="DM55" s="60"/>
      <c r="DN55" s="60"/>
      <c r="DO55" s="33"/>
      <c r="DP55" s="60"/>
      <c r="DQ55" s="60"/>
      <c r="DR55" s="60"/>
      <c r="DS55" s="33"/>
      <c r="DT55" s="60"/>
      <c r="DU55" s="60"/>
      <c r="DV55" s="33"/>
      <c r="DW55" s="60"/>
      <c r="DX55" s="60"/>
      <c r="DY55" s="33"/>
      <c r="DZ55" s="60"/>
      <c r="EA55" s="60"/>
      <c r="EB55" s="33"/>
      <c r="EC55" s="60"/>
      <c r="ED55" s="60"/>
      <c r="EE55" s="33"/>
      <c r="EF55" s="60"/>
      <c r="EG55" s="60"/>
      <c r="EH55" s="33"/>
      <c r="EI55" s="60"/>
      <c r="EJ55" s="60"/>
    </row>
    <row r="56" spans="1:140" s="3" customFormat="1" x14ac:dyDescent="0.2">
      <c r="A56" s="32" t="s">
        <v>76</v>
      </c>
      <c r="B56" s="33" t="s">
        <v>74</v>
      </c>
      <c r="C56" s="80"/>
      <c r="D56" s="60"/>
      <c r="E56" s="32"/>
      <c r="F56" s="33"/>
      <c r="G56" s="60"/>
      <c r="H56" s="60"/>
      <c r="I56" s="33"/>
      <c r="J56" s="60"/>
      <c r="K56" s="60"/>
      <c r="L56" s="33"/>
      <c r="M56" s="60"/>
      <c r="N56" s="60"/>
      <c r="O56" s="33"/>
      <c r="P56" s="60"/>
      <c r="Q56" s="60"/>
      <c r="R56" s="33"/>
      <c r="S56" s="60"/>
      <c r="T56" s="60"/>
      <c r="U56" s="33"/>
      <c r="V56" s="60"/>
      <c r="W56" s="60"/>
      <c r="X56" s="33"/>
      <c r="Y56" s="60"/>
      <c r="Z56" s="60"/>
      <c r="AA56" s="60"/>
      <c r="AB56" s="33"/>
      <c r="AC56" s="60"/>
      <c r="AD56" s="60"/>
      <c r="AE56" s="33"/>
      <c r="AF56" s="60"/>
      <c r="AG56" s="60"/>
      <c r="AH56" s="33"/>
      <c r="AI56" s="60"/>
      <c r="AJ56" s="60"/>
      <c r="AK56" s="33"/>
      <c r="AL56" s="60"/>
      <c r="AM56" s="60"/>
      <c r="AN56" s="33"/>
      <c r="AO56" s="60"/>
      <c r="AP56" s="60"/>
      <c r="AQ56" s="33"/>
      <c r="AR56" s="60"/>
      <c r="AS56" s="60"/>
      <c r="AT56" s="60"/>
      <c r="AU56" s="33"/>
      <c r="AV56" s="60"/>
      <c r="AW56" s="60"/>
      <c r="AX56" s="33"/>
      <c r="AY56" s="60"/>
      <c r="AZ56" s="60"/>
      <c r="BA56" s="33"/>
      <c r="BB56" s="60"/>
      <c r="BC56" s="60"/>
      <c r="BD56" s="33"/>
      <c r="BE56" s="60"/>
      <c r="BF56" s="60"/>
      <c r="BG56" s="33"/>
      <c r="BH56" s="60"/>
      <c r="BI56" s="60"/>
      <c r="BJ56" s="33"/>
      <c r="BK56" s="60"/>
      <c r="BL56" s="60"/>
      <c r="BM56" s="60"/>
      <c r="BN56" s="33"/>
      <c r="BO56" s="60"/>
      <c r="BP56" s="60"/>
      <c r="BQ56" s="33"/>
      <c r="BR56" s="60"/>
      <c r="BS56" s="60"/>
      <c r="BT56" s="33"/>
      <c r="BU56" s="60"/>
      <c r="BV56" s="60"/>
      <c r="BW56" s="33"/>
      <c r="BX56" s="60"/>
      <c r="BY56" s="60"/>
      <c r="BZ56" s="33"/>
      <c r="CA56" s="60"/>
      <c r="CB56" s="60"/>
      <c r="CC56" s="33"/>
      <c r="CD56" s="60"/>
      <c r="CE56" s="60"/>
      <c r="CF56" s="60"/>
      <c r="CG56" s="33"/>
      <c r="CH56" s="60"/>
      <c r="CI56" s="60"/>
      <c r="CJ56" s="33"/>
      <c r="CK56" s="60"/>
      <c r="CL56" s="60"/>
      <c r="CM56" s="33"/>
      <c r="CN56" s="60"/>
      <c r="CO56" s="60"/>
      <c r="CP56" s="33"/>
      <c r="CQ56" s="60"/>
      <c r="CR56" s="60"/>
      <c r="CS56" s="33"/>
      <c r="CT56" s="60"/>
      <c r="CU56" s="60"/>
      <c r="CV56" s="33"/>
      <c r="CW56" s="60"/>
      <c r="CX56" s="60"/>
      <c r="CY56" s="60"/>
      <c r="CZ56" s="33"/>
      <c r="DA56" s="60"/>
      <c r="DB56" s="60"/>
      <c r="DC56" s="33"/>
      <c r="DD56" s="60"/>
      <c r="DE56" s="60"/>
      <c r="DF56" s="33"/>
      <c r="DG56" s="60"/>
      <c r="DH56" s="60"/>
      <c r="DI56" s="33"/>
      <c r="DJ56" s="60"/>
      <c r="DK56" s="60"/>
      <c r="DL56" s="33"/>
      <c r="DM56" s="60"/>
      <c r="DN56" s="60"/>
      <c r="DO56" s="33"/>
      <c r="DP56" s="60"/>
      <c r="DQ56" s="60"/>
      <c r="DR56" s="60"/>
      <c r="DS56" s="33"/>
      <c r="DT56" s="60"/>
      <c r="DU56" s="60"/>
      <c r="DV56" s="33"/>
      <c r="DW56" s="60"/>
      <c r="DX56" s="60"/>
      <c r="DY56" s="33"/>
      <c r="DZ56" s="60"/>
      <c r="EA56" s="60"/>
      <c r="EB56" s="33"/>
      <c r="EC56" s="60"/>
      <c r="ED56" s="60"/>
      <c r="EE56" s="33"/>
      <c r="EF56" s="60"/>
      <c r="EG56" s="60"/>
      <c r="EH56" s="33"/>
      <c r="EI56" s="60"/>
      <c r="EJ56" s="60"/>
    </row>
    <row r="57" spans="1:140" s="4" customFormat="1" ht="16" customHeight="1" thickBot="1" x14ac:dyDescent="0.25">
      <c r="A57" s="34" t="s">
        <v>77</v>
      </c>
      <c r="B57" s="35" t="s">
        <v>74</v>
      </c>
      <c r="C57" s="81"/>
      <c r="D57" s="61"/>
      <c r="E57" s="34"/>
      <c r="F57" s="35"/>
      <c r="G57" s="61"/>
      <c r="H57" s="61"/>
      <c r="I57" s="35"/>
      <c r="J57" s="61"/>
      <c r="K57" s="61"/>
      <c r="L57" s="35"/>
      <c r="M57" s="61"/>
      <c r="N57" s="61"/>
      <c r="O57" s="35"/>
      <c r="P57" s="61"/>
      <c r="Q57" s="61"/>
      <c r="R57" s="35"/>
      <c r="S57" s="61"/>
      <c r="T57" s="61"/>
      <c r="U57" s="35"/>
      <c r="V57" s="61"/>
      <c r="W57" s="61"/>
      <c r="X57" s="35"/>
      <c r="Y57" s="61"/>
      <c r="Z57" s="61"/>
      <c r="AA57" s="61"/>
      <c r="AB57" s="35"/>
      <c r="AC57" s="61"/>
      <c r="AD57" s="61"/>
      <c r="AE57" s="35"/>
      <c r="AF57" s="61"/>
      <c r="AG57" s="61"/>
      <c r="AH57" s="35"/>
      <c r="AI57" s="61"/>
      <c r="AJ57" s="61"/>
      <c r="AK57" s="35"/>
      <c r="AL57" s="61"/>
      <c r="AM57" s="61"/>
      <c r="AN57" s="35"/>
      <c r="AO57" s="61"/>
      <c r="AP57" s="61"/>
      <c r="AQ57" s="35"/>
      <c r="AR57" s="61"/>
      <c r="AS57" s="61"/>
      <c r="AT57" s="61"/>
      <c r="AU57" s="35"/>
      <c r="AV57" s="61"/>
      <c r="AW57" s="61"/>
      <c r="AX57" s="35"/>
      <c r="AY57" s="61"/>
      <c r="AZ57" s="61"/>
      <c r="BA57" s="35"/>
      <c r="BB57" s="61"/>
      <c r="BC57" s="61"/>
      <c r="BD57" s="35"/>
      <c r="BE57" s="61"/>
      <c r="BF57" s="61"/>
      <c r="BG57" s="35"/>
      <c r="BH57" s="61"/>
      <c r="BI57" s="61"/>
      <c r="BJ57" s="35"/>
      <c r="BK57" s="61"/>
      <c r="BL57" s="61"/>
      <c r="BM57" s="61"/>
      <c r="BN57" s="35"/>
      <c r="BO57" s="61"/>
      <c r="BP57" s="61"/>
      <c r="BQ57" s="35"/>
      <c r="BR57" s="61"/>
      <c r="BS57" s="61"/>
      <c r="BT57" s="35"/>
      <c r="BU57" s="61"/>
      <c r="BV57" s="61"/>
      <c r="BW57" s="35"/>
      <c r="BX57" s="61"/>
      <c r="BY57" s="61"/>
      <c r="BZ57" s="35"/>
      <c r="CA57" s="61"/>
      <c r="CB57" s="61"/>
      <c r="CC57" s="35"/>
      <c r="CD57" s="61"/>
      <c r="CE57" s="61"/>
      <c r="CF57" s="61"/>
      <c r="CG57" s="35"/>
      <c r="CH57" s="61"/>
      <c r="CI57" s="61"/>
      <c r="CJ57" s="35"/>
      <c r="CK57" s="61"/>
      <c r="CL57" s="61"/>
      <c r="CM57" s="35"/>
      <c r="CN57" s="61"/>
      <c r="CO57" s="61"/>
      <c r="CP57" s="35"/>
      <c r="CQ57" s="61"/>
      <c r="CR57" s="61"/>
      <c r="CS57" s="35"/>
      <c r="CT57" s="61"/>
      <c r="CU57" s="61"/>
      <c r="CV57" s="35"/>
      <c r="CW57" s="61"/>
      <c r="CX57" s="61"/>
      <c r="CY57" s="61"/>
      <c r="CZ57" s="35"/>
      <c r="DA57" s="61"/>
      <c r="DB57" s="61"/>
      <c r="DC57" s="35"/>
      <c r="DD57" s="61"/>
      <c r="DE57" s="61"/>
      <c r="DF57" s="35"/>
      <c r="DG57" s="61"/>
      <c r="DH57" s="61"/>
      <c r="DI57" s="35"/>
      <c r="DJ57" s="61"/>
      <c r="DK57" s="61"/>
      <c r="DL57" s="35"/>
      <c r="DM57" s="61"/>
      <c r="DN57" s="61"/>
      <c r="DO57" s="35"/>
      <c r="DP57" s="61"/>
      <c r="DQ57" s="61"/>
      <c r="DR57" s="61"/>
      <c r="DS57" s="35"/>
      <c r="DT57" s="61"/>
      <c r="DU57" s="61"/>
      <c r="DV57" s="35"/>
      <c r="DW57" s="61"/>
      <c r="DX57" s="61"/>
      <c r="DY57" s="35"/>
      <c r="DZ57" s="61"/>
      <c r="EA57" s="61"/>
      <c r="EB57" s="35"/>
      <c r="EC57" s="61"/>
      <c r="ED57" s="61"/>
      <c r="EE57" s="35"/>
      <c r="EF57" s="61"/>
      <c r="EG57" s="61"/>
      <c r="EH57" s="35"/>
      <c r="EI57" s="61"/>
      <c r="EJ57" s="61"/>
    </row>
    <row r="58" spans="1:140" x14ac:dyDescent="0.2">
      <c r="A58" t="s">
        <v>78</v>
      </c>
      <c r="B58" s="15"/>
      <c r="C58" s="78">
        <v>3</v>
      </c>
      <c r="D58" s="58">
        <v>3</v>
      </c>
      <c r="E58" s="1">
        <v>3</v>
      </c>
      <c r="F58" s="15">
        <v>3</v>
      </c>
      <c r="G58" s="58">
        <v>3</v>
      </c>
      <c r="H58" s="58">
        <v>3</v>
      </c>
      <c r="I58" s="15">
        <v>3</v>
      </c>
      <c r="J58" s="58">
        <v>3</v>
      </c>
      <c r="K58" s="58">
        <v>3</v>
      </c>
      <c r="L58" s="15">
        <v>3</v>
      </c>
      <c r="M58" s="58">
        <v>3</v>
      </c>
      <c r="N58" s="58">
        <v>3</v>
      </c>
      <c r="O58" s="15">
        <v>3</v>
      </c>
      <c r="P58" s="58">
        <v>3</v>
      </c>
      <c r="Q58" s="58">
        <v>3</v>
      </c>
      <c r="R58" s="15">
        <v>3</v>
      </c>
      <c r="S58" s="58">
        <v>3</v>
      </c>
      <c r="T58" s="58">
        <v>3</v>
      </c>
      <c r="U58" s="15">
        <v>3</v>
      </c>
      <c r="V58" s="58">
        <v>3</v>
      </c>
      <c r="W58" s="58">
        <v>3</v>
      </c>
      <c r="X58" s="15">
        <v>3</v>
      </c>
      <c r="Y58" s="58">
        <v>3</v>
      </c>
      <c r="Z58" s="58">
        <v>3</v>
      </c>
      <c r="AA58" s="58">
        <v>3</v>
      </c>
      <c r="AB58" s="15">
        <v>3</v>
      </c>
      <c r="AC58" s="58">
        <v>3</v>
      </c>
      <c r="AD58" s="58">
        <v>3</v>
      </c>
      <c r="AE58" s="15">
        <v>3</v>
      </c>
      <c r="AF58" s="58">
        <v>3</v>
      </c>
      <c r="AG58" s="58">
        <v>3</v>
      </c>
      <c r="AH58" s="15">
        <v>3</v>
      </c>
      <c r="AI58" s="58">
        <v>3</v>
      </c>
      <c r="AJ58" s="58">
        <v>3</v>
      </c>
      <c r="AK58" s="15">
        <v>3</v>
      </c>
      <c r="AL58" s="58">
        <v>3</v>
      </c>
      <c r="AM58" s="58">
        <v>3</v>
      </c>
      <c r="AN58" s="15">
        <v>3</v>
      </c>
      <c r="AO58" s="58">
        <v>3</v>
      </c>
      <c r="AP58" s="58">
        <v>3</v>
      </c>
      <c r="AQ58" s="15">
        <v>3</v>
      </c>
      <c r="AR58" s="58">
        <v>3</v>
      </c>
      <c r="AS58" s="58">
        <v>3</v>
      </c>
      <c r="AT58" s="58">
        <v>3</v>
      </c>
      <c r="AU58" s="15">
        <v>3</v>
      </c>
      <c r="AV58" s="58">
        <v>3</v>
      </c>
      <c r="AW58" s="58">
        <v>3</v>
      </c>
      <c r="AX58" s="15">
        <v>3</v>
      </c>
      <c r="AY58" s="58">
        <v>3</v>
      </c>
      <c r="AZ58" s="58">
        <v>3</v>
      </c>
      <c r="BA58" s="15">
        <v>3</v>
      </c>
      <c r="BB58" s="58">
        <v>3</v>
      </c>
      <c r="BC58" s="58">
        <v>3</v>
      </c>
      <c r="BD58" s="15">
        <v>3</v>
      </c>
      <c r="BE58" s="58">
        <v>3</v>
      </c>
      <c r="BF58" s="58">
        <v>3</v>
      </c>
      <c r="BG58" s="15">
        <v>3</v>
      </c>
      <c r="BH58" s="58">
        <v>3</v>
      </c>
      <c r="BI58" s="58">
        <v>3</v>
      </c>
      <c r="BJ58" s="15">
        <v>3</v>
      </c>
      <c r="BK58" s="58">
        <v>3</v>
      </c>
      <c r="BL58" s="58">
        <v>3</v>
      </c>
      <c r="BM58" s="58">
        <v>3</v>
      </c>
      <c r="BN58" s="15">
        <v>3</v>
      </c>
      <c r="BO58" s="58">
        <v>3</v>
      </c>
      <c r="BP58" s="58">
        <v>3</v>
      </c>
      <c r="BQ58" s="15">
        <v>3</v>
      </c>
      <c r="BR58" s="58">
        <v>3</v>
      </c>
      <c r="BS58" s="58">
        <v>3</v>
      </c>
      <c r="BT58" s="15">
        <v>3</v>
      </c>
      <c r="BU58" s="58">
        <v>3</v>
      </c>
      <c r="BV58" s="58">
        <v>3</v>
      </c>
      <c r="BW58" s="15">
        <v>3</v>
      </c>
      <c r="BX58" s="58">
        <v>3</v>
      </c>
      <c r="BY58" s="58">
        <v>3</v>
      </c>
      <c r="BZ58" s="15">
        <v>3</v>
      </c>
      <c r="CA58" s="58">
        <v>3</v>
      </c>
      <c r="CB58" s="58">
        <v>3</v>
      </c>
      <c r="CC58" s="15">
        <v>3</v>
      </c>
      <c r="CD58" s="58">
        <v>3</v>
      </c>
      <c r="CE58" s="58">
        <v>3</v>
      </c>
      <c r="CF58" s="58">
        <v>3</v>
      </c>
      <c r="CG58" s="15">
        <v>3</v>
      </c>
      <c r="CH58" s="58">
        <v>3</v>
      </c>
      <c r="CI58" s="58">
        <v>3</v>
      </c>
      <c r="CJ58" s="15">
        <v>3</v>
      </c>
      <c r="CK58" s="58">
        <v>3</v>
      </c>
      <c r="CL58" s="58">
        <v>3</v>
      </c>
      <c r="CM58" s="15">
        <v>3</v>
      </c>
      <c r="CN58" s="58">
        <v>3</v>
      </c>
      <c r="CO58" s="58">
        <v>3</v>
      </c>
      <c r="CP58" s="15">
        <v>3</v>
      </c>
      <c r="CQ58" s="58">
        <v>3</v>
      </c>
      <c r="CR58" s="58">
        <v>3</v>
      </c>
      <c r="CS58" s="15">
        <v>3</v>
      </c>
      <c r="CT58" s="58">
        <v>3</v>
      </c>
      <c r="CU58" s="58">
        <v>3</v>
      </c>
      <c r="CV58" s="15">
        <v>3</v>
      </c>
      <c r="CW58" s="58">
        <v>3</v>
      </c>
      <c r="CX58" s="58">
        <v>3</v>
      </c>
      <c r="CY58" s="58">
        <v>3</v>
      </c>
      <c r="CZ58" s="15">
        <v>3</v>
      </c>
      <c r="DA58" s="58">
        <v>3</v>
      </c>
      <c r="DB58" s="58">
        <v>3</v>
      </c>
      <c r="DC58" s="15">
        <v>3</v>
      </c>
      <c r="DD58" s="58">
        <v>3</v>
      </c>
      <c r="DE58" s="58">
        <v>3</v>
      </c>
      <c r="DF58" s="15">
        <v>3</v>
      </c>
      <c r="DG58" s="58">
        <v>3</v>
      </c>
      <c r="DH58" s="58">
        <v>3</v>
      </c>
      <c r="DI58" s="15">
        <v>3</v>
      </c>
      <c r="DJ58" s="58">
        <v>3</v>
      </c>
      <c r="DK58" s="58">
        <v>3</v>
      </c>
      <c r="DL58" s="15">
        <v>3</v>
      </c>
      <c r="DM58" s="58">
        <v>3</v>
      </c>
      <c r="DN58" s="58">
        <v>3</v>
      </c>
      <c r="DO58" s="15">
        <v>3</v>
      </c>
      <c r="DP58" s="58">
        <v>3</v>
      </c>
      <c r="DQ58" s="58">
        <v>3</v>
      </c>
      <c r="DR58" s="58">
        <v>3</v>
      </c>
      <c r="DS58" s="15">
        <v>3</v>
      </c>
      <c r="DT58" s="58">
        <v>3</v>
      </c>
      <c r="DU58" s="58">
        <v>3</v>
      </c>
      <c r="DV58" s="15">
        <v>3</v>
      </c>
      <c r="DW58" s="58">
        <v>3</v>
      </c>
      <c r="DX58" s="58">
        <v>3</v>
      </c>
      <c r="DY58" s="15">
        <v>3</v>
      </c>
      <c r="DZ58" s="58">
        <v>3</v>
      </c>
      <c r="EA58" s="58">
        <v>3</v>
      </c>
      <c r="EB58" s="15">
        <v>3</v>
      </c>
      <c r="EC58" s="58">
        <v>3</v>
      </c>
      <c r="ED58" s="58">
        <v>3</v>
      </c>
      <c r="EE58" s="15">
        <v>3</v>
      </c>
      <c r="EF58" s="58">
        <v>3</v>
      </c>
      <c r="EG58" s="58">
        <v>3</v>
      </c>
      <c r="EH58" s="15">
        <v>3</v>
      </c>
      <c r="EI58" s="58">
        <v>3</v>
      </c>
      <c r="EJ58" s="58">
        <v>3</v>
      </c>
    </row>
    <row r="59" spans="1:140" x14ac:dyDescent="0.2">
      <c r="A59" t="s">
        <v>79</v>
      </c>
      <c r="B59" s="15" t="s">
        <v>80</v>
      </c>
      <c r="C59" s="78">
        <v>1000</v>
      </c>
      <c r="D59" s="58">
        <v>1000</v>
      </c>
      <c r="E59" s="1">
        <v>1000</v>
      </c>
      <c r="F59" s="15">
        <v>1000</v>
      </c>
      <c r="G59" s="58">
        <v>1000</v>
      </c>
      <c r="H59" s="58">
        <v>1000</v>
      </c>
      <c r="I59" s="15">
        <v>1000</v>
      </c>
      <c r="J59" s="58">
        <v>1000</v>
      </c>
      <c r="K59" s="58">
        <v>1000</v>
      </c>
      <c r="L59" s="15">
        <v>1000</v>
      </c>
      <c r="M59" s="58">
        <v>1000</v>
      </c>
      <c r="N59" s="58">
        <v>1000</v>
      </c>
      <c r="O59" s="15">
        <v>1000</v>
      </c>
      <c r="P59" s="58">
        <v>1000</v>
      </c>
      <c r="Q59" s="58">
        <v>1000</v>
      </c>
      <c r="R59" s="15">
        <v>1000</v>
      </c>
      <c r="S59" s="58">
        <v>1000</v>
      </c>
      <c r="T59" s="58">
        <v>1000</v>
      </c>
      <c r="U59" s="15">
        <v>1000</v>
      </c>
      <c r="V59" s="58">
        <v>1000</v>
      </c>
      <c r="W59" s="58">
        <v>1000</v>
      </c>
      <c r="X59" s="15">
        <v>1000</v>
      </c>
      <c r="Y59" s="58">
        <v>1000</v>
      </c>
      <c r="Z59" s="58">
        <v>1000</v>
      </c>
      <c r="AA59" s="58">
        <v>1000</v>
      </c>
      <c r="AB59" s="15">
        <v>1000</v>
      </c>
      <c r="AC59" s="58">
        <v>1000</v>
      </c>
      <c r="AD59" s="58">
        <v>1000</v>
      </c>
      <c r="AE59" s="15">
        <v>1000</v>
      </c>
      <c r="AF59" s="58">
        <v>1000</v>
      </c>
      <c r="AG59" s="58">
        <v>1000</v>
      </c>
      <c r="AH59" s="15">
        <v>1000</v>
      </c>
      <c r="AI59" s="58">
        <v>1000</v>
      </c>
      <c r="AJ59" s="58">
        <v>1000</v>
      </c>
      <c r="AK59" s="15">
        <v>1000</v>
      </c>
      <c r="AL59" s="58">
        <v>1000</v>
      </c>
      <c r="AM59" s="58">
        <v>1000</v>
      </c>
      <c r="AN59" s="15">
        <v>1000</v>
      </c>
      <c r="AO59" s="58">
        <v>1000</v>
      </c>
      <c r="AP59" s="58">
        <v>1000</v>
      </c>
      <c r="AQ59" s="15">
        <v>1000</v>
      </c>
      <c r="AR59" s="58">
        <v>1000</v>
      </c>
      <c r="AS59" s="58">
        <v>1000</v>
      </c>
      <c r="AT59" s="58">
        <v>1000</v>
      </c>
      <c r="AU59" s="15">
        <v>1000</v>
      </c>
      <c r="AV59" s="58">
        <v>1000</v>
      </c>
      <c r="AW59" s="58">
        <v>1000</v>
      </c>
      <c r="AX59" s="15">
        <v>1000</v>
      </c>
      <c r="AY59" s="58">
        <v>1000</v>
      </c>
      <c r="AZ59" s="58">
        <v>1000</v>
      </c>
      <c r="BA59" s="15">
        <v>1000</v>
      </c>
      <c r="BB59" s="58">
        <v>1000</v>
      </c>
      <c r="BC59" s="58">
        <v>1000</v>
      </c>
      <c r="BD59" s="15">
        <v>1000</v>
      </c>
      <c r="BE59" s="58">
        <v>1000</v>
      </c>
      <c r="BF59" s="58">
        <v>1000</v>
      </c>
      <c r="BG59" s="15">
        <v>1000</v>
      </c>
      <c r="BH59" s="58">
        <v>1000</v>
      </c>
      <c r="BI59" s="58">
        <v>1000</v>
      </c>
      <c r="BJ59" s="15">
        <v>1000</v>
      </c>
      <c r="BK59" s="58">
        <v>1000</v>
      </c>
      <c r="BL59" s="58">
        <v>1000</v>
      </c>
      <c r="BM59" s="58">
        <v>1000</v>
      </c>
      <c r="BN59" s="15">
        <v>1000</v>
      </c>
      <c r="BO59" s="58">
        <v>1000</v>
      </c>
      <c r="BP59" s="58">
        <v>1000</v>
      </c>
      <c r="BQ59" s="15">
        <v>1000</v>
      </c>
      <c r="BR59" s="58">
        <v>1000</v>
      </c>
      <c r="BS59" s="58">
        <v>1000</v>
      </c>
      <c r="BT59" s="15">
        <v>1000</v>
      </c>
      <c r="BU59" s="58">
        <v>1000</v>
      </c>
      <c r="BV59" s="58">
        <v>1000</v>
      </c>
      <c r="BW59" s="15">
        <v>1000</v>
      </c>
      <c r="BX59" s="58">
        <v>1000</v>
      </c>
      <c r="BY59" s="58">
        <v>1000</v>
      </c>
      <c r="BZ59" s="15">
        <v>1000</v>
      </c>
      <c r="CA59" s="58">
        <v>1000</v>
      </c>
      <c r="CB59" s="58">
        <v>1000</v>
      </c>
      <c r="CC59" s="15">
        <v>1000</v>
      </c>
      <c r="CD59" s="58">
        <v>1000</v>
      </c>
      <c r="CE59" s="58">
        <v>1000</v>
      </c>
      <c r="CF59" s="58">
        <v>1000</v>
      </c>
      <c r="CG59" s="15">
        <v>1000</v>
      </c>
      <c r="CH59" s="58">
        <v>1000</v>
      </c>
      <c r="CI59" s="58">
        <v>1000</v>
      </c>
      <c r="CJ59" s="15">
        <v>1000</v>
      </c>
      <c r="CK59" s="58">
        <v>1000</v>
      </c>
      <c r="CL59" s="58">
        <v>1000</v>
      </c>
      <c r="CM59" s="15">
        <v>1000</v>
      </c>
      <c r="CN59" s="58">
        <v>1000</v>
      </c>
      <c r="CO59" s="58">
        <v>1000</v>
      </c>
      <c r="CP59" s="15">
        <v>1000</v>
      </c>
      <c r="CQ59" s="58">
        <v>1000</v>
      </c>
      <c r="CR59" s="58">
        <v>1000</v>
      </c>
      <c r="CS59" s="15">
        <v>1000</v>
      </c>
      <c r="CT59" s="58">
        <v>1000</v>
      </c>
      <c r="CU59" s="58">
        <v>1000</v>
      </c>
      <c r="CV59" s="15">
        <v>1000</v>
      </c>
      <c r="CW59" s="58">
        <v>1000</v>
      </c>
      <c r="CX59" s="58">
        <v>1000</v>
      </c>
      <c r="CY59" s="58">
        <v>1000</v>
      </c>
      <c r="CZ59" s="15">
        <v>1000</v>
      </c>
      <c r="DA59" s="58">
        <v>1000</v>
      </c>
      <c r="DB59" s="58">
        <v>1000</v>
      </c>
      <c r="DC59" s="15">
        <v>1000</v>
      </c>
      <c r="DD59" s="58">
        <v>1000</v>
      </c>
      <c r="DE59" s="58">
        <v>1000</v>
      </c>
      <c r="DF59" s="15">
        <v>1000</v>
      </c>
      <c r="DG59" s="58">
        <v>1000</v>
      </c>
      <c r="DH59" s="58">
        <v>1000</v>
      </c>
      <c r="DI59" s="15">
        <v>1000</v>
      </c>
      <c r="DJ59" s="58">
        <v>1000</v>
      </c>
      <c r="DK59" s="58">
        <v>1000</v>
      </c>
      <c r="DL59" s="15">
        <v>1000</v>
      </c>
      <c r="DM59" s="58">
        <v>1000</v>
      </c>
      <c r="DN59" s="58">
        <v>1000</v>
      </c>
      <c r="DO59" s="15">
        <v>1000</v>
      </c>
      <c r="DP59" s="58">
        <v>1000</v>
      </c>
      <c r="DQ59" s="58">
        <v>1000</v>
      </c>
      <c r="DR59" s="58">
        <v>1000</v>
      </c>
      <c r="DS59" s="15">
        <v>1000</v>
      </c>
      <c r="DT59" s="58">
        <v>1000</v>
      </c>
      <c r="DU59" s="58">
        <v>1000</v>
      </c>
      <c r="DV59" s="15">
        <v>1000</v>
      </c>
      <c r="DW59" s="58">
        <v>1000</v>
      </c>
      <c r="DX59" s="58">
        <v>1000</v>
      </c>
      <c r="DY59" s="15">
        <v>1000</v>
      </c>
      <c r="DZ59" s="58">
        <v>1000</v>
      </c>
      <c r="EA59" s="58">
        <v>1000</v>
      </c>
      <c r="EB59" s="15">
        <v>1000</v>
      </c>
      <c r="EC59" s="58">
        <v>1000</v>
      </c>
      <c r="ED59" s="58">
        <v>1000</v>
      </c>
      <c r="EE59" s="15">
        <v>1000</v>
      </c>
      <c r="EF59" s="58">
        <v>1000</v>
      </c>
      <c r="EG59" s="58">
        <v>1000</v>
      </c>
      <c r="EH59" s="15">
        <v>1000</v>
      </c>
      <c r="EI59" s="58">
        <v>1000</v>
      </c>
      <c r="EJ59" s="58">
        <v>1000</v>
      </c>
    </row>
    <row r="60" spans="1:140" x14ac:dyDescent="0.2">
      <c r="B60" s="15"/>
      <c r="C60" s="78"/>
      <c r="D60" s="58"/>
      <c r="E60" s="1"/>
      <c r="F60" s="15"/>
      <c r="G60" s="58"/>
      <c r="H60" s="58"/>
      <c r="I60" s="15"/>
      <c r="J60" s="58"/>
      <c r="K60" s="58"/>
      <c r="L60" s="15"/>
      <c r="M60" s="58"/>
      <c r="N60" s="58"/>
      <c r="O60" s="15"/>
      <c r="P60" s="58"/>
      <c r="Q60" s="58"/>
      <c r="R60" s="15"/>
      <c r="S60" s="58"/>
      <c r="T60" s="58"/>
      <c r="U60" s="15"/>
      <c r="V60" s="58"/>
      <c r="W60" s="58"/>
      <c r="X60" s="15"/>
      <c r="Y60" s="58"/>
      <c r="Z60" s="58"/>
      <c r="AA60" s="58"/>
      <c r="AB60" s="15"/>
      <c r="AC60" s="58"/>
      <c r="AD60" s="58"/>
      <c r="AE60" s="15"/>
      <c r="AF60" s="58"/>
      <c r="AG60" s="58"/>
      <c r="AH60" s="15"/>
      <c r="AI60" s="58"/>
      <c r="AJ60" s="58"/>
      <c r="AK60" s="15"/>
      <c r="AL60" s="58"/>
      <c r="AM60" s="58"/>
      <c r="AN60" s="15"/>
      <c r="AO60" s="58"/>
      <c r="AP60" s="58"/>
      <c r="AQ60" s="15"/>
      <c r="AR60" s="58"/>
      <c r="AS60" s="58"/>
      <c r="AT60" s="58"/>
      <c r="AU60" s="15"/>
      <c r="AV60" s="58"/>
      <c r="AW60" s="58"/>
      <c r="AX60" s="15"/>
      <c r="AY60" s="58"/>
      <c r="AZ60" s="58"/>
      <c r="BA60" s="15"/>
      <c r="BB60" s="58"/>
      <c r="BC60" s="58"/>
      <c r="BD60" s="15"/>
      <c r="BE60" s="58"/>
      <c r="BF60" s="58"/>
      <c r="BG60" s="15"/>
      <c r="BH60" s="58"/>
      <c r="BI60" s="58"/>
      <c r="BJ60" s="15"/>
      <c r="BK60" s="58"/>
      <c r="BL60" s="58"/>
      <c r="BM60" s="58"/>
      <c r="BN60" s="15"/>
      <c r="BO60" s="58"/>
      <c r="BP60" s="58"/>
      <c r="BQ60" s="15"/>
      <c r="BR60" s="58"/>
      <c r="BS60" s="58"/>
      <c r="BT60" s="15"/>
      <c r="BU60" s="58"/>
      <c r="BV60" s="58"/>
      <c r="BW60" s="15"/>
      <c r="BX60" s="58"/>
      <c r="BY60" s="58"/>
      <c r="BZ60" s="15"/>
      <c r="CA60" s="58"/>
      <c r="CB60" s="58"/>
      <c r="CC60" s="15"/>
      <c r="CD60" s="58"/>
      <c r="CE60" s="58"/>
      <c r="CF60" s="58"/>
      <c r="CG60" s="15"/>
      <c r="CH60" s="58"/>
      <c r="CI60" s="58"/>
      <c r="CJ60" s="15"/>
      <c r="CK60" s="58"/>
      <c r="CL60" s="58"/>
      <c r="CM60" s="15"/>
      <c r="CN60" s="58"/>
      <c r="CO60" s="58"/>
      <c r="CP60" s="15"/>
      <c r="CQ60" s="58"/>
      <c r="CR60" s="58"/>
      <c r="CS60" s="15"/>
      <c r="CT60" s="58"/>
      <c r="CU60" s="58"/>
      <c r="CV60" s="15"/>
      <c r="CW60" s="58"/>
      <c r="CX60" s="58"/>
      <c r="CY60" s="58"/>
      <c r="CZ60" s="15"/>
      <c r="DA60" s="58"/>
      <c r="DB60" s="58"/>
      <c r="DC60" s="15"/>
      <c r="DD60" s="58"/>
      <c r="DE60" s="58"/>
      <c r="DF60" s="15"/>
      <c r="DG60" s="58"/>
      <c r="DH60" s="58"/>
      <c r="DI60" s="15"/>
      <c r="DJ60" s="58"/>
      <c r="DK60" s="58"/>
      <c r="DL60" s="15"/>
      <c r="DM60" s="58"/>
      <c r="DN60" s="58"/>
      <c r="DO60" s="15"/>
      <c r="DP60" s="58"/>
      <c r="DQ60" s="58"/>
      <c r="DR60" s="58"/>
      <c r="DS60" s="15"/>
      <c r="DT60" s="58"/>
      <c r="DU60" s="58"/>
      <c r="DV60" s="15"/>
      <c r="DW60" s="58"/>
      <c r="DX60" s="58"/>
      <c r="DY60" s="15"/>
      <c r="DZ60" s="58"/>
      <c r="EA60" s="58"/>
      <c r="EB60" s="15"/>
      <c r="EC60" s="58"/>
      <c r="ED60" s="58"/>
      <c r="EE60" s="15"/>
      <c r="EF60" s="58"/>
      <c r="EG60" s="58"/>
      <c r="EH60" s="15"/>
      <c r="EI60" s="58"/>
      <c r="EJ60" s="58"/>
    </row>
    <row r="61" spans="1:140" x14ac:dyDescent="0.2">
      <c r="A61" s="17" t="s">
        <v>81</v>
      </c>
      <c r="B61" s="92"/>
      <c r="G61" s="55"/>
      <c r="H61" s="55"/>
      <c r="J61" s="55"/>
      <c r="K61" s="55"/>
      <c r="M61" s="55"/>
      <c r="N61" s="55"/>
      <c r="P61" s="55"/>
      <c r="Q61" s="55"/>
      <c r="S61" s="55"/>
      <c r="T61" s="55"/>
      <c r="V61" s="55"/>
      <c r="W61" s="55"/>
      <c r="Y61" s="55"/>
      <c r="Z61" s="55"/>
      <c r="AA61" s="55"/>
      <c r="AC61" s="55"/>
      <c r="AD61" s="55"/>
      <c r="AF61" s="55"/>
      <c r="AG61" s="55"/>
      <c r="AI61" s="55"/>
      <c r="AJ61" s="55"/>
      <c r="AL61" s="55"/>
      <c r="AM61" s="55"/>
      <c r="AO61" s="55"/>
      <c r="AP61" s="55"/>
      <c r="AR61" s="55"/>
      <c r="AS61" s="55"/>
      <c r="AT61" s="55"/>
      <c r="AV61" s="55"/>
      <c r="AW61" s="55"/>
      <c r="AY61" s="55"/>
      <c r="AZ61" s="55"/>
      <c r="BB61" s="55"/>
      <c r="BC61" s="55"/>
      <c r="BE61" s="55"/>
      <c r="BF61" s="55"/>
      <c r="BH61" s="55"/>
      <c r="BI61" s="55"/>
      <c r="BK61" s="55"/>
      <c r="BL61" s="55"/>
      <c r="BM61" s="55"/>
      <c r="BO61" s="55"/>
      <c r="BP61" s="55"/>
      <c r="BR61" s="55"/>
      <c r="BS61" s="55"/>
      <c r="BU61" s="55"/>
      <c r="BV61" s="55"/>
      <c r="BX61" s="55"/>
      <c r="BY61" s="55"/>
      <c r="CA61" s="55"/>
      <c r="CB61" s="55"/>
      <c r="CD61" s="55"/>
      <c r="CE61" s="55"/>
      <c r="CF61" s="55"/>
      <c r="CH61" s="55"/>
      <c r="CI61" s="55"/>
      <c r="CK61" s="55"/>
      <c r="CL61" s="55"/>
      <c r="CN61" s="55"/>
      <c r="CO61" s="55"/>
      <c r="CQ61" s="55"/>
      <c r="CR61" s="55"/>
      <c r="CT61" s="55"/>
      <c r="CU61" s="55"/>
      <c r="CW61" s="55"/>
      <c r="CX61" s="55"/>
      <c r="CY61" s="55"/>
      <c r="DA61" s="55"/>
      <c r="DB61" s="55"/>
      <c r="DD61" s="55"/>
      <c r="DE61" s="55"/>
      <c r="DG61" s="55"/>
      <c r="DH61" s="55"/>
      <c r="DJ61" s="55"/>
      <c r="DK61" s="55"/>
      <c r="DM61" s="55"/>
      <c r="DN61" s="55"/>
      <c r="DP61" s="55"/>
      <c r="DQ61" s="55"/>
      <c r="DR61" s="55"/>
      <c r="DT61" s="55"/>
      <c r="DU61" s="55"/>
      <c r="DW61" s="55"/>
      <c r="DX61" s="55"/>
      <c r="DZ61" s="55"/>
      <c r="EA61" s="55"/>
      <c r="EC61" s="55"/>
      <c r="ED61" s="55"/>
      <c r="EF61" s="55"/>
      <c r="EG61" s="55"/>
      <c r="EI61" s="55"/>
      <c r="EJ61" s="55"/>
    </row>
    <row r="62" spans="1:140" ht="16" customHeight="1" thickBot="1" x14ac:dyDescent="0.25">
      <c r="A62" s="18" t="s">
        <v>82</v>
      </c>
      <c r="B62" s="92"/>
      <c r="G62" s="55"/>
      <c r="H62" s="55"/>
      <c r="J62" s="55"/>
      <c r="K62" s="55"/>
      <c r="M62" s="55"/>
      <c r="N62" s="55"/>
      <c r="P62" s="55"/>
      <c r="Q62" s="55"/>
      <c r="S62" s="55"/>
      <c r="T62" s="55"/>
      <c r="V62" s="55"/>
      <c r="W62" s="55"/>
      <c r="Y62" s="55"/>
      <c r="Z62" s="55"/>
      <c r="AA62" s="55"/>
      <c r="AC62" s="55"/>
      <c r="AD62" s="55"/>
      <c r="AF62" s="55"/>
      <c r="AG62" s="55"/>
      <c r="AI62" s="55"/>
      <c r="AJ62" s="55"/>
      <c r="AL62" s="55"/>
      <c r="AM62" s="55"/>
      <c r="AO62" s="55"/>
      <c r="AP62" s="55"/>
      <c r="AR62" s="55"/>
      <c r="AS62" s="55"/>
      <c r="AT62" s="55"/>
      <c r="AV62" s="55"/>
      <c r="AW62" s="55"/>
      <c r="AY62" s="55"/>
      <c r="AZ62" s="55"/>
      <c r="BB62" s="55"/>
      <c r="BC62" s="55"/>
      <c r="BE62" s="55"/>
      <c r="BF62" s="55"/>
      <c r="BH62" s="55"/>
      <c r="BI62" s="55"/>
      <c r="BK62" s="55"/>
      <c r="BL62" s="55"/>
      <c r="BM62" s="55"/>
      <c r="BO62" s="55"/>
      <c r="BP62" s="55"/>
      <c r="BR62" s="55"/>
      <c r="BS62" s="55"/>
      <c r="BU62" s="55"/>
      <c r="BV62" s="55"/>
      <c r="BX62" s="55"/>
      <c r="BY62" s="55"/>
      <c r="CA62" s="55"/>
      <c r="CB62" s="55"/>
      <c r="CD62" s="55"/>
      <c r="CE62" s="55"/>
      <c r="CF62" s="55"/>
      <c r="CH62" s="55"/>
      <c r="CI62" s="55"/>
      <c r="CK62" s="55"/>
      <c r="CL62" s="55"/>
      <c r="CN62" s="55"/>
      <c r="CO62" s="55"/>
      <c r="CQ62" s="55"/>
      <c r="CR62" s="55"/>
      <c r="CT62" s="55"/>
      <c r="CU62" s="55"/>
      <c r="CW62" s="55"/>
      <c r="CX62" s="55"/>
      <c r="CY62" s="55"/>
      <c r="DA62" s="55"/>
      <c r="DB62" s="55"/>
      <c r="DD62" s="55"/>
      <c r="DE62" s="55"/>
      <c r="DG62" s="55"/>
      <c r="DH62" s="55"/>
      <c r="DJ62" s="55"/>
      <c r="DK62" s="55"/>
      <c r="DM62" s="55"/>
      <c r="DN62" s="55"/>
      <c r="DP62" s="55"/>
      <c r="DQ62" s="55"/>
      <c r="DR62" s="55"/>
      <c r="DT62" s="55"/>
      <c r="DU62" s="55"/>
      <c r="DW62" s="55"/>
      <c r="DX62" s="55"/>
      <c r="DZ62" s="55"/>
      <c r="EA62" s="55"/>
      <c r="EC62" s="55"/>
      <c r="ED62" s="55"/>
      <c r="EF62" s="55"/>
      <c r="EG62" s="55"/>
      <c r="EI62" s="55"/>
      <c r="EJ62" s="55"/>
    </row>
    <row r="63" spans="1:140" s="5" customFormat="1" x14ac:dyDescent="0.2">
      <c r="A63" s="36" t="s">
        <v>83</v>
      </c>
      <c r="B63" s="93" t="s">
        <v>35</v>
      </c>
      <c r="C63" s="82" t="e">
        <f t="shared" ref="C63:AH63" si="90">C42/C32</f>
        <v>#DIV/0!</v>
      </c>
      <c r="D63" s="62" t="e">
        <f t="shared" si="90"/>
        <v>#DIV/0!</v>
      </c>
      <c r="E63" s="37" t="e">
        <f t="shared" si="90"/>
        <v>#DIV/0!</v>
      </c>
      <c r="F63" s="47" t="e">
        <f t="shared" si="90"/>
        <v>#DIV/0!</v>
      </c>
      <c r="G63" s="62" t="e">
        <f t="shared" si="90"/>
        <v>#DIV/0!</v>
      </c>
      <c r="H63" s="62" t="e">
        <f t="shared" si="90"/>
        <v>#DIV/0!</v>
      </c>
      <c r="I63" s="47" t="e">
        <f t="shared" si="90"/>
        <v>#DIV/0!</v>
      </c>
      <c r="J63" s="62" t="e">
        <f t="shared" si="90"/>
        <v>#DIV/0!</v>
      </c>
      <c r="K63" s="62" t="e">
        <f t="shared" si="90"/>
        <v>#DIV/0!</v>
      </c>
      <c r="L63" s="47" t="e">
        <f t="shared" si="90"/>
        <v>#DIV/0!</v>
      </c>
      <c r="M63" s="62" t="e">
        <f t="shared" si="90"/>
        <v>#DIV/0!</v>
      </c>
      <c r="N63" s="62" t="e">
        <f t="shared" si="90"/>
        <v>#DIV/0!</v>
      </c>
      <c r="O63" s="47" t="e">
        <f t="shared" si="90"/>
        <v>#DIV/0!</v>
      </c>
      <c r="P63" s="62" t="e">
        <f t="shared" si="90"/>
        <v>#DIV/0!</v>
      </c>
      <c r="Q63" s="62" t="e">
        <f t="shared" si="90"/>
        <v>#DIV/0!</v>
      </c>
      <c r="R63" s="47" t="e">
        <f t="shared" si="90"/>
        <v>#DIV/0!</v>
      </c>
      <c r="S63" s="62" t="e">
        <f t="shared" si="90"/>
        <v>#DIV/0!</v>
      </c>
      <c r="T63" s="62" t="e">
        <f t="shared" si="90"/>
        <v>#DIV/0!</v>
      </c>
      <c r="U63" s="47" t="e">
        <f t="shared" si="90"/>
        <v>#DIV/0!</v>
      </c>
      <c r="V63" s="62" t="e">
        <f t="shared" si="90"/>
        <v>#DIV/0!</v>
      </c>
      <c r="W63" s="62" t="e">
        <f t="shared" si="90"/>
        <v>#DIV/0!</v>
      </c>
      <c r="X63" s="47" t="e">
        <f t="shared" si="90"/>
        <v>#DIV/0!</v>
      </c>
      <c r="Y63" s="62" t="e">
        <f t="shared" si="90"/>
        <v>#DIV/0!</v>
      </c>
      <c r="Z63" s="62" t="e">
        <f t="shared" si="90"/>
        <v>#DIV/0!</v>
      </c>
      <c r="AA63" s="62" t="e">
        <f t="shared" si="90"/>
        <v>#N/A</v>
      </c>
      <c r="AB63" s="47" t="e">
        <f t="shared" si="90"/>
        <v>#N/A</v>
      </c>
      <c r="AC63" s="62" t="e">
        <f t="shared" si="90"/>
        <v>#N/A</v>
      </c>
      <c r="AD63" s="62" t="e">
        <f t="shared" si="90"/>
        <v>#N/A</v>
      </c>
      <c r="AE63" s="47" t="e">
        <f t="shared" si="90"/>
        <v>#N/A</v>
      </c>
      <c r="AF63" s="62" t="e">
        <f t="shared" si="90"/>
        <v>#N/A</v>
      </c>
      <c r="AG63" s="62" t="e">
        <f t="shared" si="90"/>
        <v>#N/A</v>
      </c>
      <c r="AH63" s="47" t="e">
        <f t="shared" si="90"/>
        <v>#N/A</v>
      </c>
      <c r="AI63" s="62" t="e">
        <f t="shared" ref="AI63:BN63" si="91">AI42/AI32</f>
        <v>#N/A</v>
      </c>
      <c r="AJ63" s="62" t="e">
        <f t="shared" si="91"/>
        <v>#N/A</v>
      </c>
      <c r="AK63" s="47" t="e">
        <f t="shared" si="91"/>
        <v>#N/A</v>
      </c>
      <c r="AL63" s="62" t="e">
        <f t="shared" si="91"/>
        <v>#N/A</v>
      </c>
      <c r="AM63" s="62" t="e">
        <f t="shared" si="91"/>
        <v>#N/A</v>
      </c>
      <c r="AN63" s="47" t="e">
        <f t="shared" si="91"/>
        <v>#N/A</v>
      </c>
      <c r="AO63" s="62" t="e">
        <f t="shared" si="91"/>
        <v>#N/A</v>
      </c>
      <c r="AP63" s="62" t="e">
        <f t="shared" si="91"/>
        <v>#N/A</v>
      </c>
      <c r="AQ63" s="47" t="e">
        <f t="shared" si="91"/>
        <v>#N/A</v>
      </c>
      <c r="AR63" s="62" t="e">
        <f t="shared" si="91"/>
        <v>#N/A</v>
      </c>
      <c r="AS63" s="62" t="e">
        <f t="shared" si="91"/>
        <v>#N/A</v>
      </c>
      <c r="AT63" s="62" t="e">
        <f t="shared" si="91"/>
        <v>#N/A</v>
      </c>
      <c r="AU63" s="47" t="e">
        <f t="shared" si="91"/>
        <v>#N/A</v>
      </c>
      <c r="AV63" s="62" t="e">
        <f t="shared" si="91"/>
        <v>#N/A</v>
      </c>
      <c r="AW63" s="62" t="e">
        <f t="shared" si="91"/>
        <v>#N/A</v>
      </c>
      <c r="AX63" s="47" t="e">
        <f t="shared" si="91"/>
        <v>#N/A</v>
      </c>
      <c r="AY63" s="62" t="e">
        <f t="shared" si="91"/>
        <v>#N/A</v>
      </c>
      <c r="AZ63" s="62" t="e">
        <f t="shared" si="91"/>
        <v>#N/A</v>
      </c>
      <c r="BA63" s="47" t="e">
        <f t="shared" si="91"/>
        <v>#N/A</v>
      </c>
      <c r="BB63" s="62" t="e">
        <f t="shared" si="91"/>
        <v>#N/A</v>
      </c>
      <c r="BC63" s="62" t="e">
        <f t="shared" si="91"/>
        <v>#N/A</v>
      </c>
      <c r="BD63" s="47" t="e">
        <f t="shared" si="91"/>
        <v>#N/A</v>
      </c>
      <c r="BE63" s="62" t="e">
        <f t="shared" si="91"/>
        <v>#N/A</v>
      </c>
      <c r="BF63" s="62" t="e">
        <f t="shared" si="91"/>
        <v>#N/A</v>
      </c>
      <c r="BG63" s="47" t="e">
        <f t="shared" si="91"/>
        <v>#N/A</v>
      </c>
      <c r="BH63" s="62" t="e">
        <f t="shared" si="91"/>
        <v>#N/A</v>
      </c>
      <c r="BI63" s="62" t="e">
        <f t="shared" si="91"/>
        <v>#N/A</v>
      </c>
      <c r="BJ63" s="47" t="e">
        <f t="shared" si="91"/>
        <v>#N/A</v>
      </c>
      <c r="BK63" s="62" t="e">
        <f t="shared" si="91"/>
        <v>#N/A</v>
      </c>
      <c r="BL63" s="62" t="e">
        <f t="shared" si="91"/>
        <v>#N/A</v>
      </c>
      <c r="BM63" s="62" t="e">
        <f t="shared" si="91"/>
        <v>#N/A</v>
      </c>
      <c r="BN63" s="47" t="e">
        <f t="shared" si="91"/>
        <v>#N/A</v>
      </c>
      <c r="BO63" s="62" t="e">
        <f t="shared" ref="BO63:CT63" si="92">BO42/BO32</f>
        <v>#N/A</v>
      </c>
      <c r="BP63" s="62" t="e">
        <f t="shared" si="92"/>
        <v>#N/A</v>
      </c>
      <c r="BQ63" s="47" t="e">
        <f t="shared" si="92"/>
        <v>#N/A</v>
      </c>
      <c r="BR63" s="62" t="e">
        <f t="shared" si="92"/>
        <v>#N/A</v>
      </c>
      <c r="BS63" s="62" t="e">
        <f t="shared" si="92"/>
        <v>#N/A</v>
      </c>
      <c r="BT63" s="47" t="e">
        <f t="shared" si="92"/>
        <v>#N/A</v>
      </c>
      <c r="BU63" s="62" t="e">
        <f t="shared" si="92"/>
        <v>#N/A</v>
      </c>
      <c r="BV63" s="62" t="e">
        <f t="shared" si="92"/>
        <v>#N/A</v>
      </c>
      <c r="BW63" s="47" t="e">
        <f t="shared" si="92"/>
        <v>#N/A</v>
      </c>
      <c r="BX63" s="62" t="e">
        <f t="shared" si="92"/>
        <v>#N/A</v>
      </c>
      <c r="BY63" s="62" t="e">
        <f t="shared" si="92"/>
        <v>#N/A</v>
      </c>
      <c r="BZ63" s="47" t="e">
        <f t="shared" si="92"/>
        <v>#N/A</v>
      </c>
      <c r="CA63" s="62" t="e">
        <f t="shared" si="92"/>
        <v>#N/A</v>
      </c>
      <c r="CB63" s="62" t="e">
        <f t="shared" si="92"/>
        <v>#N/A</v>
      </c>
      <c r="CC63" s="47" t="e">
        <f t="shared" si="92"/>
        <v>#N/A</v>
      </c>
      <c r="CD63" s="62" t="e">
        <f t="shared" si="92"/>
        <v>#N/A</v>
      </c>
      <c r="CE63" s="62" t="e">
        <f t="shared" si="92"/>
        <v>#N/A</v>
      </c>
      <c r="CF63" s="62" t="e">
        <f t="shared" si="92"/>
        <v>#N/A</v>
      </c>
      <c r="CG63" s="47" t="e">
        <f t="shared" si="92"/>
        <v>#N/A</v>
      </c>
      <c r="CH63" s="62" t="e">
        <f t="shared" si="92"/>
        <v>#N/A</v>
      </c>
      <c r="CI63" s="62" t="e">
        <f t="shared" si="92"/>
        <v>#N/A</v>
      </c>
      <c r="CJ63" s="47" t="e">
        <f t="shared" si="92"/>
        <v>#N/A</v>
      </c>
      <c r="CK63" s="62" t="e">
        <f t="shared" si="92"/>
        <v>#N/A</v>
      </c>
      <c r="CL63" s="62" t="e">
        <f t="shared" si="92"/>
        <v>#N/A</v>
      </c>
      <c r="CM63" s="47" t="e">
        <f t="shared" si="92"/>
        <v>#N/A</v>
      </c>
      <c r="CN63" s="62" t="e">
        <f t="shared" si="92"/>
        <v>#N/A</v>
      </c>
      <c r="CO63" s="62" t="e">
        <f t="shared" si="92"/>
        <v>#N/A</v>
      </c>
      <c r="CP63" s="47" t="e">
        <f t="shared" si="92"/>
        <v>#N/A</v>
      </c>
      <c r="CQ63" s="62" t="e">
        <f t="shared" si="92"/>
        <v>#N/A</v>
      </c>
      <c r="CR63" s="62" t="e">
        <f t="shared" si="92"/>
        <v>#N/A</v>
      </c>
      <c r="CS63" s="47" t="e">
        <f t="shared" si="92"/>
        <v>#N/A</v>
      </c>
      <c r="CT63" s="62" t="e">
        <f t="shared" si="92"/>
        <v>#N/A</v>
      </c>
      <c r="CU63" s="62" t="e">
        <f t="shared" ref="CU63:DZ63" si="93">CU42/CU32</f>
        <v>#N/A</v>
      </c>
      <c r="CV63" s="47" t="e">
        <f t="shared" si="93"/>
        <v>#N/A</v>
      </c>
      <c r="CW63" s="62" t="e">
        <f t="shared" si="93"/>
        <v>#N/A</v>
      </c>
      <c r="CX63" s="62" t="e">
        <f t="shared" si="93"/>
        <v>#N/A</v>
      </c>
      <c r="CY63" s="62" t="e">
        <f t="shared" si="93"/>
        <v>#N/A</v>
      </c>
      <c r="CZ63" s="47" t="e">
        <f t="shared" si="93"/>
        <v>#N/A</v>
      </c>
      <c r="DA63" s="62" t="e">
        <f t="shared" si="93"/>
        <v>#N/A</v>
      </c>
      <c r="DB63" s="62" t="e">
        <f t="shared" si="93"/>
        <v>#N/A</v>
      </c>
      <c r="DC63" s="47" t="e">
        <f t="shared" si="93"/>
        <v>#N/A</v>
      </c>
      <c r="DD63" s="62" t="e">
        <f t="shared" si="93"/>
        <v>#N/A</v>
      </c>
      <c r="DE63" s="62" t="e">
        <f t="shared" si="93"/>
        <v>#N/A</v>
      </c>
      <c r="DF63" s="47" t="e">
        <f t="shared" si="93"/>
        <v>#N/A</v>
      </c>
      <c r="DG63" s="62" t="e">
        <f t="shared" si="93"/>
        <v>#N/A</v>
      </c>
      <c r="DH63" s="62" t="e">
        <f t="shared" si="93"/>
        <v>#N/A</v>
      </c>
      <c r="DI63" s="47" t="e">
        <f t="shared" si="93"/>
        <v>#N/A</v>
      </c>
      <c r="DJ63" s="62" t="e">
        <f t="shared" si="93"/>
        <v>#N/A</v>
      </c>
      <c r="DK63" s="62" t="e">
        <f t="shared" si="93"/>
        <v>#N/A</v>
      </c>
      <c r="DL63" s="47" t="e">
        <f t="shared" si="93"/>
        <v>#N/A</v>
      </c>
      <c r="DM63" s="62" t="e">
        <f t="shared" si="93"/>
        <v>#N/A</v>
      </c>
      <c r="DN63" s="62" t="e">
        <f t="shared" si="93"/>
        <v>#N/A</v>
      </c>
      <c r="DO63" s="47" t="e">
        <f t="shared" si="93"/>
        <v>#N/A</v>
      </c>
      <c r="DP63" s="62" t="e">
        <f t="shared" si="93"/>
        <v>#N/A</v>
      </c>
      <c r="DQ63" s="62" t="e">
        <f t="shared" si="93"/>
        <v>#N/A</v>
      </c>
      <c r="DR63" s="62" t="e">
        <f t="shared" si="93"/>
        <v>#N/A</v>
      </c>
      <c r="DS63" s="47" t="e">
        <f t="shared" si="93"/>
        <v>#N/A</v>
      </c>
      <c r="DT63" s="62" t="e">
        <f t="shared" si="93"/>
        <v>#N/A</v>
      </c>
      <c r="DU63" s="62" t="e">
        <f t="shared" si="93"/>
        <v>#N/A</v>
      </c>
      <c r="DV63" s="47" t="e">
        <f t="shared" si="93"/>
        <v>#N/A</v>
      </c>
      <c r="DW63" s="62" t="e">
        <f t="shared" si="93"/>
        <v>#N/A</v>
      </c>
      <c r="DX63" s="62" t="e">
        <f t="shared" si="93"/>
        <v>#N/A</v>
      </c>
      <c r="DY63" s="47" t="e">
        <f t="shared" si="93"/>
        <v>#N/A</v>
      </c>
      <c r="DZ63" s="62" t="e">
        <f t="shared" si="93"/>
        <v>#N/A</v>
      </c>
      <c r="EA63" s="62" t="e">
        <f t="shared" ref="EA63:EJ63" si="94">EA42/EA32</f>
        <v>#N/A</v>
      </c>
      <c r="EB63" s="47" t="e">
        <f t="shared" si="94"/>
        <v>#N/A</v>
      </c>
      <c r="EC63" s="62" t="e">
        <f t="shared" si="94"/>
        <v>#N/A</v>
      </c>
      <c r="ED63" s="62" t="e">
        <f t="shared" si="94"/>
        <v>#N/A</v>
      </c>
      <c r="EE63" s="47" t="e">
        <f t="shared" si="94"/>
        <v>#N/A</v>
      </c>
      <c r="EF63" s="62" t="e">
        <f t="shared" si="94"/>
        <v>#N/A</v>
      </c>
      <c r="EG63" s="62" t="e">
        <f t="shared" si="94"/>
        <v>#N/A</v>
      </c>
      <c r="EH63" s="47" t="e">
        <f t="shared" si="94"/>
        <v>#N/A</v>
      </c>
      <c r="EI63" s="62" t="e">
        <f t="shared" si="94"/>
        <v>#N/A</v>
      </c>
      <c r="EJ63" s="62" t="e">
        <f t="shared" si="94"/>
        <v>#N/A</v>
      </c>
    </row>
    <row r="64" spans="1:140" s="6" customFormat="1" x14ac:dyDescent="0.2">
      <c r="A64" s="38" t="s">
        <v>84</v>
      </c>
      <c r="B64" s="94" t="s">
        <v>35</v>
      </c>
      <c r="C64" s="83" t="e">
        <f t="shared" ref="C64:AH64" si="95">C45/C31</f>
        <v>#DIV/0!</v>
      </c>
      <c r="D64" s="63" t="e">
        <f t="shared" si="95"/>
        <v>#DIV/0!</v>
      </c>
      <c r="E64" s="39" t="e">
        <f t="shared" si="95"/>
        <v>#DIV/0!</v>
      </c>
      <c r="F64" s="28" t="e">
        <f t="shared" si="95"/>
        <v>#DIV/0!</v>
      </c>
      <c r="G64" s="63" t="e">
        <f t="shared" si="95"/>
        <v>#DIV/0!</v>
      </c>
      <c r="H64" s="63" t="e">
        <f t="shared" si="95"/>
        <v>#DIV/0!</v>
      </c>
      <c r="I64" s="28" t="e">
        <f t="shared" si="95"/>
        <v>#DIV/0!</v>
      </c>
      <c r="J64" s="63" t="e">
        <f t="shared" si="95"/>
        <v>#DIV/0!</v>
      </c>
      <c r="K64" s="63" t="e">
        <f t="shared" si="95"/>
        <v>#DIV/0!</v>
      </c>
      <c r="L64" s="28" t="e">
        <f t="shared" si="95"/>
        <v>#DIV/0!</v>
      </c>
      <c r="M64" s="63" t="e">
        <f t="shared" si="95"/>
        <v>#DIV/0!</v>
      </c>
      <c r="N64" s="63" t="e">
        <f t="shared" si="95"/>
        <v>#DIV/0!</v>
      </c>
      <c r="O64" s="28" t="e">
        <f t="shared" si="95"/>
        <v>#DIV/0!</v>
      </c>
      <c r="P64" s="63" t="e">
        <f t="shared" si="95"/>
        <v>#DIV/0!</v>
      </c>
      <c r="Q64" s="63" t="e">
        <f t="shared" si="95"/>
        <v>#DIV/0!</v>
      </c>
      <c r="R64" s="28" t="e">
        <f t="shared" si="95"/>
        <v>#DIV/0!</v>
      </c>
      <c r="S64" s="63" t="e">
        <f t="shared" si="95"/>
        <v>#DIV/0!</v>
      </c>
      <c r="T64" s="63" t="e">
        <f t="shared" si="95"/>
        <v>#DIV/0!</v>
      </c>
      <c r="U64" s="28" t="e">
        <f t="shared" si="95"/>
        <v>#DIV/0!</v>
      </c>
      <c r="V64" s="63" t="e">
        <f t="shared" si="95"/>
        <v>#DIV/0!</v>
      </c>
      <c r="W64" s="63" t="e">
        <f t="shared" si="95"/>
        <v>#DIV/0!</v>
      </c>
      <c r="X64" s="28" t="e">
        <f t="shared" si="95"/>
        <v>#DIV/0!</v>
      </c>
      <c r="Y64" s="63" t="e">
        <f t="shared" si="95"/>
        <v>#DIV/0!</v>
      </c>
      <c r="Z64" s="63" t="e">
        <f t="shared" si="95"/>
        <v>#DIV/0!</v>
      </c>
      <c r="AA64" s="63" t="e">
        <f t="shared" si="95"/>
        <v>#N/A</v>
      </c>
      <c r="AB64" s="28" t="e">
        <f t="shared" si="95"/>
        <v>#N/A</v>
      </c>
      <c r="AC64" s="63" t="e">
        <f t="shared" si="95"/>
        <v>#N/A</v>
      </c>
      <c r="AD64" s="63" t="e">
        <f t="shared" si="95"/>
        <v>#N/A</v>
      </c>
      <c r="AE64" s="28" t="e">
        <f t="shared" si="95"/>
        <v>#N/A</v>
      </c>
      <c r="AF64" s="63" t="e">
        <f t="shared" si="95"/>
        <v>#N/A</v>
      </c>
      <c r="AG64" s="63" t="e">
        <f t="shared" si="95"/>
        <v>#N/A</v>
      </c>
      <c r="AH64" s="28" t="e">
        <f t="shared" si="95"/>
        <v>#N/A</v>
      </c>
      <c r="AI64" s="63" t="e">
        <f t="shared" ref="AI64:BN64" si="96">AI45/AI31</f>
        <v>#N/A</v>
      </c>
      <c r="AJ64" s="63" t="e">
        <f t="shared" si="96"/>
        <v>#N/A</v>
      </c>
      <c r="AK64" s="28" t="e">
        <f t="shared" si="96"/>
        <v>#N/A</v>
      </c>
      <c r="AL64" s="63" t="e">
        <f t="shared" si="96"/>
        <v>#N/A</v>
      </c>
      <c r="AM64" s="63" t="e">
        <f t="shared" si="96"/>
        <v>#N/A</v>
      </c>
      <c r="AN64" s="28" t="e">
        <f t="shared" si="96"/>
        <v>#N/A</v>
      </c>
      <c r="AO64" s="63" t="e">
        <f t="shared" si="96"/>
        <v>#N/A</v>
      </c>
      <c r="AP64" s="63" t="e">
        <f t="shared" si="96"/>
        <v>#N/A</v>
      </c>
      <c r="AQ64" s="28" t="e">
        <f t="shared" si="96"/>
        <v>#N/A</v>
      </c>
      <c r="AR64" s="63" t="e">
        <f t="shared" si="96"/>
        <v>#N/A</v>
      </c>
      <c r="AS64" s="63" t="e">
        <f t="shared" si="96"/>
        <v>#N/A</v>
      </c>
      <c r="AT64" s="63" t="e">
        <f t="shared" si="96"/>
        <v>#N/A</v>
      </c>
      <c r="AU64" s="28" t="e">
        <f t="shared" si="96"/>
        <v>#N/A</v>
      </c>
      <c r="AV64" s="63" t="e">
        <f t="shared" si="96"/>
        <v>#N/A</v>
      </c>
      <c r="AW64" s="63" t="e">
        <f t="shared" si="96"/>
        <v>#N/A</v>
      </c>
      <c r="AX64" s="28" t="e">
        <f t="shared" si="96"/>
        <v>#N/A</v>
      </c>
      <c r="AY64" s="63" t="e">
        <f t="shared" si="96"/>
        <v>#N/A</v>
      </c>
      <c r="AZ64" s="63" t="e">
        <f t="shared" si="96"/>
        <v>#N/A</v>
      </c>
      <c r="BA64" s="28" t="e">
        <f t="shared" si="96"/>
        <v>#N/A</v>
      </c>
      <c r="BB64" s="63" t="e">
        <f t="shared" si="96"/>
        <v>#N/A</v>
      </c>
      <c r="BC64" s="63" t="e">
        <f t="shared" si="96"/>
        <v>#N/A</v>
      </c>
      <c r="BD64" s="28" t="e">
        <f t="shared" si="96"/>
        <v>#N/A</v>
      </c>
      <c r="BE64" s="63" t="e">
        <f t="shared" si="96"/>
        <v>#N/A</v>
      </c>
      <c r="BF64" s="63" t="e">
        <f t="shared" si="96"/>
        <v>#N/A</v>
      </c>
      <c r="BG64" s="28" t="e">
        <f t="shared" si="96"/>
        <v>#N/A</v>
      </c>
      <c r="BH64" s="63" t="e">
        <f t="shared" si="96"/>
        <v>#N/A</v>
      </c>
      <c r="BI64" s="63" t="e">
        <f t="shared" si="96"/>
        <v>#N/A</v>
      </c>
      <c r="BJ64" s="28" t="e">
        <f t="shared" si="96"/>
        <v>#N/A</v>
      </c>
      <c r="BK64" s="63" t="e">
        <f t="shared" si="96"/>
        <v>#N/A</v>
      </c>
      <c r="BL64" s="63" t="e">
        <f t="shared" si="96"/>
        <v>#N/A</v>
      </c>
      <c r="BM64" s="63" t="e">
        <f t="shared" si="96"/>
        <v>#N/A</v>
      </c>
      <c r="BN64" s="28" t="e">
        <f t="shared" si="96"/>
        <v>#N/A</v>
      </c>
      <c r="BO64" s="63" t="e">
        <f t="shared" ref="BO64:CT64" si="97">BO45/BO31</f>
        <v>#N/A</v>
      </c>
      <c r="BP64" s="63" t="e">
        <f t="shared" si="97"/>
        <v>#N/A</v>
      </c>
      <c r="BQ64" s="28" t="e">
        <f t="shared" si="97"/>
        <v>#N/A</v>
      </c>
      <c r="BR64" s="63" t="e">
        <f t="shared" si="97"/>
        <v>#N/A</v>
      </c>
      <c r="BS64" s="63" t="e">
        <f t="shared" si="97"/>
        <v>#N/A</v>
      </c>
      <c r="BT64" s="28" t="e">
        <f t="shared" si="97"/>
        <v>#N/A</v>
      </c>
      <c r="BU64" s="63" t="e">
        <f t="shared" si="97"/>
        <v>#N/A</v>
      </c>
      <c r="BV64" s="63" t="e">
        <f t="shared" si="97"/>
        <v>#N/A</v>
      </c>
      <c r="BW64" s="28" t="e">
        <f t="shared" si="97"/>
        <v>#N/A</v>
      </c>
      <c r="BX64" s="63" t="e">
        <f t="shared" si="97"/>
        <v>#N/A</v>
      </c>
      <c r="BY64" s="63" t="e">
        <f t="shared" si="97"/>
        <v>#N/A</v>
      </c>
      <c r="BZ64" s="28" t="e">
        <f t="shared" si="97"/>
        <v>#N/A</v>
      </c>
      <c r="CA64" s="63" t="e">
        <f t="shared" si="97"/>
        <v>#N/A</v>
      </c>
      <c r="CB64" s="63" t="e">
        <f t="shared" si="97"/>
        <v>#N/A</v>
      </c>
      <c r="CC64" s="28" t="e">
        <f t="shared" si="97"/>
        <v>#N/A</v>
      </c>
      <c r="CD64" s="63" t="e">
        <f t="shared" si="97"/>
        <v>#N/A</v>
      </c>
      <c r="CE64" s="63" t="e">
        <f t="shared" si="97"/>
        <v>#N/A</v>
      </c>
      <c r="CF64" s="63" t="e">
        <f t="shared" si="97"/>
        <v>#N/A</v>
      </c>
      <c r="CG64" s="28" t="e">
        <f t="shared" si="97"/>
        <v>#N/A</v>
      </c>
      <c r="CH64" s="63" t="e">
        <f t="shared" si="97"/>
        <v>#N/A</v>
      </c>
      <c r="CI64" s="63" t="e">
        <f t="shared" si="97"/>
        <v>#N/A</v>
      </c>
      <c r="CJ64" s="28" t="e">
        <f t="shared" si="97"/>
        <v>#N/A</v>
      </c>
      <c r="CK64" s="63" t="e">
        <f t="shared" si="97"/>
        <v>#N/A</v>
      </c>
      <c r="CL64" s="63" t="e">
        <f t="shared" si="97"/>
        <v>#N/A</v>
      </c>
      <c r="CM64" s="28" t="e">
        <f t="shared" si="97"/>
        <v>#N/A</v>
      </c>
      <c r="CN64" s="63" t="e">
        <f t="shared" si="97"/>
        <v>#N/A</v>
      </c>
      <c r="CO64" s="63" t="e">
        <f t="shared" si="97"/>
        <v>#N/A</v>
      </c>
      <c r="CP64" s="28" t="e">
        <f t="shared" si="97"/>
        <v>#N/A</v>
      </c>
      <c r="CQ64" s="63" t="e">
        <f t="shared" si="97"/>
        <v>#N/A</v>
      </c>
      <c r="CR64" s="63" t="e">
        <f t="shared" si="97"/>
        <v>#N/A</v>
      </c>
      <c r="CS64" s="28" t="e">
        <f t="shared" si="97"/>
        <v>#N/A</v>
      </c>
      <c r="CT64" s="63" t="e">
        <f t="shared" si="97"/>
        <v>#N/A</v>
      </c>
      <c r="CU64" s="63" t="e">
        <f t="shared" ref="CU64:DZ64" si="98">CU45/CU31</f>
        <v>#N/A</v>
      </c>
      <c r="CV64" s="28" t="e">
        <f t="shared" si="98"/>
        <v>#N/A</v>
      </c>
      <c r="CW64" s="63" t="e">
        <f t="shared" si="98"/>
        <v>#N/A</v>
      </c>
      <c r="CX64" s="63" t="e">
        <f t="shared" si="98"/>
        <v>#N/A</v>
      </c>
      <c r="CY64" s="63" t="e">
        <f t="shared" si="98"/>
        <v>#N/A</v>
      </c>
      <c r="CZ64" s="28" t="e">
        <f t="shared" si="98"/>
        <v>#N/A</v>
      </c>
      <c r="DA64" s="63" t="e">
        <f t="shared" si="98"/>
        <v>#N/A</v>
      </c>
      <c r="DB64" s="63" t="e">
        <f t="shared" si="98"/>
        <v>#N/A</v>
      </c>
      <c r="DC64" s="28" t="e">
        <f t="shared" si="98"/>
        <v>#N/A</v>
      </c>
      <c r="DD64" s="63" t="e">
        <f t="shared" si="98"/>
        <v>#N/A</v>
      </c>
      <c r="DE64" s="63" t="e">
        <f t="shared" si="98"/>
        <v>#N/A</v>
      </c>
      <c r="DF64" s="28" t="e">
        <f t="shared" si="98"/>
        <v>#N/A</v>
      </c>
      <c r="DG64" s="63" t="e">
        <f t="shared" si="98"/>
        <v>#N/A</v>
      </c>
      <c r="DH64" s="63" t="e">
        <f t="shared" si="98"/>
        <v>#N/A</v>
      </c>
      <c r="DI64" s="28" t="e">
        <f t="shared" si="98"/>
        <v>#N/A</v>
      </c>
      <c r="DJ64" s="63" t="e">
        <f t="shared" si="98"/>
        <v>#N/A</v>
      </c>
      <c r="DK64" s="63" t="e">
        <f t="shared" si="98"/>
        <v>#N/A</v>
      </c>
      <c r="DL64" s="28" t="e">
        <f t="shared" si="98"/>
        <v>#N/A</v>
      </c>
      <c r="DM64" s="63" t="e">
        <f t="shared" si="98"/>
        <v>#N/A</v>
      </c>
      <c r="DN64" s="63" t="e">
        <f t="shared" si="98"/>
        <v>#N/A</v>
      </c>
      <c r="DO64" s="28" t="e">
        <f t="shared" si="98"/>
        <v>#N/A</v>
      </c>
      <c r="DP64" s="63" t="e">
        <f t="shared" si="98"/>
        <v>#N/A</v>
      </c>
      <c r="DQ64" s="63" t="e">
        <f t="shared" si="98"/>
        <v>#N/A</v>
      </c>
      <c r="DR64" s="63" t="e">
        <f t="shared" si="98"/>
        <v>#N/A</v>
      </c>
      <c r="DS64" s="28" t="e">
        <f t="shared" si="98"/>
        <v>#N/A</v>
      </c>
      <c r="DT64" s="63" t="e">
        <f t="shared" si="98"/>
        <v>#N/A</v>
      </c>
      <c r="DU64" s="63" t="e">
        <f t="shared" si="98"/>
        <v>#N/A</v>
      </c>
      <c r="DV64" s="28" t="e">
        <f t="shared" si="98"/>
        <v>#N/A</v>
      </c>
      <c r="DW64" s="63" t="e">
        <f t="shared" si="98"/>
        <v>#N/A</v>
      </c>
      <c r="DX64" s="63" t="e">
        <f t="shared" si="98"/>
        <v>#N/A</v>
      </c>
      <c r="DY64" s="28" t="e">
        <f t="shared" si="98"/>
        <v>#N/A</v>
      </c>
      <c r="DZ64" s="63" t="e">
        <f t="shared" si="98"/>
        <v>#N/A</v>
      </c>
      <c r="EA64" s="63" t="e">
        <f t="shared" ref="EA64:EJ64" si="99">EA45/EA31</f>
        <v>#N/A</v>
      </c>
      <c r="EB64" s="28" t="e">
        <f t="shared" si="99"/>
        <v>#N/A</v>
      </c>
      <c r="EC64" s="63" t="e">
        <f t="shared" si="99"/>
        <v>#N/A</v>
      </c>
      <c r="ED64" s="63" t="e">
        <f t="shared" si="99"/>
        <v>#N/A</v>
      </c>
      <c r="EE64" s="28" t="e">
        <f t="shared" si="99"/>
        <v>#N/A</v>
      </c>
      <c r="EF64" s="63" t="e">
        <f t="shared" si="99"/>
        <v>#N/A</v>
      </c>
      <c r="EG64" s="63" t="e">
        <f t="shared" si="99"/>
        <v>#N/A</v>
      </c>
      <c r="EH64" s="28" t="e">
        <f t="shared" si="99"/>
        <v>#N/A</v>
      </c>
      <c r="EI64" s="63" t="e">
        <f t="shared" si="99"/>
        <v>#N/A</v>
      </c>
      <c r="EJ64" s="63" t="e">
        <f t="shared" si="99"/>
        <v>#N/A</v>
      </c>
    </row>
    <row r="65" spans="1:140" s="6" customFormat="1" x14ac:dyDescent="0.2">
      <c r="A65" s="38" t="s">
        <v>85</v>
      </c>
      <c r="B65" s="94" t="s">
        <v>35</v>
      </c>
      <c r="C65" s="83" t="e">
        <f t="shared" ref="C65:AH65" si="100">C48/C56*1000</f>
        <v>#DIV/0!</v>
      </c>
      <c r="D65" s="63" t="e">
        <f t="shared" si="100"/>
        <v>#DIV/0!</v>
      </c>
      <c r="E65" s="39" t="e">
        <f t="shared" si="100"/>
        <v>#DIV/0!</v>
      </c>
      <c r="F65" s="28" t="e">
        <f t="shared" si="100"/>
        <v>#DIV/0!</v>
      </c>
      <c r="G65" s="63" t="e">
        <f t="shared" si="100"/>
        <v>#DIV/0!</v>
      </c>
      <c r="H65" s="63" t="e">
        <f t="shared" si="100"/>
        <v>#DIV/0!</v>
      </c>
      <c r="I65" s="28" t="e">
        <f t="shared" si="100"/>
        <v>#DIV/0!</v>
      </c>
      <c r="J65" s="63" t="e">
        <f t="shared" si="100"/>
        <v>#DIV/0!</v>
      </c>
      <c r="K65" s="63" t="e">
        <f t="shared" si="100"/>
        <v>#DIV/0!</v>
      </c>
      <c r="L65" s="28" t="e">
        <f t="shared" si="100"/>
        <v>#DIV/0!</v>
      </c>
      <c r="M65" s="63" t="e">
        <f t="shared" si="100"/>
        <v>#DIV/0!</v>
      </c>
      <c r="N65" s="63" t="e">
        <f t="shared" si="100"/>
        <v>#DIV/0!</v>
      </c>
      <c r="O65" s="28" t="e">
        <f t="shared" si="100"/>
        <v>#DIV/0!</v>
      </c>
      <c r="P65" s="63" t="e">
        <f t="shared" si="100"/>
        <v>#DIV/0!</v>
      </c>
      <c r="Q65" s="63" t="e">
        <f t="shared" si="100"/>
        <v>#DIV/0!</v>
      </c>
      <c r="R65" s="28" t="e">
        <f t="shared" si="100"/>
        <v>#DIV/0!</v>
      </c>
      <c r="S65" s="63" t="e">
        <f t="shared" si="100"/>
        <v>#DIV/0!</v>
      </c>
      <c r="T65" s="63" t="e">
        <f t="shared" si="100"/>
        <v>#DIV/0!</v>
      </c>
      <c r="U65" s="28" t="e">
        <f t="shared" si="100"/>
        <v>#DIV/0!</v>
      </c>
      <c r="V65" s="63" t="e">
        <f t="shared" si="100"/>
        <v>#DIV/0!</v>
      </c>
      <c r="W65" s="63" t="e">
        <f t="shared" si="100"/>
        <v>#DIV/0!</v>
      </c>
      <c r="X65" s="28" t="e">
        <f t="shared" si="100"/>
        <v>#DIV/0!</v>
      </c>
      <c r="Y65" s="63" t="e">
        <f t="shared" si="100"/>
        <v>#DIV/0!</v>
      </c>
      <c r="Z65" s="63" t="e">
        <f t="shared" si="100"/>
        <v>#DIV/0!</v>
      </c>
      <c r="AA65" s="63" t="e">
        <f t="shared" si="100"/>
        <v>#N/A</v>
      </c>
      <c r="AB65" s="28" t="e">
        <f t="shared" si="100"/>
        <v>#N/A</v>
      </c>
      <c r="AC65" s="63" t="e">
        <f t="shared" si="100"/>
        <v>#N/A</v>
      </c>
      <c r="AD65" s="63" t="e">
        <f t="shared" si="100"/>
        <v>#N/A</v>
      </c>
      <c r="AE65" s="28" t="e">
        <f t="shared" si="100"/>
        <v>#N/A</v>
      </c>
      <c r="AF65" s="63" t="e">
        <f t="shared" si="100"/>
        <v>#N/A</v>
      </c>
      <c r="AG65" s="63" t="e">
        <f t="shared" si="100"/>
        <v>#N/A</v>
      </c>
      <c r="AH65" s="28" t="e">
        <f t="shared" si="100"/>
        <v>#N/A</v>
      </c>
      <c r="AI65" s="63" t="e">
        <f t="shared" ref="AI65:BN65" si="101">AI48/AI56*1000</f>
        <v>#N/A</v>
      </c>
      <c r="AJ65" s="63" t="e">
        <f t="shared" si="101"/>
        <v>#N/A</v>
      </c>
      <c r="AK65" s="28" t="e">
        <f t="shared" si="101"/>
        <v>#N/A</v>
      </c>
      <c r="AL65" s="63" t="e">
        <f t="shared" si="101"/>
        <v>#N/A</v>
      </c>
      <c r="AM65" s="63" t="e">
        <f t="shared" si="101"/>
        <v>#N/A</v>
      </c>
      <c r="AN65" s="28" t="e">
        <f t="shared" si="101"/>
        <v>#N/A</v>
      </c>
      <c r="AO65" s="63" t="e">
        <f t="shared" si="101"/>
        <v>#N/A</v>
      </c>
      <c r="AP65" s="63" t="e">
        <f t="shared" si="101"/>
        <v>#N/A</v>
      </c>
      <c r="AQ65" s="28" t="e">
        <f t="shared" si="101"/>
        <v>#N/A</v>
      </c>
      <c r="AR65" s="63" t="e">
        <f t="shared" si="101"/>
        <v>#N/A</v>
      </c>
      <c r="AS65" s="63" t="e">
        <f t="shared" si="101"/>
        <v>#N/A</v>
      </c>
      <c r="AT65" s="63" t="e">
        <f t="shared" si="101"/>
        <v>#N/A</v>
      </c>
      <c r="AU65" s="28" t="e">
        <f t="shared" si="101"/>
        <v>#N/A</v>
      </c>
      <c r="AV65" s="63" t="e">
        <f t="shared" si="101"/>
        <v>#N/A</v>
      </c>
      <c r="AW65" s="63" t="e">
        <f t="shared" si="101"/>
        <v>#N/A</v>
      </c>
      <c r="AX65" s="28" t="e">
        <f t="shared" si="101"/>
        <v>#N/A</v>
      </c>
      <c r="AY65" s="63" t="e">
        <f t="shared" si="101"/>
        <v>#N/A</v>
      </c>
      <c r="AZ65" s="63" t="e">
        <f t="shared" si="101"/>
        <v>#N/A</v>
      </c>
      <c r="BA65" s="28" t="e">
        <f t="shared" si="101"/>
        <v>#N/A</v>
      </c>
      <c r="BB65" s="63" t="e">
        <f t="shared" si="101"/>
        <v>#N/A</v>
      </c>
      <c r="BC65" s="63" t="e">
        <f t="shared" si="101"/>
        <v>#N/A</v>
      </c>
      <c r="BD65" s="28" t="e">
        <f t="shared" si="101"/>
        <v>#N/A</v>
      </c>
      <c r="BE65" s="63" t="e">
        <f t="shared" si="101"/>
        <v>#N/A</v>
      </c>
      <c r="BF65" s="63" t="e">
        <f t="shared" si="101"/>
        <v>#N/A</v>
      </c>
      <c r="BG65" s="28" t="e">
        <f t="shared" si="101"/>
        <v>#N/A</v>
      </c>
      <c r="BH65" s="63" t="e">
        <f t="shared" si="101"/>
        <v>#N/A</v>
      </c>
      <c r="BI65" s="63" t="e">
        <f t="shared" si="101"/>
        <v>#N/A</v>
      </c>
      <c r="BJ65" s="28" t="e">
        <f t="shared" si="101"/>
        <v>#N/A</v>
      </c>
      <c r="BK65" s="63" t="e">
        <f t="shared" si="101"/>
        <v>#N/A</v>
      </c>
      <c r="BL65" s="63" t="e">
        <f t="shared" si="101"/>
        <v>#N/A</v>
      </c>
      <c r="BM65" s="63" t="e">
        <f t="shared" si="101"/>
        <v>#N/A</v>
      </c>
      <c r="BN65" s="28" t="e">
        <f t="shared" si="101"/>
        <v>#N/A</v>
      </c>
      <c r="BO65" s="63" t="e">
        <f t="shared" ref="BO65:CT65" si="102">BO48/BO56*1000</f>
        <v>#N/A</v>
      </c>
      <c r="BP65" s="63" t="e">
        <f t="shared" si="102"/>
        <v>#N/A</v>
      </c>
      <c r="BQ65" s="28" t="e">
        <f t="shared" si="102"/>
        <v>#N/A</v>
      </c>
      <c r="BR65" s="63" t="e">
        <f t="shared" si="102"/>
        <v>#N/A</v>
      </c>
      <c r="BS65" s="63" t="e">
        <f t="shared" si="102"/>
        <v>#N/A</v>
      </c>
      <c r="BT65" s="28" t="e">
        <f t="shared" si="102"/>
        <v>#N/A</v>
      </c>
      <c r="BU65" s="63" t="e">
        <f t="shared" si="102"/>
        <v>#N/A</v>
      </c>
      <c r="BV65" s="63" t="e">
        <f t="shared" si="102"/>
        <v>#N/A</v>
      </c>
      <c r="BW65" s="28" t="e">
        <f t="shared" si="102"/>
        <v>#N/A</v>
      </c>
      <c r="BX65" s="63" t="e">
        <f t="shared" si="102"/>
        <v>#N/A</v>
      </c>
      <c r="BY65" s="63" t="e">
        <f t="shared" si="102"/>
        <v>#N/A</v>
      </c>
      <c r="BZ65" s="28" t="e">
        <f t="shared" si="102"/>
        <v>#N/A</v>
      </c>
      <c r="CA65" s="63" t="e">
        <f t="shared" si="102"/>
        <v>#N/A</v>
      </c>
      <c r="CB65" s="63" t="e">
        <f t="shared" si="102"/>
        <v>#N/A</v>
      </c>
      <c r="CC65" s="28" t="e">
        <f t="shared" si="102"/>
        <v>#N/A</v>
      </c>
      <c r="CD65" s="63" t="e">
        <f t="shared" si="102"/>
        <v>#N/A</v>
      </c>
      <c r="CE65" s="63" t="e">
        <f t="shared" si="102"/>
        <v>#N/A</v>
      </c>
      <c r="CF65" s="63" t="e">
        <f t="shared" si="102"/>
        <v>#N/A</v>
      </c>
      <c r="CG65" s="28" t="e">
        <f t="shared" si="102"/>
        <v>#N/A</v>
      </c>
      <c r="CH65" s="63" t="e">
        <f t="shared" si="102"/>
        <v>#N/A</v>
      </c>
      <c r="CI65" s="63" t="e">
        <f t="shared" si="102"/>
        <v>#N/A</v>
      </c>
      <c r="CJ65" s="28" t="e">
        <f t="shared" si="102"/>
        <v>#N/A</v>
      </c>
      <c r="CK65" s="63" t="e">
        <f t="shared" si="102"/>
        <v>#N/A</v>
      </c>
      <c r="CL65" s="63" t="e">
        <f t="shared" si="102"/>
        <v>#N/A</v>
      </c>
      <c r="CM65" s="28" t="e">
        <f t="shared" si="102"/>
        <v>#N/A</v>
      </c>
      <c r="CN65" s="63" t="e">
        <f t="shared" si="102"/>
        <v>#N/A</v>
      </c>
      <c r="CO65" s="63" t="e">
        <f t="shared" si="102"/>
        <v>#N/A</v>
      </c>
      <c r="CP65" s="28" t="e">
        <f t="shared" si="102"/>
        <v>#N/A</v>
      </c>
      <c r="CQ65" s="63" t="e">
        <f t="shared" si="102"/>
        <v>#N/A</v>
      </c>
      <c r="CR65" s="63" t="e">
        <f t="shared" si="102"/>
        <v>#N/A</v>
      </c>
      <c r="CS65" s="28" t="e">
        <f t="shared" si="102"/>
        <v>#N/A</v>
      </c>
      <c r="CT65" s="63" t="e">
        <f t="shared" si="102"/>
        <v>#N/A</v>
      </c>
      <c r="CU65" s="63" t="e">
        <f t="shared" ref="CU65:DZ65" si="103">CU48/CU56*1000</f>
        <v>#N/A</v>
      </c>
      <c r="CV65" s="28" t="e">
        <f t="shared" si="103"/>
        <v>#N/A</v>
      </c>
      <c r="CW65" s="63" t="e">
        <f t="shared" si="103"/>
        <v>#N/A</v>
      </c>
      <c r="CX65" s="63" t="e">
        <f t="shared" si="103"/>
        <v>#N/A</v>
      </c>
      <c r="CY65" s="63" t="e">
        <f t="shared" si="103"/>
        <v>#N/A</v>
      </c>
      <c r="CZ65" s="28" t="e">
        <f t="shared" si="103"/>
        <v>#N/A</v>
      </c>
      <c r="DA65" s="63" t="e">
        <f t="shared" si="103"/>
        <v>#N/A</v>
      </c>
      <c r="DB65" s="63" t="e">
        <f t="shared" si="103"/>
        <v>#N/A</v>
      </c>
      <c r="DC65" s="28" t="e">
        <f t="shared" si="103"/>
        <v>#N/A</v>
      </c>
      <c r="DD65" s="63" t="e">
        <f t="shared" si="103"/>
        <v>#N/A</v>
      </c>
      <c r="DE65" s="63" t="e">
        <f t="shared" si="103"/>
        <v>#N/A</v>
      </c>
      <c r="DF65" s="28" t="e">
        <f t="shared" si="103"/>
        <v>#N/A</v>
      </c>
      <c r="DG65" s="63" t="e">
        <f t="shared" si="103"/>
        <v>#N/A</v>
      </c>
      <c r="DH65" s="63" t="e">
        <f t="shared" si="103"/>
        <v>#N/A</v>
      </c>
      <c r="DI65" s="28" t="e">
        <f t="shared" si="103"/>
        <v>#N/A</v>
      </c>
      <c r="DJ65" s="63" t="e">
        <f t="shared" si="103"/>
        <v>#N/A</v>
      </c>
      <c r="DK65" s="63" t="e">
        <f t="shared" si="103"/>
        <v>#N/A</v>
      </c>
      <c r="DL65" s="28" t="e">
        <f t="shared" si="103"/>
        <v>#N/A</v>
      </c>
      <c r="DM65" s="63" t="e">
        <f t="shared" si="103"/>
        <v>#N/A</v>
      </c>
      <c r="DN65" s="63" t="e">
        <f t="shared" si="103"/>
        <v>#N/A</v>
      </c>
      <c r="DO65" s="28" t="e">
        <f t="shared" si="103"/>
        <v>#N/A</v>
      </c>
      <c r="DP65" s="63" t="e">
        <f t="shared" si="103"/>
        <v>#N/A</v>
      </c>
      <c r="DQ65" s="63" t="e">
        <f t="shared" si="103"/>
        <v>#N/A</v>
      </c>
      <c r="DR65" s="63" t="e">
        <f t="shared" si="103"/>
        <v>#N/A</v>
      </c>
      <c r="DS65" s="28" t="e">
        <f t="shared" si="103"/>
        <v>#N/A</v>
      </c>
      <c r="DT65" s="63" t="e">
        <f t="shared" si="103"/>
        <v>#N/A</v>
      </c>
      <c r="DU65" s="63" t="e">
        <f t="shared" si="103"/>
        <v>#N/A</v>
      </c>
      <c r="DV65" s="28" t="e">
        <f t="shared" si="103"/>
        <v>#N/A</v>
      </c>
      <c r="DW65" s="63" t="e">
        <f t="shared" si="103"/>
        <v>#N/A</v>
      </c>
      <c r="DX65" s="63" t="e">
        <f t="shared" si="103"/>
        <v>#N/A</v>
      </c>
      <c r="DY65" s="28" t="e">
        <f t="shared" si="103"/>
        <v>#N/A</v>
      </c>
      <c r="DZ65" s="63" t="e">
        <f t="shared" si="103"/>
        <v>#N/A</v>
      </c>
      <c r="EA65" s="63" t="e">
        <f t="shared" ref="EA65:EJ65" si="104">EA48/EA56*1000</f>
        <v>#N/A</v>
      </c>
      <c r="EB65" s="28" t="e">
        <f t="shared" si="104"/>
        <v>#N/A</v>
      </c>
      <c r="EC65" s="63" t="e">
        <f t="shared" si="104"/>
        <v>#N/A</v>
      </c>
      <c r="ED65" s="63" t="e">
        <f t="shared" si="104"/>
        <v>#N/A</v>
      </c>
      <c r="EE65" s="28" t="e">
        <f t="shared" si="104"/>
        <v>#N/A</v>
      </c>
      <c r="EF65" s="63" t="e">
        <f t="shared" si="104"/>
        <v>#N/A</v>
      </c>
      <c r="EG65" s="63" t="e">
        <f t="shared" si="104"/>
        <v>#N/A</v>
      </c>
      <c r="EH65" s="28" t="e">
        <f t="shared" si="104"/>
        <v>#N/A</v>
      </c>
      <c r="EI65" s="63" t="e">
        <f t="shared" si="104"/>
        <v>#N/A</v>
      </c>
      <c r="EJ65" s="63" t="e">
        <f t="shared" si="104"/>
        <v>#N/A</v>
      </c>
    </row>
    <row r="66" spans="1:140" s="6" customFormat="1" x14ac:dyDescent="0.2">
      <c r="A66" s="38" t="s">
        <v>86</v>
      </c>
      <c r="B66" s="94" t="s">
        <v>35</v>
      </c>
      <c r="C66" s="83" t="e">
        <f t="shared" ref="C66:AH66" si="105">C51/C57*1000</f>
        <v>#DIV/0!</v>
      </c>
      <c r="D66" s="63" t="e">
        <f t="shared" si="105"/>
        <v>#DIV/0!</v>
      </c>
      <c r="E66" s="39" t="e">
        <f t="shared" si="105"/>
        <v>#DIV/0!</v>
      </c>
      <c r="F66" s="28" t="e">
        <f t="shared" si="105"/>
        <v>#DIV/0!</v>
      </c>
      <c r="G66" s="63" t="e">
        <f t="shared" si="105"/>
        <v>#DIV/0!</v>
      </c>
      <c r="H66" s="63" t="e">
        <f t="shared" si="105"/>
        <v>#DIV/0!</v>
      </c>
      <c r="I66" s="28" t="e">
        <f t="shared" si="105"/>
        <v>#DIV/0!</v>
      </c>
      <c r="J66" s="63" t="e">
        <f t="shared" si="105"/>
        <v>#DIV/0!</v>
      </c>
      <c r="K66" s="63" t="e">
        <f t="shared" si="105"/>
        <v>#DIV/0!</v>
      </c>
      <c r="L66" s="28" t="e">
        <f t="shared" si="105"/>
        <v>#DIV/0!</v>
      </c>
      <c r="M66" s="63" t="e">
        <f t="shared" si="105"/>
        <v>#DIV/0!</v>
      </c>
      <c r="N66" s="63" t="e">
        <f t="shared" si="105"/>
        <v>#DIV/0!</v>
      </c>
      <c r="O66" s="28" t="e">
        <f t="shared" si="105"/>
        <v>#DIV/0!</v>
      </c>
      <c r="P66" s="63" t="e">
        <f t="shared" si="105"/>
        <v>#DIV/0!</v>
      </c>
      <c r="Q66" s="63" t="e">
        <f t="shared" si="105"/>
        <v>#DIV/0!</v>
      </c>
      <c r="R66" s="28" t="e">
        <f t="shared" si="105"/>
        <v>#DIV/0!</v>
      </c>
      <c r="S66" s="63" t="e">
        <f t="shared" si="105"/>
        <v>#DIV/0!</v>
      </c>
      <c r="T66" s="63" t="e">
        <f t="shared" si="105"/>
        <v>#DIV/0!</v>
      </c>
      <c r="U66" s="28" t="e">
        <f t="shared" si="105"/>
        <v>#DIV/0!</v>
      </c>
      <c r="V66" s="63" t="e">
        <f t="shared" si="105"/>
        <v>#DIV/0!</v>
      </c>
      <c r="W66" s="63" t="e">
        <f t="shared" si="105"/>
        <v>#DIV/0!</v>
      </c>
      <c r="X66" s="28" t="e">
        <f t="shared" si="105"/>
        <v>#DIV/0!</v>
      </c>
      <c r="Y66" s="63" t="e">
        <f t="shared" si="105"/>
        <v>#DIV/0!</v>
      </c>
      <c r="Z66" s="63" t="e">
        <f t="shared" si="105"/>
        <v>#DIV/0!</v>
      </c>
      <c r="AA66" s="63" t="e">
        <f t="shared" si="105"/>
        <v>#N/A</v>
      </c>
      <c r="AB66" s="28" t="e">
        <f t="shared" si="105"/>
        <v>#N/A</v>
      </c>
      <c r="AC66" s="63" t="e">
        <f t="shared" si="105"/>
        <v>#N/A</v>
      </c>
      <c r="AD66" s="63" t="e">
        <f t="shared" si="105"/>
        <v>#N/A</v>
      </c>
      <c r="AE66" s="28" t="e">
        <f t="shared" si="105"/>
        <v>#N/A</v>
      </c>
      <c r="AF66" s="63" t="e">
        <f t="shared" si="105"/>
        <v>#N/A</v>
      </c>
      <c r="AG66" s="63" t="e">
        <f t="shared" si="105"/>
        <v>#N/A</v>
      </c>
      <c r="AH66" s="28" t="e">
        <f t="shared" si="105"/>
        <v>#N/A</v>
      </c>
      <c r="AI66" s="63" t="e">
        <f t="shared" ref="AI66:BN66" si="106">AI51/AI57*1000</f>
        <v>#N/A</v>
      </c>
      <c r="AJ66" s="63" t="e">
        <f t="shared" si="106"/>
        <v>#N/A</v>
      </c>
      <c r="AK66" s="28" t="e">
        <f t="shared" si="106"/>
        <v>#N/A</v>
      </c>
      <c r="AL66" s="63" t="e">
        <f t="shared" si="106"/>
        <v>#N/A</v>
      </c>
      <c r="AM66" s="63" t="e">
        <f t="shared" si="106"/>
        <v>#N/A</v>
      </c>
      <c r="AN66" s="28" t="e">
        <f t="shared" si="106"/>
        <v>#N/A</v>
      </c>
      <c r="AO66" s="63" t="e">
        <f t="shared" si="106"/>
        <v>#N/A</v>
      </c>
      <c r="AP66" s="63" t="e">
        <f t="shared" si="106"/>
        <v>#N/A</v>
      </c>
      <c r="AQ66" s="28" t="e">
        <f t="shared" si="106"/>
        <v>#N/A</v>
      </c>
      <c r="AR66" s="63" t="e">
        <f t="shared" si="106"/>
        <v>#N/A</v>
      </c>
      <c r="AS66" s="63" t="e">
        <f t="shared" si="106"/>
        <v>#N/A</v>
      </c>
      <c r="AT66" s="63" t="e">
        <f t="shared" si="106"/>
        <v>#N/A</v>
      </c>
      <c r="AU66" s="28" t="e">
        <f t="shared" si="106"/>
        <v>#N/A</v>
      </c>
      <c r="AV66" s="63" t="e">
        <f t="shared" si="106"/>
        <v>#N/A</v>
      </c>
      <c r="AW66" s="63" t="e">
        <f t="shared" si="106"/>
        <v>#N/A</v>
      </c>
      <c r="AX66" s="28" t="e">
        <f t="shared" si="106"/>
        <v>#N/A</v>
      </c>
      <c r="AY66" s="63" t="e">
        <f t="shared" si="106"/>
        <v>#N/A</v>
      </c>
      <c r="AZ66" s="63" t="e">
        <f t="shared" si="106"/>
        <v>#N/A</v>
      </c>
      <c r="BA66" s="28" t="e">
        <f t="shared" si="106"/>
        <v>#N/A</v>
      </c>
      <c r="BB66" s="63" t="e">
        <f t="shared" si="106"/>
        <v>#N/A</v>
      </c>
      <c r="BC66" s="63" t="e">
        <f t="shared" si="106"/>
        <v>#N/A</v>
      </c>
      <c r="BD66" s="28" t="e">
        <f t="shared" si="106"/>
        <v>#N/A</v>
      </c>
      <c r="BE66" s="63" t="e">
        <f t="shared" si="106"/>
        <v>#N/A</v>
      </c>
      <c r="BF66" s="63" t="e">
        <f t="shared" si="106"/>
        <v>#N/A</v>
      </c>
      <c r="BG66" s="28" t="e">
        <f t="shared" si="106"/>
        <v>#N/A</v>
      </c>
      <c r="BH66" s="63" t="e">
        <f t="shared" si="106"/>
        <v>#N/A</v>
      </c>
      <c r="BI66" s="63" t="e">
        <f t="shared" si="106"/>
        <v>#N/A</v>
      </c>
      <c r="BJ66" s="28" t="e">
        <f t="shared" si="106"/>
        <v>#N/A</v>
      </c>
      <c r="BK66" s="63" t="e">
        <f t="shared" si="106"/>
        <v>#N/A</v>
      </c>
      <c r="BL66" s="63" t="e">
        <f t="shared" si="106"/>
        <v>#N/A</v>
      </c>
      <c r="BM66" s="63" t="e">
        <f t="shared" si="106"/>
        <v>#N/A</v>
      </c>
      <c r="BN66" s="28" t="e">
        <f t="shared" si="106"/>
        <v>#N/A</v>
      </c>
      <c r="BO66" s="63" t="e">
        <f t="shared" ref="BO66:CT66" si="107">BO51/BO57*1000</f>
        <v>#N/A</v>
      </c>
      <c r="BP66" s="63" t="e">
        <f t="shared" si="107"/>
        <v>#N/A</v>
      </c>
      <c r="BQ66" s="28" t="e">
        <f t="shared" si="107"/>
        <v>#N/A</v>
      </c>
      <c r="BR66" s="63" t="e">
        <f t="shared" si="107"/>
        <v>#N/A</v>
      </c>
      <c r="BS66" s="63" t="e">
        <f t="shared" si="107"/>
        <v>#N/A</v>
      </c>
      <c r="BT66" s="28" t="e">
        <f t="shared" si="107"/>
        <v>#N/A</v>
      </c>
      <c r="BU66" s="63" t="e">
        <f t="shared" si="107"/>
        <v>#N/A</v>
      </c>
      <c r="BV66" s="63" t="e">
        <f t="shared" si="107"/>
        <v>#N/A</v>
      </c>
      <c r="BW66" s="28" t="e">
        <f t="shared" si="107"/>
        <v>#N/A</v>
      </c>
      <c r="BX66" s="63" t="e">
        <f t="shared" si="107"/>
        <v>#N/A</v>
      </c>
      <c r="BY66" s="63" t="e">
        <f t="shared" si="107"/>
        <v>#N/A</v>
      </c>
      <c r="BZ66" s="28" t="e">
        <f t="shared" si="107"/>
        <v>#N/A</v>
      </c>
      <c r="CA66" s="63" t="e">
        <f t="shared" si="107"/>
        <v>#N/A</v>
      </c>
      <c r="CB66" s="63" t="e">
        <f t="shared" si="107"/>
        <v>#N/A</v>
      </c>
      <c r="CC66" s="28" t="e">
        <f t="shared" si="107"/>
        <v>#N/A</v>
      </c>
      <c r="CD66" s="63" t="e">
        <f t="shared" si="107"/>
        <v>#N/A</v>
      </c>
      <c r="CE66" s="63" t="e">
        <f t="shared" si="107"/>
        <v>#N/A</v>
      </c>
      <c r="CF66" s="63" t="e">
        <f t="shared" si="107"/>
        <v>#N/A</v>
      </c>
      <c r="CG66" s="28" t="e">
        <f t="shared" si="107"/>
        <v>#N/A</v>
      </c>
      <c r="CH66" s="63" t="e">
        <f t="shared" si="107"/>
        <v>#N/A</v>
      </c>
      <c r="CI66" s="63" t="e">
        <f t="shared" si="107"/>
        <v>#N/A</v>
      </c>
      <c r="CJ66" s="28" t="e">
        <f t="shared" si="107"/>
        <v>#N/A</v>
      </c>
      <c r="CK66" s="63" t="e">
        <f t="shared" si="107"/>
        <v>#N/A</v>
      </c>
      <c r="CL66" s="63" t="e">
        <f t="shared" si="107"/>
        <v>#N/A</v>
      </c>
      <c r="CM66" s="28" t="e">
        <f t="shared" si="107"/>
        <v>#N/A</v>
      </c>
      <c r="CN66" s="63" t="e">
        <f t="shared" si="107"/>
        <v>#N/A</v>
      </c>
      <c r="CO66" s="63" t="e">
        <f t="shared" si="107"/>
        <v>#N/A</v>
      </c>
      <c r="CP66" s="28" t="e">
        <f t="shared" si="107"/>
        <v>#N/A</v>
      </c>
      <c r="CQ66" s="63" t="e">
        <f t="shared" si="107"/>
        <v>#N/A</v>
      </c>
      <c r="CR66" s="63" t="e">
        <f t="shared" si="107"/>
        <v>#N/A</v>
      </c>
      <c r="CS66" s="28" t="e">
        <f t="shared" si="107"/>
        <v>#N/A</v>
      </c>
      <c r="CT66" s="63" t="e">
        <f t="shared" si="107"/>
        <v>#N/A</v>
      </c>
      <c r="CU66" s="63" t="e">
        <f t="shared" ref="CU66:DZ66" si="108">CU51/CU57*1000</f>
        <v>#N/A</v>
      </c>
      <c r="CV66" s="28" t="e">
        <f t="shared" si="108"/>
        <v>#N/A</v>
      </c>
      <c r="CW66" s="63" t="e">
        <f t="shared" si="108"/>
        <v>#N/A</v>
      </c>
      <c r="CX66" s="63" t="e">
        <f t="shared" si="108"/>
        <v>#N/A</v>
      </c>
      <c r="CY66" s="63" t="e">
        <f t="shared" si="108"/>
        <v>#N/A</v>
      </c>
      <c r="CZ66" s="28" t="e">
        <f t="shared" si="108"/>
        <v>#N/A</v>
      </c>
      <c r="DA66" s="63" t="e">
        <f t="shared" si="108"/>
        <v>#N/A</v>
      </c>
      <c r="DB66" s="63" t="e">
        <f t="shared" si="108"/>
        <v>#N/A</v>
      </c>
      <c r="DC66" s="28" t="e">
        <f t="shared" si="108"/>
        <v>#N/A</v>
      </c>
      <c r="DD66" s="63" t="e">
        <f t="shared" si="108"/>
        <v>#N/A</v>
      </c>
      <c r="DE66" s="63" t="e">
        <f t="shared" si="108"/>
        <v>#N/A</v>
      </c>
      <c r="DF66" s="28" t="e">
        <f t="shared" si="108"/>
        <v>#N/A</v>
      </c>
      <c r="DG66" s="63" t="e">
        <f t="shared" si="108"/>
        <v>#N/A</v>
      </c>
      <c r="DH66" s="63" t="e">
        <f t="shared" si="108"/>
        <v>#N/A</v>
      </c>
      <c r="DI66" s="28" t="e">
        <f t="shared" si="108"/>
        <v>#N/A</v>
      </c>
      <c r="DJ66" s="63" t="e">
        <f t="shared" si="108"/>
        <v>#N/A</v>
      </c>
      <c r="DK66" s="63" t="e">
        <f t="shared" si="108"/>
        <v>#N/A</v>
      </c>
      <c r="DL66" s="28" t="e">
        <f t="shared" si="108"/>
        <v>#N/A</v>
      </c>
      <c r="DM66" s="63" t="e">
        <f t="shared" si="108"/>
        <v>#N/A</v>
      </c>
      <c r="DN66" s="63" t="e">
        <f t="shared" si="108"/>
        <v>#N/A</v>
      </c>
      <c r="DO66" s="28" t="e">
        <f t="shared" si="108"/>
        <v>#N/A</v>
      </c>
      <c r="DP66" s="63" t="e">
        <f t="shared" si="108"/>
        <v>#N/A</v>
      </c>
      <c r="DQ66" s="63" t="e">
        <f t="shared" si="108"/>
        <v>#N/A</v>
      </c>
      <c r="DR66" s="63" t="e">
        <f t="shared" si="108"/>
        <v>#N/A</v>
      </c>
      <c r="DS66" s="28" t="e">
        <f t="shared" si="108"/>
        <v>#N/A</v>
      </c>
      <c r="DT66" s="63" t="e">
        <f t="shared" si="108"/>
        <v>#N/A</v>
      </c>
      <c r="DU66" s="63" t="e">
        <f t="shared" si="108"/>
        <v>#N/A</v>
      </c>
      <c r="DV66" s="28" t="e">
        <f t="shared" si="108"/>
        <v>#N/A</v>
      </c>
      <c r="DW66" s="63" t="e">
        <f t="shared" si="108"/>
        <v>#N/A</v>
      </c>
      <c r="DX66" s="63" t="e">
        <f t="shared" si="108"/>
        <v>#N/A</v>
      </c>
      <c r="DY66" s="28" t="e">
        <f t="shared" si="108"/>
        <v>#N/A</v>
      </c>
      <c r="DZ66" s="63" t="e">
        <f t="shared" si="108"/>
        <v>#N/A</v>
      </c>
      <c r="EA66" s="63" t="e">
        <f t="shared" ref="EA66:EJ66" si="109">EA51/EA57*1000</f>
        <v>#N/A</v>
      </c>
      <c r="EB66" s="28" t="e">
        <f t="shared" si="109"/>
        <v>#N/A</v>
      </c>
      <c r="EC66" s="63" t="e">
        <f t="shared" si="109"/>
        <v>#N/A</v>
      </c>
      <c r="ED66" s="63" t="e">
        <f t="shared" si="109"/>
        <v>#N/A</v>
      </c>
      <c r="EE66" s="28" t="e">
        <f t="shared" si="109"/>
        <v>#N/A</v>
      </c>
      <c r="EF66" s="63" t="e">
        <f t="shared" si="109"/>
        <v>#N/A</v>
      </c>
      <c r="EG66" s="63" t="e">
        <f t="shared" si="109"/>
        <v>#N/A</v>
      </c>
      <c r="EH66" s="28" t="e">
        <f t="shared" si="109"/>
        <v>#N/A</v>
      </c>
      <c r="EI66" s="63" t="e">
        <f t="shared" si="109"/>
        <v>#N/A</v>
      </c>
      <c r="EJ66" s="63" t="e">
        <f t="shared" si="109"/>
        <v>#N/A</v>
      </c>
    </row>
    <row r="67" spans="1:140" s="7" customFormat="1" ht="16" customHeight="1" thickBot="1" x14ac:dyDescent="0.25">
      <c r="A67" s="40" t="s">
        <v>87</v>
      </c>
      <c r="B67" s="95" t="s">
        <v>35</v>
      </c>
      <c r="C67" s="84" t="e">
        <f t="shared" ref="C67:AH67" si="110">C38-SUM(C64,C65,C66,C63)+$C$83</f>
        <v>#DIV/0!</v>
      </c>
      <c r="D67" s="64" t="e">
        <f t="shared" si="110"/>
        <v>#DIV/0!</v>
      </c>
      <c r="E67" s="41" t="e">
        <f t="shared" si="110"/>
        <v>#DIV/0!</v>
      </c>
      <c r="F67" s="48" t="e">
        <f t="shared" si="110"/>
        <v>#DIV/0!</v>
      </c>
      <c r="G67" s="64" t="e">
        <f t="shared" si="110"/>
        <v>#DIV/0!</v>
      </c>
      <c r="H67" s="64" t="e">
        <f t="shared" si="110"/>
        <v>#DIV/0!</v>
      </c>
      <c r="I67" s="48" t="e">
        <f t="shared" si="110"/>
        <v>#DIV/0!</v>
      </c>
      <c r="J67" s="64" t="e">
        <f t="shared" si="110"/>
        <v>#DIV/0!</v>
      </c>
      <c r="K67" s="64" t="e">
        <f t="shared" si="110"/>
        <v>#DIV/0!</v>
      </c>
      <c r="L67" s="48" t="e">
        <f t="shared" si="110"/>
        <v>#DIV/0!</v>
      </c>
      <c r="M67" s="64" t="e">
        <f t="shared" si="110"/>
        <v>#DIV/0!</v>
      </c>
      <c r="N67" s="64" t="e">
        <f t="shared" si="110"/>
        <v>#DIV/0!</v>
      </c>
      <c r="O67" s="48" t="e">
        <f t="shared" si="110"/>
        <v>#DIV/0!</v>
      </c>
      <c r="P67" s="64" t="e">
        <f t="shared" si="110"/>
        <v>#DIV/0!</v>
      </c>
      <c r="Q67" s="64" t="e">
        <f t="shared" si="110"/>
        <v>#DIV/0!</v>
      </c>
      <c r="R67" s="48" t="e">
        <f t="shared" si="110"/>
        <v>#DIV/0!</v>
      </c>
      <c r="S67" s="64" t="e">
        <f t="shared" si="110"/>
        <v>#DIV/0!</v>
      </c>
      <c r="T67" s="64" t="e">
        <f t="shared" si="110"/>
        <v>#DIV/0!</v>
      </c>
      <c r="U67" s="48" t="e">
        <f t="shared" si="110"/>
        <v>#DIV/0!</v>
      </c>
      <c r="V67" s="64" t="e">
        <f t="shared" si="110"/>
        <v>#DIV/0!</v>
      </c>
      <c r="W67" s="64" t="e">
        <f t="shared" si="110"/>
        <v>#DIV/0!</v>
      </c>
      <c r="X67" s="48" t="e">
        <f t="shared" si="110"/>
        <v>#DIV/0!</v>
      </c>
      <c r="Y67" s="64" t="e">
        <f t="shared" si="110"/>
        <v>#DIV/0!</v>
      </c>
      <c r="Z67" s="64" t="e">
        <f t="shared" si="110"/>
        <v>#DIV/0!</v>
      </c>
      <c r="AA67" s="64" t="e">
        <f t="shared" si="110"/>
        <v>#N/A</v>
      </c>
      <c r="AB67" s="48" t="e">
        <f t="shared" si="110"/>
        <v>#N/A</v>
      </c>
      <c r="AC67" s="64" t="e">
        <f t="shared" si="110"/>
        <v>#N/A</v>
      </c>
      <c r="AD67" s="64" t="e">
        <f t="shared" si="110"/>
        <v>#N/A</v>
      </c>
      <c r="AE67" s="48" t="e">
        <f t="shared" si="110"/>
        <v>#N/A</v>
      </c>
      <c r="AF67" s="64" t="e">
        <f t="shared" si="110"/>
        <v>#N/A</v>
      </c>
      <c r="AG67" s="64" t="e">
        <f t="shared" si="110"/>
        <v>#N/A</v>
      </c>
      <c r="AH67" s="48" t="e">
        <f t="shared" si="110"/>
        <v>#N/A</v>
      </c>
      <c r="AI67" s="64" t="e">
        <f t="shared" ref="AI67:BN67" si="111">AI38-SUM(AI64,AI65,AI66,AI63)+$C$83</f>
        <v>#N/A</v>
      </c>
      <c r="AJ67" s="64" t="e">
        <f t="shared" si="111"/>
        <v>#N/A</v>
      </c>
      <c r="AK67" s="48" t="e">
        <f t="shared" si="111"/>
        <v>#N/A</v>
      </c>
      <c r="AL67" s="64" t="e">
        <f t="shared" si="111"/>
        <v>#N/A</v>
      </c>
      <c r="AM67" s="64" t="e">
        <f t="shared" si="111"/>
        <v>#N/A</v>
      </c>
      <c r="AN67" s="48" t="e">
        <f t="shared" si="111"/>
        <v>#N/A</v>
      </c>
      <c r="AO67" s="64" t="e">
        <f t="shared" si="111"/>
        <v>#N/A</v>
      </c>
      <c r="AP67" s="64" t="e">
        <f t="shared" si="111"/>
        <v>#N/A</v>
      </c>
      <c r="AQ67" s="48" t="e">
        <f t="shared" si="111"/>
        <v>#N/A</v>
      </c>
      <c r="AR67" s="64" t="e">
        <f t="shared" si="111"/>
        <v>#N/A</v>
      </c>
      <c r="AS67" s="64" t="e">
        <f t="shared" si="111"/>
        <v>#N/A</v>
      </c>
      <c r="AT67" s="64" t="e">
        <f t="shared" si="111"/>
        <v>#N/A</v>
      </c>
      <c r="AU67" s="48" t="e">
        <f t="shared" si="111"/>
        <v>#N/A</v>
      </c>
      <c r="AV67" s="64" t="e">
        <f t="shared" si="111"/>
        <v>#N/A</v>
      </c>
      <c r="AW67" s="64" t="e">
        <f t="shared" si="111"/>
        <v>#N/A</v>
      </c>
      <c r="AX67" s="48" t="e">
        <f t="shared" si="111"/>
        <v>#N/A</v>
      </c>
      <c r="AY67" s="64" t="e">
        <f t="shared" si="111"/>
        <v>#N/A</v>
      </c>
      <c r="AZ67" s="64" t="e">
        <f t="shared" si="111"/>
        <v>#N/A</v>
      </c>
      <c r="BA67" s="48" t="e">
        <f t="shared" si="111"/>
        <v>#N/A</v>
      </c>
      <c r="BB67" s="64" t="e">
        <f t="shared" si="111"/>
        <v>#N/A</v>
      </c>
      <c r="BC67" s="64" t="e">
        <f t="shared" si="111"/>
        <v>#N/A</v>
      </c>
      <c r="BD67" s="48" t="e">
        <f t="shared" si="111"/>
        <v>#N/A</v>
      </c>
      <c r="BE67" s="64" t="e">
        <f t="shared" si="111"/>
        <v>#N/A</v>
      </c>
      <c r="BF67" s="64" t="e">
        <f t="shared" si="111"/>
        <v>#N/A</v>
      </c>
      <c r="BG67" s="48" t="e">
        <f t="shared" si="111"/>
        <v>#N/A</v>
      </c>
      <c r="BH67" s="64" t="e">
        <f t="shared" si="111"/>
        <v>#N/A</v>
      </c>
      <c r="BI67" s="64" t="e">
        <f t="shared" si="111"/>
        <v>#N/A</v>
      </c>
      <c r="BJ67" s="48" t="e">
        <f t="shared" si="111"/>
        <v>#N/A</v>
      </c>
      <c r="BK67" s="64" t="e">
        <f t="shared" si="111"/>
        <v>#N/A</v>
      </c>
      <c r="BL67" s="64" t="e">
        <f t="shared" si="111"/>
        <v>#N/A</v>
      </c>
      <c r="BM67" s="64" t="e">
        <f t="shared" si="111"/>
        <v>#N/A</v>
      </c>
      <c r="BN67" s="48" t="e">
        <f t="shared" si="111"/>
        <v>#N/A</v>
      </c>
      <c r="BO67" s="64" t="e">
        <f t="shared" ref="BO67:CT67" si="112">BO38-SUM(BO64,BO65,BO66,BO63)+$C$83</f>
        <v>#N/A</v>
      </c>
      <c r="BP67" s="64" t="e">
        <f t="shared" si="112"/>
        <v>#N/A</v>
      </c>
      <c r="BQ67" s="48" t="e">
        <f t="shared" si="112"/>
        <v>#N/A</v>
      </c>
      <c r="BR67" s="64" t="e">
        <f t="shared" si="112"/>
        <v>#N/A</v>
      </c>
      <c r="BS67" s="64" t="e">
        <f t="shared" si="112"/>
        <v>#N/A</v>
      </c>
      <c r="BT67" s="48" t="e">
        <f t="shared" si="112"/>
        <v>#N/A</v>
      </c>
      <c r="BU67" s="64" t="e">
        <f t="shared" si="112"/>
        <v>#N/A</v>
      </c>
      <c r="BV67" s="64" t="e">
        <f t="shared" si="112"/>
        <v>#N/A</v>
      </c>
      <c r="BW67" s="48" t="e">
        <f t="shared" si="112"/>
        <v>#N/A</v>
      </c>
      <c r="BX67" s="64" t="e">
        <f t="shared" si="112"/>
        <v>#N/A</v>
      </c>
      <c r="BY67" s="64" t="e">
        <f t="shared" si="112"/>
        <v>#N/A</v>
      </c>
      <c r="BZ67" s="48" t="e">
        <f t="shared" si="112"/>
        <v>#N/A</v>
      </c>
      <c r="CA67" s="64" t="e">
        <f t="shared" si="112"/>
        <v>#N/A</v>
      </c>
      <c r="CB67" s="64" t="e">
        <f t="shared" si="112"/>
        <v>#N/A</v>
      </c>
      <c r="CC67" s="48" t="e">
        <f t="shared" si="112"/>
        <v>#N/A</v>
      </c>
      <c r="CD67" s="64" t="e">
        <f t="shared" si="112"/>
        <v>#N/A</v>
      </c>
      <c r="CE67" s="64" t="e">
        <f t="shared" si="112"/>
        <v>#N/A</v>
      </c>
      <c r="CF67" s="64" t="e">
        <f t="shared" si="112"/>
        <v>#N/A</v>
      </c>
      <c r="CG67" s="48" t="e">
        <f t="shared" si="112"/>
        <v>#N/A</v>
      </c>
      <c r="CH67" s="64" t="e">
        <f t="shared" si="112"/>
        <v>#N/A</v>
      </c>
      <c r="CI67" s="64" t="e">
        <f t="shared" si="112"/>
        <v>#N/A</v>
      </c>
      <c r="CJ67" s="48" t="e">
        <f t="shared" si="112"/>
        <v>#N/A</v>
      </c>
      <c r="CK67" s="64" t="e">
        <f t="shared" si="112"/>
        <v>#N/A</v>
      </c>
      <c r="CL67" s="64" t="e">
        <f t="shared" si="112"/>
        <v>#N/A</v>
      </c>
      <c r="CM67" s="48" t="e">
        <f t="shared" si="112"/>
        <v>#N/A</v>
      </c>
      <c r="CN67" s="64" t="e">
        <f t="shared" si="112"/>
        <v>#N/A</v>
      </c>
      <c r="CO67" s="64" t="e">
        <f t="shared" si="112"/>
        <v>#N/A</v>
      </c>
      <c r="CP67" s="48" t="e">
        <f t="shared" si="112"/>
        <v>#N/A</v>
      </c>
      <c r="CQ67" s="64" t="e">
        <f t="shared" si="112"/>
        <v>#N/A</v>
      </c>
      <c r="CR67" s="64" t="e">
        <f t="shared" si="112"/>
        <v>#N/A</v>
      </c>
      <c r="CS67" s="48" t="e">
        <f t="shared" si="112"/>
        <v>#N/A</v>
      </c>
      <c r="CT67" s="64" t="e">
        <f t="shared" si="112"/>
        <v>#N/A</v>
      </c>
      <c r="CU67" s="64" t="e">
        <f t="shared" ref="CU67:DZ67" si="113">CU38-SUM(CU64,CU65,CU66,CU63)+$C$83</f>
        <v>#N/A</v>
      </c>
      <c r="CV67" s="48" t="e">
        <f t="shared" si="113"/>
        <v>#N/A</v>
      </c>
      <c r="CW67" s="64" t="e">
        <f t="shared" si="113"/>
        <v>#N/A</v>
      </c>
      <c r="CX67" s="64" t="e">
        <f t="shared" si="113"/>
        <v>#N/A</v>
      </c>
      <c r="CY67" s="64" t="e">
        <f t="shared" si="113"/>
        <v>#N/A</v>
      </c>
      <c r="CZ67" s="48" t="e">
        <f t="shared" si="113"/>
        <v>#N/A</v>
      </c>
      <c r="DA67" s="64" t="e">
        <f t="shared" si="113"/>
        <v>#N/A</v>
      </c>
      <c r="DB67" s="64" t="e">
        <f t="shared" si="113"/>
        <v>#N/A</v>
      </c>
      <c r="DC67" s="48" t="e">
        <f t="shared" si="113"/>
        <v>#N/A</v>
      </c>
      <c r="DD67" s="64" t="e">
        <f t="shared" si="113"/>
        <v>#N/A</v>
      </c>
      <c r="DE67" s="64" t="e">
        <f t="shared" si="113"/>
        <v>#N/A</v>
      </c>
      <c r="DF67" s="48" t="e">
        <f t="shared" si="113"/>
        <v>#N/A</v>
      </c>
      <c r="DG67" s="64" t="e">
        <f t="shared" si="113"/>
        <v>#N/A</v>
      </c>
      <c r="DH67" s="64" t="e">
        <f t="shared" si="113"/>
        <v>#N/A</v>
      </c>
      <c r="DI67" s="48" t="e">
        <f t="shared" si="113"/>
        <v>#N/A</v>
      </c>
      <c r="DJ67" s="64" t="e">
        <f t="shared" si="113"/>
        <v>#N/A</v>
      </c>
      <c r="DK67" s="64" t="e">
        <f t="shared" si="113"/>
        <v>#N/A</v>
      </c>
      <c r="DL67" s="48" t="e">
        <f t="shared" si="113"/>
        <v>#N/A</v>
      </c>
      <c r="DM67" s="64" t="e">
        <f t="shared" si="113"/>
        <v>#N/A</v>
      </c>
      <c r="DN67" s="64" t="e">
        <f t="shared" si="113"/>
        <v>#N/A</v>
      </c>
      <c r="DO67" s="48" t="e">
        <f t="shared" si="113"/>
        <v>#N/A</v>
      </c>
      <c r="DP67" s="64" t="e">
        <f t="shared" si="113"/>
        <v>#N/A</v>
      </c>
      <c r="DQ67" s="64" t="e">
        <f t="shared" si="113"/>
        <v>#N/A</v>
      </c>
      <c r="DR67" s="64" t="e">
        <f t="shared" si="113"/>
        <v>#N/A</v>
      </c>
      <c r="DS67" s="48" t="e">
        <f t="shared" si="113"/>
        <v>#N/A</v>
      </c>
      <c r="DT67" s="64" t="e">
        <f t="shared" si="113"/>
        <v>#N/A</v>
      </c>
      <c r="DU67" s="64" t="e">
        <f t="shared" si="113"/>
        <v>#N/A</v>
      </c>
      <c r="DV67" s="48" t="e">
        <f t="shared" si="113"/>
        <v>#N/A</v>
      </c>
      <c r="DW67" s="64" t="e">
        <f t="shared" si="113"/>
        <v>#N/A</v>
      </c>
      <c r="DX67" s="64" t="e">
        <f t="shared" si="113"/>
        <v>#N/A</v>
      </c>
      <c r="DY67" s="48" t="e">
        <f t="shared" si="113"/>
        <v>#N/A</v>
      </c>
      <c r="DZ67" s="64" t="e">
        <f t="shared" si="113"/>
        <v>#N/A</v>
      </c>
      <c r="EA67" s="64" t="e">
        <f t="shared" ref="EA67:FF67" si="114">EA38-SUM(EA64,EA65,EA66,EA63)+$C$83</f>
        <v>#N/A</v>
      </c>
      <c r="EB67" s="48" t="e">
        <f t="shared" si="114"/>
        <v>#N/A</v>
      </c>
      <c r="EC67" s="64" t="e">
        <f t="shared" si="114"/>
        <v>#N/A</v>
      </c>
      <c r="ED67" s="64" t="e">
        <f t="shared" si="114"/>
        <v>#N/A</v>
      </c>
      <c r="EE67" s="48" t="e">
        <f t="shared" si="114"/>
        <v>#N/A</v>
      </c>
      <c r="EF67" s="64" t="e">
        <f t="shared" si="114"/>
        <v>#N/A</v>
      </c>
      <c r="EG67" s="64" t="e">
        <f t="shared" si="114"/>
        <v>#N/A</v>
      </c>
      <c r="EH67" s="48" t="e">
        <f t="shared" si="114"/>
        <v>#N/A</v>
      </c>
      <c r="EI67" s="64" t="e">
        <f t="shared" si="114"/>
        <v>#N/A</v>
      </c>
      <c r="EJ67" s="64" t="e">
        <f t="shared" si="114"/>
        <v>#N/A</v>
      </c>
    </row>
    <row r="68" spans="1:140" x14ac:dyDescent="0.2">
      <c r="A68" s="19" t="s">
        <v>88</v>
      </c>
      <c r="B68" s="96" t="s">
        <v>35</v>
      </c>
      <c r="C68" s="75" t="e">
        <f t="shared" ref="C68:AH68" si="115">SUM(C63:C67)</f>
        <v>#DIV/0!</v>
      </c>
      <c r="D68" s="55" t="e">
        <f t="shared" si="115"/>
        <v>#DIV/0!</v>
      </c>
      <c r="E68" s="13" t="e">
        <f t="shared" si="115"/>
        <v>#DIV/0!</v>
      </c>
      <c r="F68" s="12" t="e">
        <f t="shared" si="115"/>
        <v>#DIV/0!</v>
      </c>
      <c r="G68" s="55" t="e">
        <f t="shared" si="115"/>
        <v>#DIV/0!</v>
      </c>
      <c r="H68" s="55" t="e">
        <f t="shared" si="115"/>
        <v>#DIV/0!</v>
      </c>
      <c r="I68" s="12" t="e">
        <f t="shared" si="115"/>
        <v>#DIV/0!</v>
      </c>
      <c r="J68" s="55" t="e">
        <f t="shared" si="115"/>
        <v>#DIV/0!</v>
      </c>
      <c r="K68" s="55" t="e">
        <f t="shared" si="115"/>
        <v>#DIV/0!</v>
      </c>
      <c r="L68" s="12" t="e">
        <f t="shared" si="115"/>
        <v>#DIV/0!</v>
      </c>
      <c r="M68" s="55" t="e">
        <f t="shared" si="115"/>
        <v>#DIV/0!</v>
      </c>
      <c r="N68" s="55" t="e">
        <f t="shared" si="115"/>
        <v>#DIV/0!</v>
      </c>
      <c r="O68" s="12" t="e">
        <f t="shared" si="115"/>
        <v>#DIV/0!</v>
      </c>
      <c r="P68" s="55" t="e">
        <f t="shared" si="115"/>
        <v>#DIV/0!</v>
      </c>
      <c r="Q68" s="55" t="e">
        <f t="shared" si="115"/>
        <v>#DIV/0!</v>
      </c>
      <c r="R68" s="12" t="e">
        <f t="shared" si="115"/>
        <v>#DIV/0!</v>
      </c>
      <c r="S68" s="55" t="e">
        <f t="shared" si="115"/>
        <v>#DIV/0!</v>
      </c>
      <c r="T68" s="55" t="e">
        <f t="shared" si="115"/>
        <v>#DIV/0!</v>
      </c>
      <c r="U68" s="12" t="e">
        <f t="shared" si="115"/>
        <v>#DIV/0!</v>
      </c>
      <c r="V68" s="55" t="e">
        <f t="shared" si="115"/>
        <v>#DIV/0!</v>
      </c>
      <c r="W68" s="55" t="e">
        <f t="shared" si="115"/>
        <v>#DIV/0!</v>
      </c>
      <c r="X68" s="12" t="e">
        <f t="shared" si="115"/>
        <v>#DIV/0!</v>
      </c>
      <c r="Y68" s="55" t="e">
        <f t="shared" si="115"/>
        <v>#DIV/0!</v>
      </c>
      <c r="Z68" s="55" t="e">
        <f t="shared" si="115"/>
        <v>#DIV/0!</v>
      </c>
      <c r="AA68" s="55" t="e">
        <f t="shared" si="115"/>
        <v>#N/A</v>
      </c>
      <c r="AB68" s="12" t="e">
        <f t="shared" si="115"/>
        <v>#N/A</v>
      </c>
      <c r="AC68" s="55" t="e">
        <f t="shared" si="115"/>
        <v>#N/A</v>
      </c>
      <c r="AD68" s="55" t="e">
        <f t="shared" si="115"/>
        <v>#N/A</v>
      </c>
      <c r="AE68" s="12" t="e">
        <f t="shared" si="115"/>
        <v>#N/A</v>
      </c>
      <c r="AF68" s="55" t="e">
        <f t="shared" si="115"/>
        <v>#N/A</v>
      </c>
      <c r="AG68" s="55" t="e">
        <f t="shared" si="115"/>
        <v>#N/A</v>
      </c>
      <c r="AH68" s="12" t="e">
        <f t="shared" si="115"/>
        <v>#N/A</v>
      </c>
      <c r="AI68" s="55" t="e">
        <f t="shared" ref="AI68:BN68" si="116">SUM(AI63:AI67)</f>
        <v>#N/A</v>
      </c>
      <c r="AJ68" s="55" t="e">
        <f t="shared" si="116"/>
        <v>#N/A</v>
      </c>
      <c r="AK68" s="12" t="e">
        <f t="shared" si="116"/>
        <v>#N/A</v>
      </c>
      <c r="AL68" s="55" t="e">
        <f t="shared" si="116"/>
        <v>#N/A</v>
      </c>
      <c r="AM68" s="55" t="e">
        <f t="shared" si="116"/>
        <v>#N/A</v>
      </c>
      <c r="AN68" s="12" t="e">
        <f t="shared" si="116"/>
        <v>#N/A</v>
      </c>
      <c r="AO68" s="55" t="e">
        <f t="shared" si="116"/>
        <v>#N/A</v>
      </c>
      <c r="AP68" s="55" t="e">
        <f t="shared" si="116"/>
        <v>#N/A</v>
      </c>
      <c r="AQ68" s="12" t="e">
        <f t="shared" si="116"/>
        <v>#N/A</v>
      </c>
      <c r="AR68" s="55" t="e">
        <f t="shared" si="116"/>
        <v>#N/A</v>
      </c>
      <c r="AS68" s="55" t="e">
        <f t="shared" si="116"/>
        <v>#N/A</v>
      </c>
      <c r="AT68" s="55" t="e">
        <f t="shared" si="116"/>
        <v>#N/A</v>
      </c>
      <c r="AU68" s="12" t="e">
        <f t="shared" si="116"/>
        <v>#N/A</v>
      </c>
      <c r="AV68" s="55" t="e">
        <f t="shared" si="116"/>
        <v>#N/A</v>
      </c>
      <c r="AW68" s="55" t="e">
        <f t="shared" si="116"/>
        <v>#N/A</v>
      </c>
      <c r="AX68" s="12" t="e">
        <f t="shared" si="116"/>
        <v>#N/A</v>
      </c>
      <c r="AY68" s="55" t="e">
        <f t="shared" si="116"/>
        <v>#N/A</v>
      </c>
      <c r="AZ68" s="55" t="e">
        <f t="shared" si="116"/>
        <v>#N/A</v>
      </c>
      <c r="BA68" s="12" t="e">
        <f t="shared" si="116"/>
        <v>#N/A</v>
      </c>
      <c r="BB68" s="55" t="e">
        <f t="shared" si="116"/>
        <v>#N/A</v>
      </c>
      <c r="BC68" s="55" t="e">
        <f t="shared" si="116"/>
        <v>#N/A</v>
      </c>
      <c r="BD68" s="12" t="e">
        <f t="shared" si="116"/>
        <v>#N/A</v>
      </c>
      <c r="BE68" s="55" t="e">
        <f t="shared" si="116"/>
        <v>#N/A</v>
      </c>
      <c r="BF68" s="55" t="e">
        <f t="shared" si="116"/>
        <v>#N/A</v>
      </c>
      <c r="BG68" s="12" t="e">
        <f t="shared" si="116"/>
        <v>#N/A</v>
      </c>
      <c r="BH68" s="55" t="e">
        <f t="shared" si="116"/>
        <v>#N/A</v>
      </c>
      <c r="BI68" s="55" t="e">
        <f t="shared" si="116"/>
        <v>#N/A</v>
      </c>
      <c r="BJ68" s="12" t="e">
        <f t="shared" si="116"/>
        <v>#N/A</v>
      </c>
      <c r="BK68" s="55" t="e">
        <f t="shared" si="116"/>
        <v>#N/A</v>
      </c>
      <c r="BL68" s="55" t="e">
        <f t="shared" si="116"/>
        <v>#N/A</v>
      </c>
      <c r="BM68" s="55" t="e">
        <f t="shared" si="116"/>
        <v>#N/A</v>
      </c>
      <c r="BN68" s="12" t="e">
        <f t="shared" si="116"/>
        <v>#N/A</v>
      </c>
      <c r="BO68" s="55" t="e">
        <f t="shared" ref="BO68:CT68" si="117">SUM(BO63:BO67)</f>
        <v>#N/A</v>
      </c>
      <c r="BP68" s="55" t="e">
        <f t="shared" si="117"/>
        <v>#N/A</v>
      </c>
      <c r="BQ68" s="12" t="e">
        <f t="shared" si="117"/>
        <v>#N/A</v>
      </c>
      <c r="BR68" s="55" t="e">
        <f t="shared" si="117"/>
        <v>#N/A</v>
      </c>
      <c r="BS68" s="55" t="e">
        <f t="shared" si="117"/>
        <v>#N/A</v>
      </c>
      <c r="BT68" s="12" t="e">
        <f t="shared" si="117"/>
        <v>#N/A</v>
      </c>
      <c r="BU68" s="55" t="e">
        <f t="shared" si="117"/>
        <v>#N/A</v>
      </c>
      <c r="BV68" s="55" t="e">
        <f t="shared" si="117"/>
        <v>#N/A</v>
      </c>
      <c r="BW68" s="12" t="e">
        <f t="shared" si="117"/>
        <v>#N/A</v>
      </c>
      <c r="BX68" s="55" t="e">
        <f t="shared" si="117"/>
        <v>#N/A</v>
      </c>
      <c r="BY68" s="55" t="e">
        <f t="shared" si="117"/>
        <v>#N/A</v>
      </c>
      <c r="BZ68" s="12" t="e">
        <f t="shared" si="117"/>
        <v>#N/A</v>
      </c>
      <c r="CA68" s="55" t="e">
        <f t="shared" si="117"/>
        <v>#N/A</v>
      </c>
      <c r="CB68" s="55" t="e">
        <f t="shared" si="117"/>
        <v>#N/A</v>
      </c>
      <c r="CC68" s="12" t="e">
        <f t="shared" si="117"/>
        <v>#N/A</v>
      </c>
      <c r="CD68" s="55" t="e">
        <f t="shared" si="117"/>
        <v>#N/A</v>
      </c>
      <c r="CE68" s="55" t="e">
        <f t="shared" si="117"/>
        <v>#N/A</v>
      </c>
      <c r="CF68" s="55" t="e">
        <f t="shared" si="117"/>
        <v>#N/A</v>
      </c>
      <c r="CG68" s="12" t="e">
        <f t="shared" si="117"/>
        <v>#N/A</v>
      </c>
      <c r="CH68" s="55" t="e">
        <f t="shared" si="117"/>
        <v>#N/A</v>
      </c>
      <c r="CI68" s="55" t="e">
        <f t="shared" si="117"/>
        <v>#N/A</v>
      </c>
      <c r="CJ68" s="12" t="e">
        <f t="shared" si="117"/>
        <v>#N/A</v>
      </c>
      <c r="CK68" s="55" t="e">
        <f t="shared" si="117"/>
        <v>#N/A</v>
      </c>
      <c r="CL68" s="55" t="e">
        <f t="shared" si="117"/>
        <v>#N/A</v>
      </c>
      <c r="CM68" s="12" t="e">
        <f t="shared" si="117"/>
        <v>#N/A</v>
      </c>
      <c r="CN68" s="55" t="e">
        <f t="shared" si="117"/>
        <v>#N/A</v>
      </c>
      <c r="CO68" s="55" t="e">
        <f t="shared" si="117"/>
        <v>#N/A</v>
      </c>
      <c r="CP68" s="12" t="e">
        <f t="shared" si="117"/>
        <v>#N/A</v>
      </c>
      <c r="CQ68" s="55" t="e">
        <f t="shared" si="117"/>
        <v>#N/A</v>
      </c>
      <c r="CR68" s="55" t="e">
        <f t="shared" si="117"/>
        <v>#N/A</v>
      </c>
      <c r="CS68" s="12" t="e">
        <f t="shared" si="117"/>
        <v>#N/A</v>
      </c>
      <c r="CT68" s="55" t="e">
        <f t="shared" si="117"/>
        <v>#N/A</v>
      </c>
      <c r="CU68" s="55" t="e">
        <f t="shared" ref="CU68:DZ68" si="118">SUM(CU63:CU67)</f>
        <v>#N/A</v>
      </c>
      <c r="CV68" s="12" t="e">
        <f t="shared" si="118"/>
        <v>#N/A</v>
      </c>
      <c r="CW68" s="55" t="e">
        <f t="shared" si="118"/>
        <v>#N/A</v>
      </c>
      <c r="CX68" s="55" t="e">
        <f t="shared" si="118"/>
        <v>#N/A</v>
      </c>
      <c r="CY68" s="55" t="e">
        <f t="shared" si="118"/>
        <v>#N/A</v>
      </c>
      <c r="CZ68" s="12" t="e">
        <f t="shared" si="118"/>
        <v>#N/A</v>
      </c>
      <c r="DA68" s="55" t="e">
        <f t="shared" si="118"/>
        <v>#N/A</v>
      </c>
      <c r="DB68" s="55" t="e">
        <f t="shared" si="118"/>
        <v>#N/A</v>
      </c>
      <c r="DC68" s="12" t="e">
        <f t="shared" si="118"/>
        <v>#N/A</v>
      </c>
      <c r="DD68" s="55" t="e">
        <f t="shared" si="118"/>
        <v>#N/A</v>
      </c>
      <c r="DE68" s="55" t="e">
        <f t="shared" si="118"/>
        <v>#N/A</v>
      </c>
      <c r="DF68" s="12" t="e">
        <f t="shared" si="118"/>
        <v>#N/A</v>
      </c>
      <c r="DG68" s="55" t="e">
        <f t="shared" si="118"/>
        <v>#N/A</v>
      </c>
      <c r="DH68" s="55" t="e">
        <f t="shared" si="118"/>
        <v>#N/A</v>
      </c>
      <c r="DI68" s="12" t="e">
        <f t="shared" si="118"/>
        <v>#N/A</v>
      </c>
      <c r="DJ68" s="55" t="e">
        <f t="shared" si="118"/>
        <v>#N/A</v>
      </c>
      <c r="DK68" s="55" t="e">
        <f t="shared" si="118"/>
        <v>#N/A</v>
      </c>
      <c r="DL68" s="12" t="e">
        <f t="shared" si="118"/>
        <v>#N/A</v>
      </c>
      <c r="DM68" s="55" t="e">
        <f t="shared" si="118"/>
        <v>#N/A</v>
      </c>
      <c r="DN68" s="55" t="e">
        <f t="shared" si="118"/>
        <v>#N/A</v>
      </c>
      <c r="DO68" s="12" t="e">
        <f t="shared" si="118"/>
        <v>#N/A</v>
      </c>
      <c r="DP68" s="55" t="e">
        <f t="shared" si="118"/>
        <v>#N/A</v>
      </c>
      <c r="DQ68" s="55" t="e">
        <f t="shared" si="118"/>
        <v>#N/A</v>
      </c>
      <c r="DR68" s="55" t="e">
        <f t="shared" si="118"/>
        <v>#N/A</v>
      </c>
      <c r="DS68" s="12" t="e">
        <f t="shared" si="118"/>
        <v>#N/A</v>
      </c>
      <c r="DT68" s="55" t="e">
        <f t="shared" si="118"/>
        <v>#N/A</v>
      </c>
      <c r="DU68" s="55" t="e">
        <f t="shared" si="118"/>
        <v>#N/A</v>
      </c>
      <c r="DV68" s="12" t="e">
        <f t="shared" si="118"/>
        <v>#N/A</v>
      </c>
      <c r="DW68" s="55" t="e">
        <f t="shared" si="118"/>
        <v>#N/A</v>
      </c>
      <c r="DX68" s="55" t="e">
        <f t="shared" si="118"/>
        <v>#N/A</v>
      </c>
      <c r="DY68" s="12" t="e">
        <f t="shared" si="118"/>
        <v>#N/A</v>
      </c>
      <c r="DZ68" s="55" t="e">
        <f t="shared" si="118"/>
        <v>#N/A</v>
      </c>
      <c r="EA68" s="55" t="e">
        <f t="shared" ref="EA68:FF68" si="119">SUM(EA63:EA67)</f>
        <v>#N/A</v>
      </c>
      <c r="EB68" s="12" t="e">
        <f t="shared" si="119"/>
        <v>#N/A</v>
      </c>
      <c r="EC68" s="55" t="e">
        <f t="shared" si="119"/>
        <v>#N/A</v>
      </c>
      <c r="ED68" s="55" t="e">
        <f t="shared" si="119"/>
        <v>#N/A</v>
      </c>
      <c r="EE68" s="12" t="e">
        <f t="shared" si="119"/>
        <v>#N/A</v>
      </c>
      <c r="EF68" s="55" t="e">
        <f t="shared" si="119"/>
        <v>#N/A</v>
      </c>
      <c r="EG68" s="55" t="e">
        <f t="shared" si="119"/>
        <v>#N/A</v>
      </c>
      <c r="EH68" s="12" t="e">
        <f t="shared" si="119"/>
        <v>#N/A</v>
      </c>
      <c r="EI68" s="55" t="e">
        <f t="shared" si="119"/>
        <v>#N/A</v>
      </c>
      <c r="EJ68" s="55" t="e">
        <f t="shared" si="119"/>
        <v>#N/A</v>
      </c>
    </row>
    <row r="69" spans="1:140" x14ac:dyDescent="0.2">
      <c r="A69" s="19" t="s">
        <v>89</v>
      </c>
      <c r="B69" s="96"/>
      <c r="C69" s="75" t="e">
        <f t="shared" ref="C69:AH69" si="120">IF(OR(C63&lt;0,C64&lt;0,C65&lt;0,C66&lt;0,C67&lt;0),"YES","NO")</f>
        <v>#DIV/0!</v>
      </c>
      <c r="D69" s="55" t="e">
        <f t="shared" si="120"/>
        <v>#DIV/0!</v>
      </c>
      <c r="E69" s="13" t="e">
        <f t="shared" si="120"/>
        <v>#DIV/0!</v>
      </c>
      <c r="F69" s="12" t="e">
        <f t="shared" si="120"/>
        <v>#DIV/0!</v>
      </c>
      <c r="G69" s="55" t="e">
        <f t="shared" si="120"/>
        <v>#DIV/0!</v>
      </c>
      <c r="H69" s="55" t="e">
        <f t="shared" si="120"/>
        <v>#DIV/0!</v>
      </c>
      <c r="I69" s="12" t="e">
        <f t="shared" si="120"/>
        <v>#DIV/0!</v>
      </c>
      <c r="J69" s="55" t="e">
        <f t="shared" si="120"/>
        <v>#DIV/0!</v>
      </c>
      <c r="K69" s="55" t="e">
        <f t="shared" si="120"/>
        <v>#DIV/0!</v>
      </c>
      <c r="L69" s="12" t="e">
        <f t="shared" si="120"/>
        <v>#DIV/0!</v>
      </c>
      <c r="M69" s="55" t="e">
        <f t="shared" si="120"/>
        <v>#DIV/0!</v>
      </c>
      <c r="N69" s="55" t="e">
        <f t="shared" si="120"/>
        <v>#DIV/0!</v>
      </c>
      <c r="O69" s="12" t="e">
        <f t="shared" si="120"/>
        <v>#DIV/0!</v>
      </c>
      <c r="P69" s="55" t="e">
        <f t="shared" si="120"/>
        <v>#DIV/0!</v>
      </c>
      <c r="Q69" s="55" t="e">
        <f t="shared" si="120"/>
        <v>#DIV/0!</v>
      </c>
      <c r="R69" s="12" t="e">
        <f t="shared" si="120"/>
        <v>#DIV/0!</v>
      </c>
      <c r="S69" s="55" t="e">
        <f t="shared" si="120"/>
        <v>#DIV/0!</v>
      </c>
      <c r="T69" s="55" t="e">
        <f t="shared" si="120"/>
        <v>#DIV/0!</v>
      </c>
      <c r="U69" s="12" t="e">
        <f t="shared" si="120"/>
        <v>#DIV/0!</v>
      </c>
      <c r="V69" s="55" t="e">
        <f t="shared" si="120"/>
        <v>#DIV/0!</v>
      </c>
      <c r="W69" s="55" t="e">
        <f t="shared" si="120"/>
        <v>#DIV/0!</v>
      </c>
      <c r="X69" s="12" t="e">
        <f t="shared" si="120"/>
        <v>#DIV/0!</v>
      </c>
      <c r="Y69" s="55" t="e">
        <f t="shared" si="120"/>
        <v>#DIV/0!</v>
      </c>
      <c r="Z69" s="55" t="e">
        <f t="shared" si="120"/>
        <v>#DIV/0!</v>
      </c>
      <c r="AA69" s="55" t="e">
        <f t="shared" si="120"/>
        <v>#N/A</v>
      </c>
      <c r="AB69" s="12" t="e">
        <f t="shared" si="120"/>
        <v>#N/A</v>
      </c>
      <c r="AC69" s="55" t="e">
        <f t="shared" si="120"/>
        <v>#N/A</v>
      </c>
      <c r="AD69" s="55" t="e">
        <f t="shared" si="120"/>
        <v>#N/A</v>
      </c>
      <c r="AE69" s="12" t="e">
        <f t="shared" si="120"/>
        <v>#N/A</v>
      </c>
      <c r="AF69" s="55" t="e">
        <f t="shared" si="120"/>
        <v>#N/A</v>
      </c>
      <c r="AG69" s="55" t="e">
        <f t="shared" si="120"/>
        <v>#N/A</v>
      </c>
      <c r="AH69" s="12" t="e">
        <f t="shared" si="120"/>
        <v>#N/A</v>
      </c>
      <c r="AI69" s="55" t="e">
        <f t="shared" ref="AI69:BN69" si="121">IF(OR(AI63&lt;0,AI64&lt;0,AI65&lt;0,AI66&lt;0,AI67&lt;0),"YES","NO")</f>
        <v>#N/A</v>
      </c>
      <c r="AJ69" s="55" t="e">
        <f t="shared" si="121"/>
        <v>#N/A</v>
      </c>
      <c r="AK69" s="12" t="e">
        <f t="shared" si="121"/>
        <v>#N/A</v>
      </c>
      <c r="AL69" s="55" t="e">
        <f t="shared" si="121"/>
        <v>#N/A</v>
      </c>
      <c r="AM69" s="55" t="e">
        <f t="shared" si="121"/>
        <v>#N/A</v>
      </c>
      <c r="AN69" s="12" t="e">
        <f t="shared" si="121"/>
        <v>#N/A</v>
      </c>
      <c r="AO69" s="55" t="e">
        <f t="shared" si="121"/>
        <v>#N/A</v>
      </c>
      <c r="AP69" s="55" t="e">
        <f t="shared" si="121"/>
        <v>#N/A</v>
      </c>
      <c r="AQ69" s="12" t="e">
        <f t="shared" si="121"/>
        <v>#N/A</v>
      </c>
      <c r="AR69" s="55" t="e">
        <f t="shared" si="121"/>
        <v>#N/A</v>
      </c>
      <c r="AS69" s="55" t="e">
        <f t="shared" si="121"/>
        <v>#N/A</v>
      </c>
      <c r="AT69" s="55" t="e">
        <f t="shared" si="121"/>
        <v>#N/A</v>
      </c>
      <c r="AU69" s="12" t="e">
        <f t="shared" si="121"/>
        <v>#N/A</v>
      </c>
      <c r="AV69" s="55" t="e">
        <f t="shared" si="121"/>
        <v>#N/A</v>
      </c>
      <c r="AW69" s="55" t="e">
        <f t="shared" si="121"/>
        <v>#N/A</v>
      </c>
      <c r="AX69" s="12" t="e">
        <f t="shared" si="121"/>
        <v>#N/A</v>
      </c>
      <c r="AY69" s="55" t="e">
        <f t="shared" si="121"/>
        <v>#N/A</v>
      </c>
      <c r="AZ69" s="55" t="e">
        <f t="shared" si="121"/>
        <v>#N/A</v>
      </c>
      <c r="BA69" s="12" t="e">
        <f t="shared" si="121"/>
        <v>#N/A</v>
      </c>
      <c r="BB69" s="55" t="e">
        <f t="shared" si="121"/>
        <v>#N/A</v>
      </c>
      <c r="BC69" s="55" t="e">
        <f t="shared" si="121"/>
        <v>#N/A</v>
      </c>
      <c r="BD69" s="12" t="e">
        <f t="shared" si="121"/>
        <v>#N/A</v>
      </c>
      <c r="BE69" s="55" t="e">
        <f t="shared" si="121"/>
        <v>#N/A</v>
      </c>
      <c r="BF69" s="55" t="e">
        <f t="shared" si="121"/>
        <v>#N/A</v>
      </c>
      <c r="BG69" s="12" t="e">
        <f t="shared" si="121"/>
        <v>#N/A</v>
      </c>
      <c r="BH69" s="55" t="e">
        <f t="shared" si="121"/>
        <v>#N/A</v>
      </c>
      <c r="BI69" s="55" t="e">
        <f t="shared" si="121"/>
        <v>#N/A</v>
      </c>
      <c r="BJ69" s="12" t="e">
        <f t="shared" si="121"/>
        <v>#N/A</v>
      </c>
      <c r="BK69" s="55" t="e">
        <f t="shared" si="121"/>
        <v>#N/A</v>
      </c>
      <c r="BL69" s="55" t="e">
        <f t="shared" si="121"/>
        <v>#N/A</v>
      </c>
      <c r="BM69" s="55" t="e">
        <f t="shared" si="121"/>
        <v>#N/A</v>
      </c>
      <c r="BN69" s="12" t="e">
        <f t="shared" si="121"/>
        <v>#N/A</v>
      </c>
      <c r="BO69" s="55" t="e">
        <f t="shared" ref="BO69:CT69" si="122">IF(OR(BO63&lt;0,BO64&lt;0,BO65&lt;0,BO66&lt;0,BO67&lt;0),"YES","NO")</f>
        <v>#N/A</v>
      </c>
      <c r="BP69" s="55" t="e">
        <f t="shared" si="122"/>
        <v>#N/A</v>
      </c>
      <c r="BQ69" s="12" t="e">
        <f t="shared" si="122"/>
        <v>#N/A</v>
      </c>
      <c r="BR69" s="55" t="e">
        <f t="shared" si="122"/>
        <v>#N/A</v>
      </c>
      <c r="BS69" s="55" t="e">
        <f t="shared" si="122"/>
        <v>#N/A</v>
      </c>
      <c r="BT69" s="12" t="e">
        <f t="shared" si="122"/>
        <v>#N/A</v>
      </c>
      <c r="BU69" s="55" t="e">
        <f t="shared" si="122"/>
        <v>#N/A</v>
      </c>
      <c r="BV69" s="55" t="e">
        <f t="shared" si="122"/>
        <v>#N/A</v>
      </c>
      <c r="BW69" s="12" t="e">
        <f t="shared" si="122"/>
        <v>#N/A</v>
      </c>
      <c r="BX69" s="55" t="e">
        <f t="shared" si="122"/>
        <v>#N/A</v>
      </c>
      <c r="BY69" s="55" t="e">
        <f t="shared" si="122"/>
        <v>#N/A</v>
      </c>
      <c r="BZ69" s="12" t="e">
        <f t="shared" si="122"/>
        <v>#N/A</v>
      </c>
      <c r="CA69" s="55" t="e">
        <f t="shared" si="122"/>
        <v>#N/A</v>
      </c>
      <c r="CB69" s="55" t="e">
        <f t="shared" si="122"/>
        <v>#N/A</v>
      </c>
      <c r="CC69" s="12" t="e">
        <f t="shared" si="122"/>
        <v>#N/A</v>
      </c>
      <c r="CD69" s="55" t="e">
        <f t="shared" si="122"/>
        <v>#N/A</v>
      </c>
      <c r="CE69" s="55" t="e">
        <f t="shared" si="122"/>
        <v>#N/A</v>
      </c>
      <c r="CF69" s="55" t="e">
        <f t="shared" si="122"/>
        <v>#N/A</v>
      </c>
      <c r="CG69" s="12" t="e">
        <f t="shared" si="122"/>
        <v>#N/A</v>
      </c>
      <c r="CH69" s="55" t="e">
        <f t="shared" si="122"/>
        <v>#N/A</v>
      </c>
      <c r="CI69" s="55" t="e">
        <f t="shared" si="122"/>
        <v>#N/A</v>
      </c>
      <c r="CJ69" s="12" t="e">
        <f t="shared" si="122"/>
        <v>#N/A</v>
      </c>
      <c r="CK69" s="55" t="e">
        <f t="shared" si="122"/>
        <v>#N/A</v>
      </c>
      <c r="CL69" s="55" t="e">
        <f t="shared" si="122"/>
        <v>#N/A</v>
      </c>
      <c r="CM69" s="12" t="e">
        <f t="shared" si="122"/>
        <v>#N/A</v>
      </c>
      <c r="CN69" s="55" t="e">
        <f t="shared" si="122"/>
        <v>#N/A</v>
      </c>
      <c r="CO69" s="55" t="e">
        <f t="shared" si="122"/>
        <v>#N/A</v>
      </c>
      <c r="CP69" s="12" t="e">
        <f t="shared" si="122"/>
        <v>#N/A</v>
      </c>
      <c r="CQ69" s="55" t="e">
        <f t="shared" si="122"/>
        <v>#N/A</v>
      </c>
      <c r="CR69" s="55" t="e">
        <f t="shared" si="122"/>
        <v>#N/A</v>
      </c>
      <c r="CS69" s="12" t="e">
        <f t="shared" si="122"/>
        <v>#N/A</v>
      </c>
      <c r="CT69" s="55" t="e">
        <f t="shared" si="122"/>
        <v>#N/A</v>
      </c>
      <c r="CU69" s="55" t="e">
        <f t="shared" ref="CU69:DZ69" si="123">IF(OR(CU63&lt;0,CU64&lt;0,CU65&lt;0,CU66&lt;0,CU67&lt;0),"YES","NO")</f>
        <v>#N/A</v>
      </c>
      <c r="CV69" s="12" t="e">
        <f t="shared" si="123"/>
        <v>#N/A</v>
      </c>
      <c r="CW69" s="55" t="e">
        <f t="shared" si="123"/>
        <v>#N/A</v>
      </c>
      <c r="CX69" s="55" t="e">
        <f t="shared" si="123"/>
        <v>#N/A</v>
      </c>
      <c r="CY69" s="55" t="e">
        <f t="shared" si="123"/>
        <v>#N/A</v>
      </c>
      <c r="CZ69" s="12" t="e">
        <f t="shared" si="123"/>
        <v>#N/A</v>
      </c>
      <c r="DA69" s="55" t="e">
        <f t="shared" si="123"/>
        <v>#N/A</v>
      </c>
      <c r="DB69" s="55" t="e">
        <f t="shared" si="123"/>
        <v>#N/A</v>
      </c>
      <c r="DC69" s="12" t="e">
        <f t="shared" si="123"/>
        <v>#N/A</v>
      </c>
      <c r="DD69" s="55" t="e">
        <f t="shared" si="123"/>
        <v>#N/A</v>
      </c>
      <c r="DE69" s="55" t="e">
        <f t="shared" si="123"/>
        <v>#N/A</v>
      </c>
      <c r="DF69" s="12" t="e">
        <f t="shared" si="123"/>
        <v>#N/A</v>
      </c>
      <c r="DG69" s="55" t="e">
        <f t="shared" si="123"/>
        <v>#N/A</v>
      </c>
      <c r="DH69" s="55" t="e">
        <f t="shared" si="123"/>
        <v>#N/A</v>
      </c>
      <c r="DI69" s="12" t="e">
        <f t="shared" si="123"/>
        <v>#N/A</v>
      </c>
      <c r="DJ69" s="55" t="e">
        <f t="shared" si="123"/>
        <v>#N/A</v>
      </c>
      <c r="DK69" s="55" t="e">
        <f t="shared" si="123"/>
        <v>#N/A</v>
      </c>
      <c r="DL69" s="12" t="e">
        <f t="shared" si="123"/>
        <v>#N/A</v>
      </c>
      <c r="DM69" s="55" t="e">
        <f t="shared" si="123"/>
        <v>#N/A</v>
      </c>
      <c r="DN69" s="55" t="e">
        <f t="shared" si="123"/>
        <v>#N/A</v>
      </c>
      <c r="DO69" s="12" t="e">
        <f t="shared" si="123"/>
        <v>#N/A</v>
      </c>
      <c r="DP69" s="55" t="e">
        <f t="shared" si="123"/>
        <v>#N/A</v>
      </c>
      <c r="DQ69" s="55" t="e">
        <f t="shared" si="123"/>
        <v>#N/A</v>
      </c>
      <c r="DR69" s="55" t="e">
        <f t="shared" si="123"/>
        <v>#N/A</v>
      </c>
      <c r="DS69" s="12" t="e">
        <f t="shared" si="123"/>
        <v>#N/A</v>
      </c>
      <c r="DT69" s="55" t="e">
        <f t="shared" si="123"/>
        <v>#N/A</v>
      </c>
      <c r="DU69" s="55" t="e">
        <f t="shared" si="123"/>
        <v>#N/A</v>
      </c>
      <c r="DV69" s="12" t="e">
        <f t="shared" si="123"/>
        <v>#N/A</v>
      </c>
      <c r="DW69" s="55" t="e">
        <f t="shared" si="123"/>
        <v>#N/A</v>
      </c>
      <c r="DX69" s="55" t="e">
        <f t="shared" si="123"/>
        <v>#N/A</v>
      </c>
      <c r="DY69" s="12" t="e">
        <f t="shared" si="123"/>
        <v>#N/A</v>
      </c>
      <c r="DZ69" s="55" t="e">
        <f t="shared" si="123"/>
        <v>#N/A</v>
      </c>
      <c r="EA69" s="55" t="e">
        <f t="shared" ref="EA69:EJ69" si="124">IF(OR(EA63&lt;0,EA64&lt;0,EA65&lt;0,EA66&lt;0,EA67&lt;0),"YES","NO")</f>
        <v>#N/A</v>
      </c>
      <c r="EB69" s="12" t="e">
        <f t="shared" si="124"/>
        <v>#N/A</v>
      </c>
      <c r="EC69" s="55" t="e">
        <f t="shared" si="124"/>
        <v>#N/A</v>
      </c>
      <c r="ED69" s="55" t="e">
        <f t="shared" si="124"/>
        <v>#N/A</v>
      </c>
      <c r="EE69" s="12" t="e">
        <f t="shared" si="124"/>
        <v>#N/A</v>
      </c>
      <c r="EF69" s="55" t="e">
        <f t="shared" si="124"/>
        <v>#N/A</v>
      </c>
      <c r="EG69" s="55" t="e">
        <f t="shared" si="124"/>
        <v>#N/A</v>
      </c>
      <c r="EH69" s="12" t="e">
        <f t="shared" si="124"/>
        <v>#N/A</v>
      </c>
      <c r="EI69" s="55" t="e">
        <f t="shared" si="124"/>
        <v>#N/A</v>
      </c>
      <c r="EJ69" s="55" t="e">
        <f t="shared" si="124"/>
        <v>#N/A</v>
      </c>
    </row>
    <row r="70" spans="1:140" x14ac:dyDescent="0.2">
      <c r="A70" s="19" t="s">
        <v>90</v>
      </c>
      <c r="B70" s="96"/>
      <c r="C70" s="75" t="e">
        <f t="shared" ref="C70:AH70" si="125">IF(OR(C63&lt;1,C64&lt;1,C65&lt;1,C66&lt;1,C67&lt;1),"YES","NO")</f>
        <v>#DIV/0!</v>
      </c>
      <c r="D70" s="55" t="e">
        <f t="shared" si="125"/>
        <v>#DIV/0!</v>
      </c>
      <c r="E70" s="13" t="e">
        <f t="shared" si="125"/>
        <v>#DIV/0!</v>
      </c>
      <c r="F70" s="12" t="e">
        <f t="shared" si="125"/>
        <v>#DIV/0!</v>
      </c>
      <c r="G70" s="55" t="e">
        <f t="shared" si="125"/>
        <v>#DIV/0!</v>
      </c>
      <c r="H70" s="55" t="e">
        <f t="shared" si="125"/>
        <v>#DIV/0!</v>
      </c>
      <c r="I70" s="12" t="e">
        <f t="shared" si="125"/>
        <v>#DIV/0!</v>
      </c>
      <c r="J70" s="55" t="e">
        <f t="shared" si="125"/>
        <v>#DIV/0!</v>
      </c>
      <c r="K70" s="55" t="e">
        <f t="shared" si="125"/>
        <v>#DIV/0!</v>
      </c>
      <c r="L70" s="12" t="e">
        <f t="shared" si="125"/>
        <v>#DIV/0!</v>
      </c>
      <c r="M70" s="55" t="e">
        <f t="shared" si="125"/>
        <v>#DIV/0!</v>
      </c>
      <c r="N70" s="55" t="e">
        <f t="shared" si="125"/>
        <v>#DIV/0!</v>
      </c>
      <c r="O70" s="12" t="e">
        <f t="shared" si="125"/>
        <v>#DIV/0!</v>
      </c>
      <c r="P70" s="55" t="e">
        <f t="shared" si="125"/>
        <v>#DIV/0!</v>
      </c>
      <c r="Q70" s="55" t="e">
        <f t="shared" si="125"/>
        <v>#DIV/0!</v>
      </c>
      <c r="R70" s="12" t="e">
        <f t="shared" si="125"/>
        <v>#DIV/0!</v>
      </c>
      <c r="S70" s="55" t="e">
        <f t="shared" si="125"/>
        <v>#DIV/0!</v>
      </c>
      <c r="T70" s="55" t="e">
        <f t="shared" si="125"/>
        <v>#DIV/0!</v>
      </c>
      <c r="U70" s="12" t="e">
        <f t="shared" si="125"/>
        <v>#DIV/0!</v>
      </c>
      <c r="V70" s="55" t="e">
        <f t="shared" si="125"/>
        <v>#DIV/0!</v>
      </c>
      <c r="W70" s="55" t="e">
        <f t="shared" si="125"/>
        <v>#DIV/0!</v>
      </c>
      <c r="X70" s="12" t="e">
        <f t="shared" si="125"/>
        <v>#DIV/0!</v>
      </c>
      <c r="Y70" s="55" t="e">
        <f t="shared" si="125"/>
        <v>#DIV/0!</v>
      </c>
      <c r="Z70" s="55" t="e">
        <f t="shared" si="125"/>
        <v>#DIV/0!</v>
      </c>
      <c r="AA70" s="55" t="e">
        <f t="shared" si="125"/>
        <v>#N/A</v>
      </c>
      <c r="AB70" s="12" t="e">
        <f t="shared" si="125"/>
        <v>#N/A</v>
      </c>
      <c r="AC70" s="55" t="e">
        <f t="shared" si="125"/>
        <v>#N/A</v>
      </c>
      <c r="AD70" s="55" t="e">
        <f t="shared" si="125"/>
        <v>#N/A</v>
      </c>
      <c r="AE70" s="12" t="e">
        <f t="shared" si="125"/>
        <v>#N/A</v>
      </c>
      <c r="AF70" s="55" t="e">
        <f t="shared" si="125"/>
        <v>#N/A</v>
      </c>
      <c r="AG70" s="55" t="e">
        <f t="shared" si="125"/>
        <v>#N/A</v>
      </c>
      <c r="AH70" s="12" t="e">
        <f t="shared" si="125"/>
        <v>#N/A</v>
      </c>
      <c r="AI70" s="55" t="e">
        <f t="shared" ref="AI70:BN70" si="126">IF(OR(AI63&lt;1,AI64&lt;1,AI65&lt;1,AI66&lt;1,AI67&lt;1),"YES","NO")</f>
        <v>#N/A</v>
      </c>
      <c r="AJ70" s="55" t="e">
        <f t="shared" si="126"/>
        <v>#N/A</v>
      </c>
      <c r="AK70" s="12" t="e">
        <f t="shared" si="126"/>
        <v>#N/A</v>
      </c>
      <c r="AL70" s="55" t="e">
        <f t="shared" si="126"/>
        <v>#N/A</v>
      </c>
      <c r="AM70" s="55" t="e">
        <f t="shared" si="126"/>
        <v>#N/A</v>
      </c>
      <c r="AN70" s="12" t="e">
        <f t="shared" si="126"/>
        <v>#N/A</v>
      </c>
      <c r="AO70" s="55" t="e">
        <f t="shared" si="126"/>
        <v>#N/A</v>
      </c>
      <c r="AP70" s="55" t="e">
        <f t="shared" si="126"/>
        <v>#N/A</v>
      </c>
      <c r="AQ70" s="12" t="e">
        <f t="shared" si="126"/>
        <v>#N/A</v>
      </c>
      <c r="AR70" s="55" t="e">
        <f t="shared" si="126"/>
        <v>#N/A</v>
      </c>
      <c r="AS70" s="55" t="e">
        <f t="shared" si="126"/>
        <v>#N/A</v>
      </c>
      <c r="AT70" s="55" t="e">
        <f t="shared" si="126"/>
        <v>#N/A</v>
      </c>
      <c r="AU70" s="12" t="e">
        <f t="shared" si="126"/>
        <v>#N/A</v>
      </c>
      <c r="AV70" s="55" t="e">
        <f t="shared" si="126"/>
        <v>#N/A</v>
      </c>
      <c r="AW70" s="55" t="e">
        <f t="shared" si="126"/>
        <v>#N/A</v>
      </c>
      <c r="AX70" s="12" t="e">
        <f t="shared" si="126"/>
        <v>#N/A</v>
      </c>
      <c r="AY70" s="55" t="e">
        <f t="shared" si="126"/>
        <v>#N/A</v>
      </c>
      <c r="AZ70" s="55" t="e">
        <f t="shared" si="126"/>
        <v>#N/A</v>
      </c>
      <c r="BA70" s="12" t="e">
        <f t="shared" si="126"/>
        <v>#N/A</v>
      </c>
      <c r="BB70" s="55" t="e">
        <f t="shared" si="126"/>
        <v>#N/A</v>
      </c>
      <c r="BC70" s="55" t="e">
        <f t="shared" si="126"/>
        <v>#N/A</v>
      </c>
      <c r="BD70" s="12" t="e">
        <f t="shared" si="126"/>
        <v>#N/A</v>
      </c>
      <c r="BE70" s="55" t="e">
        <f t="shared" si="126"/>
        <v>#N/A</v>
      </c>
      <c r="BF70" s="55" t="e">
        <f t="shared" si="126"/>
        <v>#N/A</v>
      </c>
      <c r="BG70" s="12" t="e">
        <f t="shared" si="126"/>
        <v>#N/A</v>
      </c>
      <c r="BH70" s="55" t="e">
        <f t="shared" si="126"/>
        <v>#N/A</v>
      </c>
      <c r="BI70" s="55" t="e">
        <f t="shared" si="126"/>
        <v>#N/A</v>
      </c>
      <c r="BJ70" s="12" t="e">
        <f t="shared" si="126"/>
        <v>#N/A</v>
      </c>
      <c r="BK70" s="55" t="e">
        <f t="shared" si="126"/>
        <v>#N/A</v>
      </c>
      <c r="BL70" s="55" t="e">
        <f t="shared" si="126"/>
        <v>#N/A</v>
      </c>
      <c r="BM70" s="55" t="e">
        <f t="shared" si="126"/>
        <v>#N/A</v>
      </c>
      <c r="BN70" s="12" t="e">
        <f t="shared" si="126"/>
        <v>#N/A</v>
      </c>
      <c r="BO70" s="55" t="e">
        <f t="shared" ref="BO70:CT70" si="127">IF(OR(BO63&lt;1,BO64&lt;1,BO65&lt;1,BO66&lt;1,BO67&lt;1),"YES","NO")</f>
        <v>#N/A</v>
      </c>
      <c r="BP70" s="55" t="e">
        <f t="shared" si="127"/>
        <v>#N/A</v>
      </c>
      <c r="BQ70" s="12" t="e">
        <f t="shared" si="127"/>
        <v>#N/A</v>
      </c>
      <c r="BR70" s="55" t="e">
        <f t="shared" si="127"/>
        <v>#N/A</v>
      </c>
      <c r="BS70" s="55" t="e">
        <f t="shared" si="127"/>
        <v>#N/A</v>
      </c>
      <c r="BT70" s="12" t="e">
        <f t="shared" si="127"/>
        <v>#N/A</v>
      </c>
      <c r="BU70" s="55" t="e">
        <f t="shared" si="127"/>
        <v>#N/A</v>
      </c>
      <c r="BV70" s="55" t="e">
        <f t="shared" si="127"/>
        <v>#N/A</v>
      </c>
      <c r="BW70" s="12" t="e">
        <f t="shared" si="127"/>
        <v>#N/A</v>
      </c>
      <c r="BX70" s="55" t="e">
        <f t="shared" si="127"/>
        <v>#N/A</v>
      </c>
      <c r="BY70" s="55" t="e">
        <f t="shared" si="127"/>
        <v>#N/A</v>
      </c>
      <c r="BZ70" s="12" t="e">
        <f t="shared" si="127"/>
        <v>#N/A</v>
      </c>
      <c r="CA70" s="55" t="e">
        <f t="shared" si="127"/>
        <v>#N/A</v>
      </c>
      <c r="CB70" s="55" t="e">
        <f t="shared" si="127"/>
        <v>#N/A</v>
      </c>
      <c r="CC70" s="12" t="e">
        <f t="shared" si="127"/>
        <v>#N/A</v>
      </c>
      <c r="CD70" s="55" t="e">
        <f t="shared" si="127"/>
        <v>#N/A</v>
      </c>
      <c r="CE70" s="55" t="e">
        <f t="shared" si="127"/>
        <v>#N/A</v>
      </c>
      <c r="CF70" s="55" t="e">
        <f t="shared" si="127"/>
        <v>#N/A</v>
      </c>
      <c r="CG70" s="12" t="e">
        <f t="shared" si="127"/>
        <v>#N/A</v>
      </c>
      <c r="CH70" s="55" t="e">
        <f t="shared" si="127"/>
        <v>#N/A</v>
      </c>
      <c r="CI70" s="55" t="e">
        <f t="shared" si="127"/>
        <v>#N/A</v>
      </c>
      <c r="CJ70" s="12" t="e">
        <f t="shared" si="127"/>
        <v>#N/A</v>
      </c>
      <c r="CK70" s="55" t="e">
        <f t="shared" si="127"/>
        <v>#N/A</v>
      </c>
      <c r="CL70" s="55" t="e">
        <f t="shared" si="127"/>
        <v>#N/A</v>
      </c>
      <c r="CM70" s="12" t="e">
        <f t="shared" si="127"/>
        <v>#N/A</v>
      </c>
      <c r="CN70" s="55" t="e">
        <f t="shared" si="127"/>
        <v>#N/A</v>
      </c>
      <c r="CO70" s="55" t="e">
        <f t="shared" si="127"/>
        <v>#N/A</v>
      </c>
      <c r="CP70" s="12" t="e">
        <f t="shared" si="127"/>
        <v>#N/A</v>
      </c>
      <c r="CQ70" s="55" t="e">
        <f t="shared" si="127"/>
        <v>#N/A</v>
      </c>
      <c r="CR70" s="55" t="e">
        <f t="shared" si="127"/>
        <v>#N/A</v>
      </c>
      <c r="CS70" s="12" t="e">
        <f t="shared" si="127"/>
        <v>#N/A</v>
      </c>
      <c r="CT70" s="55" t="e">
        <f t="shared" si="127"/>
        <v>#N/A</v>
      </c>
      <c r="CU70" s="55" t="e">
        <f t="shared" ref="CU70:DZ70" si="128">IF(OR(CU63&lt;1,CU64&lt;1,CU65&lt;1,CU66&lt;1,CU67&lt;1),"YES","NO")</f>
        <v>#N/A</v>
      </c>
      <c r="CV70" s="12" t="e">
        <f t="shared" si="128"/>
        <v>#N/A</v>
      </c>
      <c r="CW70" s="55" t="e">
        <f t="shared" si="128"/>
        <v>#N/A</v>
      </c>
      <c r="CX70" s="55" t="e">
        <f t="shared" si="128"/>
        <v>#N/A</v>
      </c>
      <c r="CY70" s="55" t="e">
        <f t="shared" si="128"/>
        <v>#N/A</v>
      </c>
      <c r="CZ70" s="12" t="e">
        <f t="shared" si="128"/>
        <v>#N/A</v>
      </c>
      <c r="DA70" s="55" t="e">
        <f t="shared" si="128"/>
        <v>#N/A</v>
      </c>
      <c r="DB70" s="55" t="e">
        <f t="shared" si="128"/>
        <v>#N/A</v>
      </c>
      <c r="DC70" s="12" t="e">
        <f t="shared" si="128"/>
        <v>#N/A</v>
      </c>
      <c r="DD70" s="55" t="e">
        <f t="shared" si="128"/>
        <v>#N/A</v>
      </c>
      <c r="DE70" s="55" t="e">
        <f t="shared" si="128"/>
        <v>#N/A</v>
      </c>
      <c r="DF70" s="12" t="e">
        <f t="shared" si="128"/>
        <v>#N/A</v>
      </c>
      <c r="DG70" s="55" t="e">
        <f t="shared" si="128"/>
        <v>#N/A</v>
      </c>
      <c r="DH70" s="55" t="e">
        <f t="shared" si="128"/>
        <v>#N/A</v>
      </c>
      <c r="DI70" s="12" t="e">
        <f t="shared" si="128"/>
        <v>#N/A</v>
      </c>
      <c r="DJ70" s="55" t="e">
        <f t="shared" si="128"/>
        <v>#N/A</v>
      </c>
      <c r="DK70" s="55" t="e">
        <f t="shared" si="128"/>
        <v>#N/A</v>
      </c>
      <c r="DL70" s="12" t="e">
        <f t="shared" si="128"/>
        <v>#N/A</v>
      </c>
      <c r="DM70" s="55" t="e">
        <f t="shared" si="128"/>
        <v>#N/A</v>
      </c>
      <c r="DN70" s="55" t="e">
        <f t="shared" si="128"/>
        <v>#N/A</v>
      </c>
      <c r="DO70" s="12" t="e">
        <f t="shared" si="128"/>
        <v>#N/A</v>
      </c>
      <c r="DP70" s="55" t="e">
        <f t="shared" si="128"/>
        <v>#N/A</v>
      </c>
      <c r="DQ70" s="55" t="e">
        <f t="shared" si="128"/>
        <v>#N/A</v>
      </c>
      <c r="DR70" s="55" t="e">
        <f t="shared" si="128"/>
        <v>#N/A</v>
      </c>
      <c r="DS70" s="12" t="e">
        <f t="shared" si="128"/>
        <v>#N/A</v>
      </c>
      <c r="DT70" s="55" t="e">
        <f t="shared" si="128"/>
        <v>#N/A</v>
      </c>
      <c r="DU70" s="55" t="e">
        <f t="shared" si="128"/>
        <v>#N/A</v>
      </c>
      <c r="DV70" s="12" t="e">
        <f t="shared" si="128"/>
        <v>#N/A</v>
      </c>
      <c r="DW70" s="55" t="e">
        <f t="shared" si="128"/>
        <v>#N/A</v>
      </c>
      <c r="DX70" s="55" t="e">
        <f t="shared" si="128"/>
        <v>#N/A</v>
      </c>
      <c r="DY70" s="12" t="e">
        <f t="shared" si="128"/>
        <v>#N/A</v>
      </c>
      <c r="DZ70" s="55" t="e">
        <f t="shared" si="128"/>
        <v>#N/A</v>
      </c>
      <c r="EA70" s="55" t="e">
        <f t="shared" ref="EA70:EJ70" si="129">IF(OR(EA63&lt;1,EA64&lt;1,EA65&lt;1,EA66&lt;1,EA67&lt;1),"YES","NO")</f>
        <v>#N/A</v>
      </c>
      <c r="EB70" s="12" t="e">
        <f t="shared" si="129"/>
        <v>#N/A</v>
      </c>
      <c r="EC70" s="55" t="e">
        <f t="shared" si="129"/>
        <v>#N/A</v>
      </c>
      <c r="ED70" s="55" t="e">
        <f t="shared" si="129"/>
        <v>#N/A</v>
      </c>
      <c r="EE70" s="12" t="e">
        <f t="shared" si="129"/>
        <v>#N/A</v>
      </c>
      <c r="EF70" s="55" t="e">
        <f t="shared" si="129"/>
        <v>#N/A</v>
      </c>
      <c r="EG70" s="55" t="e">
        <f t="shared" si="129"/>
        <v>#N/A</v>
      </c>
      <c r="EH70" s="12" t="e">
        <f t="shared" si="129"/>
        <v>#N/A</v>
      </c>
      <c r="EI70" s="55" t="e">
        <f t="shared" si="129"/>
        <v>#N/A</v>
      </c>
      <c r="EJ70" s="55" t="e">
        <f t="shared" si="129"/>
        <v>#N/A</v>
      </c>
    </row>
    <row r="71" spans="1:140" x14ac:dyDescent="0.2">
      <c r="A71" s="19"/>
      <c r="B71" s="96"/>
      <c r="G71" s="55"/>
      <c r="H71" s="55"/>
      <c r="J71" s="55"/>
      <c r="K71" s="55"/>
      <c r="M71" s="55"/>
      <c r="N71" s="55"/>
      <c r="P71" s="55"/>
      <c r="Q71" s="55"/>
      <c r="S71" s="55"/>
      <c r="T71" s="55"/>
      <c r="V71" s="55"/>
      <c r="W71" s="55"/>
      <c r="Y71" s="55"/>
      <c r="Z71" s="55"/>
      <c r="AA71" s="55"/>
      <c r="AC71" s="55"/>
      <c r="AD71" s="55"/>
      <c r="AF71" s="55"/>
      <c r="AG71" s="55"/>
      <c r="AI71" s="55"/>
      <c r="AJ71" s="55"/>
      <c r="AL71" s="55"/>
      <c r="AM71" s="55"/>
      <c r="AO71" s="55"/>
      <c r="AP71" s="55"/>
      <c r="AR71" s="55"/>
      <c r="AS71" s="55"/>
      <c r="AT71" s="55"/>
      <c r="AV71" s="55"/>
      <c r="AW71" s="55"/>
      <c r="AY71" s="55"/>
      <c r="AZ71" s="55"/>
      <c r="BB71" s="55"/>
      <c r="BC71" s="55"/>
      <c r="BE71" s="55"/>
      <c r="BF71" s="55"/>
      <c r="BH71" s="55"/>
      <c r="BI71" s="55"/>
      <c r="BK71" s="55"/>
      <c r="BL71" s="55"/>
      <c r="BM71" s="55"/>
      <c r="BO71" s="55"/>
      <c r="BP71" s="55"/>
      <c r="BR71" s="55"/>
      <c r="BS71" s="55"/>
      <c r="BU71" s="55"/>
      <c r="BV71" s="55"/>
      <c r="BX71" s="55"/>
      <c r="BY71" s="55"/>
      <c r="CA71" s="55"/>
      <c r="CB71" s="55"/>
      <c r="CD71" s="55"/>
      <c r="CE71" s="55"/>
      <c r="CF71" s="55"/>
      <c r="CH71" s="55"/>
      <c r="CI71" s="55"/>
      <c r="CK71" s="55"/>
      <c r="CL71" s="55"/>
      <c r="CN71" s="55"/>
      <c r="CO71" s="55"/>
      <c r="CQ71" s="55"/>
      <c r="CR71" s="55"/>
      <c r="CT71" s="55"/>
      <c r="CU71" s="55"/>
      <c r="CW71" s="55"/>
      <c r="CX71" s="55"/>
      <c r="CY71" s="55"/>
      <c r="DA71" s="55"/>
      <c r="DB71" s="55"/>
      <c r="DD71" s="55"/>
      <c r="DE71" s="55"/>
      <c r="DG71" s="55"/>
      <c r="DH71" s="55"/>
      <c r="DJ71" s="55"/>
      <c r="DK71" s="55"/>
      <c r="DM71" s="55"/>
      <c r="DN71" s="55"/>
      <c r="DP71" s="55"/>
      <c r="DQ71" s="55"/>
      <c r="DR71" s="55"/>
      <c r="DT71" s="55"/>
      <c r="DU71" s="55"/>
      <c r="DW71" s="55"/>
      <c r="DX71" s="55"/>
      <c r="DZ71" s="55"/>
      <c r="EA71" s="55"/>
      <c r="EC71" s="55"/>
      <c r="ED71" s="55"/>
      <c r="EF71" s="55"/>
      <c r="EG71" s="55"/>
      <c r="EI71" s="55"/>
      <c r="EJ71" s="55"/>
    </row>
    <row r="72" spans="1:140" x14ac:dyDescent="0.2">
      <c r="A72" s="18" t="s">
        <v>91</v>
      </c>
      <c r="G72" s="55"/>
      <c r="H72" s="55"/>
      <c r="J72" s="55"/>
      <c r="K72" s="55"/>
      <c r="M72" s="55"/>
      <c r="N72" s="55"/>
      <c r="P72" s="55"/>
      <c r="Q72" s="55"/>
      <c r="S72" s="55"/>
      <c r="T72" s="55"/>
      <c r="V72" s="55"/>
      <c r="W72" s="55"/>
      <c r="Y72" s="55"/>
      <c r="Z72" s="55"/>
      <c r="AA72" s="55"/>
      <c r="AC72" s="55"/>
      <c r="AD72" s="55"/>
      <c r="AF72" s="55"/>
      <c r="AG72" s="55"/>
      <c r="AI72" s="55"/>
      <c r="AJ72" s="55"/>
      <c r="AL72" s="55"/>
      <c r="AM72" s="55"/>
      <c r="AO72" s="55"/>
      <c r="AP72" s="55"/>
      <c r="AR72" s="55"/>
      <c r="AS72" s="55"/>
      <c r="AT72" s="55"/>
      <c r="AV72" s="55"/>
      <c r="AW72" s="55"/>
      <c r="AY72" s="55"/>
      <c r="AZ72" s="55"/>
      <c r="BB72" s="55"/>
      <c r="BC72" s="55"/>
      <c r="BE72" s="55"/>
      <c r="BF72" s="55"/>
      <c r="BH72" s="55"/>
      <c r="BI72" s="55"/>
      <c r="BK72" s="55"/>
      <c r="BL72" s="55"/>
      <c r="BM72" s="55"/>
      <c r="BO72" s="55"/>
      <c r="BP72" s="55"/>
      <c r="BR72" s="55"/>
      <c r="BS72" s="55"/>
      <c r="BU72" s="55"/>
      <c r="BV72" s="55"/>
      <c r="BX72" s="55"/>
      <c r="BY72" s="55"/>
      <c r="CA72" s="55"/>
      <c r="CB72" s="55"/>
      <c r="CD72" s="55"/>
      <c r="CE72" s="55"/>
      <c r="CF72" s="55"/>
      <c r="CH72" s="55"/>
      <c r="CI72" s="55"/>
      <c r="CK72" s="55"/>
      <c r="CL72" s="55"/>
      <c r="CN72" s="55"/>
      <c r="CO72" s="55"/>
      <c r="CQ72" s="55"/>
      <c r="CR72" s="55"/>
      <c r="CT72" s="55"/>
      <c r="CU72" s="55"/>
      <c r="CW72" s="55"/>
      <c r="CX72" s="55"/>
      <c r="CY72" s="55"/>
      <c r="DA72" s="55"/>
      <c r="DB72" s="55"/>
      <c r="DD72" s="55"/>
      <c r="DE72" s="55"/>
      <c r="DG72" s="55"/>
      <c r="DH72" s="55"/>
      <c r="DJ72" s="55"/>
      <c r="DK72" s="55"/>
      <c r="DM72" s="55"/>
      <c r="DN72" s="55"/>
      <c r="DP72" s="55"/>
      <c r="DQ72" s="55"/>
      <c r="DR72" s="55"/>
      <c r="DT72" s="55"/>
      <c r="DU72" s="55"/>
      <c r="DW72" s="55"/>
      <c r="DX72" s="55"/>
      <c r="DZ72" s="55"/>
      <c r="EA72" s="55"/>
      <c r="EC72" s="55"/>
      <c r="ED72" s="55"/>
      <c r="EF72" s="55"/>
      <c r="EG72" s="55"/>
      <c r="EI72" s="55"/>
      <c r="EJ72" s="55"/>
    </row>
    <row r="73" spans="1:140" s="9" customFormat="1" x14ac:dyDescent="0.2">
      <c r="A73" s="42" t="s">
        <v>92</v>
      </c>
      <c r="B73" s="97" t="s">
        <v>35</v>
      </c>
      <c r="C73" s="85">
        <f t="shared" ref="C73:AH73" si="130">C37/C59*1000</f>
        <v>5</v>
      </c>
      <c r="D73" s="65">
        <f t="shared" si="130"/>
        <v>5</v>
      </c>
      <c r="E73" s="43">
        <f t="shared" si="130"/>
        <v>5</v>
      </c>
      <c r="F73" s="49">
        <f t="shared" si="130"/>
        <v>5</v>
      </c>
      <c r="G73" s="65">
        <f t="shared" si="130"/>
        <v>5</v>
      </c>
      <c r="H73" s="65">
        <f t="shared" si="130"/>
        <v>5</v>
      </c>
      <c r="I73" s="49">
        <f t="shared" si="130"/>
        <v>5</v>
      </c>
      <c r="J73" s="65">
        <f t="shared" si="130"/>
        <v>5</v>
      </c>
      <c r="K73" s="65">
        <f t="shared" si="130"/>
        <v>5</v>
      </c>
      <c r="L73" s="49">
        <f t="shared" si="130"/>
        <v>5</v>
      </c>
      <c r="M73" s="65">
        <f t="shared" si="130"/>
        <v>5</v>
      </c>
      <c r="N73" s="65">
        <f t="shared" si="130"/>
        <v>5</v>
      </c>
      <c r="O73" s="49">
        <f t="shared" si="130"/>
        <v>5</v>
      </c>
      <c r="P73" s="65">
        <f t="shared" si="130"/>
        <v>5</v>
      </c>
      <c r="Q73" s="65">
        <f t="shared" si="130"/>
        <v>5</v>
      </c>
      <c r="R73" s="49">
        <f t="shared" si="130"/>
        <v>5</v>
      </c>
      <c r="S73" s="65">
        <f t="shared" si="130"/>
        <v>5</v>
      </c>
      <c r="T73" s="65">
        <f t="shared" si="130"/>
        <v>5</v>
      </c>
      <c r="U73" s="49">
        <f t="shared" si="130"/>
        <v>5</v>
      </c>
      <c r="V73" s="65">
        <f t="shared" si="130"/>
        <v>5</v>
      </c>
      <c r="W73" s="65">
        <f t="shared" si="130"/>
        <v>5</v>
      </c>
      <c r="X73" s="49">
        <f t="shared" si="130"/>
        <v>5</v>
      </c>
      <c r="Y73" s="65">
        <f t="shared" si="130"/>
        <v>5</v>
      </c>
      <c r="Z73" s="65">
        <f t="shared" si="130"/>
        <v>5</v>
      </c>
      <c r="AA73" s="65">
        <f t="shared" si="130"/>
        <v>5</v>
      </c>
      <c r="AB73" s="49">
        <f t="shared" si="130"/>
        <v>5</v>
      </c>
      <c r="AC73" s="65">
        <f t="shared" si="130"/>
        <v>5</v>
      </c>
      <c r="AD73" s="65">
        <f t="shared" si="130"/>
        <v>5</v>
      </c>
      <c r="AE73" s="49">
        <f t="shared" si="130"/>
        <v>5</v>
      </c>
      <c r="AF73" s="65">
        <f t="shared" si="130"/>
        <v>5</v>
      </c>
      <c r="AG73" s="65">
        <f t="shared" si="130"/>
        <v>5</v>
      </c>
      <c r="AH73" s="49">
        <f t="shared" si="130"/>
        <v>5</v>
      </c>
      <c r="AI73" s="65">
        <f t="shared" ref="AI73:BN73" si="131">AI37/AI59*1000</f>
        <v>5</v>
      </c>
      <c r="AJ73" s="65">
        <f t="shared" si="131"/>
        <v>5</v>
      </c>
      <c r="AK73" s="49">
        <f t="shared" si="131"/>
        <v>5</v>
      </c>
      <c r="AL73" s="65">
        <f t="shared" si="131"/>
        <v>5</v>
      </c>
      <c r="AM73" s="65">
        <f t="shared" si="131"/>
        <v>5</v>
      </c>
      <c r="AN73" s="49">
        <f t="shared" si="131"/>
        <v>5</v>
      </c>
      <c r="AO73" s="65">
        <f t="shared" si="131"/>
        <v>5</v>
      </c>
      <c r="AP73" s="65">
        <f t="shared" si="131"/>
        <v>5</v>
      </c>
      <c r="AQ73" s="49">
        <f t="shared" si="131"/>
        <v>5</v>
      </c>
      <c r="AR73" s="65">
        <f t="shared" si="131"/>
        <v>5</v>
      </c>
      <c r="AS73" s="65">
        <f t="shared" si="131"/>
        <v>5</v>
      </c>
      <c r="AT73" s="65">
        <f t="shared" si="131"/>
        <v>5</v>
      </c>
      <c r="AU73" s="49">
        <f t="shared" si="131"/>
        <v>5</v>
      </c>
      <c r="AV73" s="65">
        <f t="shared" si="131"/>
        <v>5</v>
      </c>
      <c r="AW73" s="65">
        <f t="shared" si="131"/>
        <v>5</v>
      </c>
      <c r="AX73" s="49">
        <f t="shared" si="131"/>
        <v>5</v>
      </c>
      <c r="AY73" s="65">
        <f t="shared" si="131"/>
        <v>5</v>
      </c>
      <c r="AZ73" s="65">
        <f t="shared" si="131"/>
        <v>5</v>
      </c>
      <c r="BA73" s="49">
        <f t="shared" si="131"/>
        <v>5</v>
      </c>
      <c r="BB73" s="65">
        <f t="shared" si="131"/>
        <v>5</v>
      </c>
      <c r="BC73" s="65">
        <f t="shared" si="131"/>
        <v>5</v>
      </c>
      <c r="BD73" s="49">
        <f t="shared" si="131"/>
        <v>5</v>
      </c>
      <c r="BE73" s="65">
        <f t="shared" si="131"/>
        <v>5</v>
      </c>
      <c r="BF73" s="65">
        <f t="shared" si="131"/>
        <v>5</v>
      </c>
      <c r="BG73" s="49">
        <f t="shared" si="131"/>
        <v>5</v>
      </c>
      <c r="BH73" s="65">
        <f t="shared" si="131"/>
        <v>5</v>
      </c>
      <c r="BI73" s="65">
        <f t="shared" si="131"/>
        <v>5</v>
      </c>
      <c r="BJ73" s="49">
        <f t="shared" si="131"/>
        <v>5</v>
      </c>
      <c r="BK73" s="65">
        <f t="shared" si="131"/>
        <v>5</v>
      </c>
      <c r="BL73" s="65">
        <f t="shared" si="131"/>
        <v>5</v>
      </c>
      <c r="BM73" s="65">
        <f t="shared" si="131"/>
        <v>5</v>
      </c>
      <c r="BN73" s="49">
        <f t="shared" si="131"/>
        <v>5</v>
      </c>
      <c r="BO73" s="65">
        <f t="shared" ref="BO73:CT73" si="132">BO37/BO59*1000</f>
        <v>5</v>
      </c>
      <c r="BP73" s="65">
        <f t="shared" si="132"/>
        <v>5</v>
      </c>
      <c r="BQ73" s="49">
        <f t="shared" si="132"/>
        <v>5</v>
      </c>
      <c r="BR73" s="65">
        <f t="shared" si="132"/>
        <v>5</v>
      </c>
      <c r="BS73" s="65">
        <f t="shared" si="132"/>
        <v>5</v>
      </c>
      <c r="BT73" s="49">
        <f t="shared" si="132"/>
        <v>5</v>
      </c>
      <c r="BU73" s="65">
        <f t="shared" si="132"/>
        <v>5</v>
      </c>
      <c r="BV73" s="65">
        <f t="shared" si="132"/>
        <v>5</v>
      </c>
      <c r="BW73" s="49">
        <f t="shared" si="132"/>
        <v>5</v>
      </c>
      <c r="BX73" s="65">
        <f t="shared" si="132"/>
        <v>5</v>
      </c>
      <c r="BY73" s="65">
        <f t="shared" si="132"/>
        <v>5</v>
      </c>
      <c r="BZ73" s="49">
        <f t="shared" si="132"/>
        <v>5</v>
      </c>
      <c r="CA73" s="65">
        <f t="shared" si="132"/>
        <v>5</v>
      </c>
      <c r="CB73" s="65">
        <f t="shared" si="132"/>
        <v>5</v>
      </c>
      <c r="CC73" s="49">
        <f t="shared" si="132"/>
        <v>5</v>
      </c>
      <c r="CD73" s="65">
        <f t="shared" si="132"/>
        <v>5</v>
      </c>
      <c r="CE73" s="65">
        <f t="shared" si="132"/>
        <v>5</v>
      </c>
      <c r="CF73" s="65">
        <f t="shared" si="132"/>
        <v>5</v>
      </c>
      <c r="CG73" s="49">
        <f t="shared" si="132"/>
        <v>5</v>
      </c>
      <c r="CH73" s="65">
        <f t="shared" si="132"/>
        <v>5</v>
      </c>
      <c r="CI73" s="65">
        <f t="shared" si="132"/>
        <v>5</v>
      </c>
      <c r="CJ73" s="49">
        <f t="shared" si="132"/>
        <v>5</v>
      </c>
      <c r="CK73" s="65">
        <f t="shared" si="132"/>
        <v>5</v>
      </c>
      <c r="CL73" s="65">
        <f t="shared" si="132"/>
        <v>5</v>
      </c>
      <c r="CM73" s="49">
        <f t="shared" si="132"/>
        <v>5</v>
      </c>
      <c r="CN73" s="65">
        <f t="shared" si="132"/>
        <v>5</v>
      </c>
      <c r="CO73" s="65">
        <f t="shared" si="132"/>
        <v>5</v>
      </c>
      <c r="CP73" s="49">
        <f t="shared" si="132"/>
        <v>5</v>
      </c>
      <c r="CQ73" s="65">
        <f t="shared" si="132"/>
        <v>5</v>
      </c>
      <c r="CR73" s="65">
        <f t="shared" si="132"/>
        <v>5</v>
      </c>
      <c r="CS73" s="49">
        <f t="shared" si="132"/>
        <v>5</v>
      </c>
      <c r="CT73" s="65">
        <f t="shared" si="132"/>
        <v>5</v>
      </c>
      <c r="CU73" s="65">
        <f t="shared" ref="CU73:DZ73" si="133">CU37/CU59*1000</f>
        <v>5</v>
      </c>
      <c r="CV73" s="49">
        <f t="shared" si="133"/>
        <v>5</v>
      </c>
      <c r="CW73" s="65">
        <f t="shared" si="133"/>
        <v>5</v>
      </c>
      <c r="CX73" s="65">
        <f t="shared" si="133"/>
        <v>5</v>
      </c>
      <c r="CY73" s="65">
        <f t="shared" si="133"/>
        <v>5</v>
      </c>
      <c r="CZ73" s="49">
        <f t="shared" si="133"/>
        <v>5</v>
      </c>
      <c r="DA73" s="65">
        <f t="shared" si="133"/>
        <v>5</v>
      </c>
      <c r="DB73" s="65">
        <f t="shared" si="133"/>
        <v>5</v>
      </c>
      <c r="DC73" s="49">
        <f t="shared" si="133"/>
        <v>5</v>
      </c>
      <c r="DD73" s="65">
        <f t="shared" si="133"/>
        <v>5</v>
      </c>
      <c r="DE73" s="65">
        <f t="shared" si="133"/>
        <v>5</v>
      </c>
      <c r="DF73" s="49">
        <f t="shared" si="133"/>
        <v>5</v>
      </c>
      <c r="DG73" s="65">
        <f t="shared" si="133"/>
        <v>5</v>
      </c>
      <c r="DH73" s="65">
        <f t="shared" si="133"/>
        <v>5</v>
      </c>
      <c r="DI73" s="49">
        <f t="shared" si="133"/>
        <v>5</v>
      </c>
      <c r="DJ73" s="65">
        <f t="shared" si="133"/>
        <v>5</v>
      </c>
      <c r="DK73" s="65">
        <f t="shared" si="133"/>
        <v>5</v>
      </c>
      <c r="DL73" s="49">
        <f t="shared" si="133"/>
        <v>5</v>
      </c>
      <c r="DM73" s="65">
        <f t="shared" si="133"/>
        <v>5</v>
      </c>
      <c r="DN73" s="65">
        <f t="shared" si="133"/>
        <v>5</v>
      </c>
      <c r="DO73" s="49">
        <f t="shared" si="133"/>
        <v>5</v>
      </c>
      <c r="DP73" s="65">
        <f t="shared" si="133"/>
        <v>5</v>
      </c>
      <c r="DQ73" s="65">
        <f t="shared" si="133"/>
        <v>5</v>
      </c>
      <c r="DR73" s="65">
        <f t="shared" si="133"/>
        <v>5</v>
      </c>
      <c r="DS73" s="49">
        <f t="shared" si="133"/>
        <v>5</v>
      </c>
      <c r="DT73" s="65">
        <f t="shared" si="133"/>
        <v>5</v>
      </c>
      <c r="DU73" s="65">
        <f t="shared" si="133"/>
        <v>5</v>
      </c>
      <c r="DV73" s="49">
        <f t="shared" si="133"/>
        <v>5</v>
      </c>
      <c r="DW73" s="65">
        <f t="shared" si="133"/>
        <v>5</v>
      </c>
      <c r="DX73" s="65">
        <f t="shared" si="133"/>
        <v>5</v>
      </c>
      <c r="DY73" s="49">
        <f t="shared" si="133"/>
        <v>5</v>
      </c>
      <c r="DZ73" s="65">
        <f t="shared" si="133"/>
        <v>5</v>
      </c>
      <c r="EA73" s="65">
        <f t="shared" ref="EA73:EJ73" si="134">EA37/EA59*1000</f>
        <v>5</v>
      </c>
      <c r="EB73" s="49">
        <f t="shared" si="134"/>
        <v>5</v>
      </c>
      <c r="EC73" s="65">
        <f t="shared" si="134"/>
        <v>5</v>
      </c>
      <c r="ED73" s="65">
        <f t="shared" si="134"/>
        <v>5</v>
      </c>
      <c r="EE73" s="49">
        <f t="shared" si="134"/>
        <v>5</v>
      </c>
      <c r="EF73" s="65">
        <f t="shared" si="134"/>
        <v>5</v>
      </c>
      <c r="EG73" s="65">
        <f t="shared" si="134"/>
        <v>5</v>
      </c>
      <c r="EH73" s="49">
        <f t="shared" si="134"/>
        <v>5</v>
      </c>
      <c r="EI73" s="65">
        <f t="shared" si="134"/>
        <v>5</v>
      </c>
      <c r="EJ73" s="65">
        <f t="shared" si="134"/>
        <v>5</v>
      </c>
    </row>
    <row r="74" spans="1:140" s="9" customFormat="1" x14ac:dyDescent="0.2">
      <c r="A74" s="42" t="s">
        <v>93</v>
      </c>
      <c r="B74" s="97" t="s">
        <v>35</v>
      </c>
      <c r="C74" s="85">
        <f t="shared" ref="C74:AH74" si="135">C39-C73</f>
        <v>70</v>
      </c>
      <c r="D74" s="65">
        <f t="shared" si="135"/>
        <v>70</v>
      </c>
      <c r="E74" s="43">
        <f t="shared" si="135"/>
        <v>70</v>
      </c>
      <c r="F74" s="49">
        <f t="shared" si="135"/>
        <v>70</v>
      </c>
      <c r="G74" s="65">
        <f t="shared" si="135"/>
        <v>70</v>
      </c>
      <c r="H74" s="65">
        <f t="shared" si="135"/>
        <v>70</v>
      </c>
      <c r="I74" s="49">
        <f t="shared" si="135"/>
        <v>70</v>
      </c>
      <c r="J74" s="65">
        <f t="shared" si="135"/>
        <v>70</v>
      </c>
      <c r="K74" s="65">
        <f t="shared" si="135"/>
        <v>70</v>
      </c>
      <c r="L74" s="49">
        <f t="shared" si="135"/>
        <v>70</v>
      </c>
      <c r="M74" s="65">
        <f t="shared" si="135"/>
        <v>70</v>
      </c>
      <c r="N74" s="65">
        <f t="shared" si="135"/>
        <v>70</v>
      </c>
      <c r="O74" s="49">
        <f t="shared" si="135"/>
        <v>70</v>
      </c>
      <c r="P74" s="65">
        <f t="shared" si="135"/>
        <v>70</v>
      </c>
      <c r="Q74" s="65">
        <f t="shared" si="135"/>
        <v>70</v>
      </c>
      <c r="R74" s="49">
        <f t="shared" si="135"/>
        <v>70</v>
      </c>
      <c r="S74" s="65">
        <f t="shared" si="135"/>
        <v>70</v>
      </c>
      <c r="T74" s="65">
        <f t="shared" si="135"/>
        <v>70</v>
      </c>
      <c r="U74" s="49">
        <f t="shared" si="135"/>
        <v>70</v>
      </c>
      <c r="V74" s="65">
        <f t="shared" si="135"/>
        <v>70</v>
      </c>
      <c r="W74" s="65">
        <f t="shared" si="135"/>
        <v>70</v>
      </c>
      <c r="X74" s="49">
        <f t="shared" si="135"/>
        <v>70</v>
      </c>
      <c r="Y74" s="65">
        <f t="shared" si="135"/>
        <v>70</v>
      </c>
      <c r="Z74" s="65">
        <f t="shared" si="135"/>
        <v>70</v>
      </c>
      <c r="AA74" s="65">
        <f t="shared" si="135"/>
        <v>70</v>
      </c>
      <c r="AB74" s="49">
        <f t="shared" si="135"/>
        <v>70</v>
      </c>
      <c r="AC74" s="65">
        <f t="shared" si="135"/>
        <v>70</v>
      </c>
      <c r="AD74" s="65">
        <f t="shared" si="135"/>
        <v>70</v>
      </c>
      <c r="AE74" s="49">
        <f t="shared" si="135"/>
        <v>70</v>
      </c>
      <c r="AF74" s="65">
        <f t="shared" si="135"/>
        <v>70</v>
      </c>
      <c r="AG74" s="65">
        <f t="shared" si="135"/>
        <v>70</v>
      </c>
      <c r="AH74" s="49">
        <f t="shared" si="135"/>
        <v>70</v>
      </c>
      <c r="AI74" s="65">
        <f t="shared" ref="AI74:BN74" si="136">AI39-AI73</f>
        <v>70</v>
      </c>
      <c r="AJ74" s="65">
        <f t="shared" si="136"/>
        <v>70</v>
      </c>
      <c r="AK74" s="49">
        <f t="shared" si="136"/>
        <v>70</v>
      </c>
      <c r="AL74" s="65">
        <f t="shared" si="136"/>
        <v>70</v>
      </c>
      <c r="AM74" s="65">
        <f t="shared" si="136"/>
        <v>70</v>
      </c>
      <c r="AN74" s="49">
        <f t="shared" si="136"/>
        <v>70</v>
      </c>
      <c r="AO74" s="65">
        <f t="shared" si="136"/>
        <v>70</v>
      </c>
      <c r="AP74" s="65">
        <f t="shared" si="136"/>
        <v>70</v>
      </c>
      <c r="AQ74" s="49">
        <f t="shared" si="136"/>
        <v>70</v>
      </c>
      <c r="AR74" s="65">
        <f t="shared" si="136"/>
        <v>70</v>
      </c>
      <c r="AS74" s="65">
        <f t="shared" si="136"/>
        <v>70</v>
      </c>
      <c r="AT74" s="65">
        <f t="shared" si="136"/>
        <v>70</v>
      </c>
      <c r="AU74" s="49">
        <f t="shared" si="136"/>
        <v>70</v>
      </c>
      <c r="AV74" s="65">
        <f t="shared" si="136"/>
        <v>70</v>
      </c>
      <c r="AW74" s="65">
        <f t="shared" si="136"/>
        <v>70</v>
      </c>
      <c r="AX74" s="49">
        <f t="shared" si="136"/>
        <v>70</v>
      </c>
      <c r="AY74" s="65">
        <f t="shared" si="136"/>
        <v>70</v>
      </c>
      <c r="AZ74" s="65">
        <f t="shared" si="136"/>
        <v>70</v>
      </c>
      <c r="BA74" s="49">
        <f t="shared" si="136"/>
        <v>70</v>
      </c>
      <c r="BB74" s="65">
        <f t="shared" si="136"/>
        <v>70</v>
      </c>
      <c r="BC74" s="65">
        <f t="shared" si="136"/>
        <v>70</v>
      </c>
      <c r="BD74" s="49">
        <f t="shared" si="136"/>
        <v>70</v>
      </c>
      <c r="BE74" s="65">
        <f t="shared" si="136"/>
        <v>70</v>
      </c>
      <c r="BF74" s="65">
        <f t="shared" si="136"/>
        <v>70</v>
      </c>
      <c r="BG74" s="49">
        <f t="shared" si="136"/>
        <v>70</v>
      </c>
      <c r="BH74" s="65">
        <f t="shared" si="136"/>
        <v>70</v>
      </c>
      <c r="BI74" s="65">
        <f t="shared" si="136"/>
        <v>70</v>
      </c>
      <c r="BJ74" s="49">
        <f t="shared" si="136"/>
        <v>70</v>
      </c>
      <c r="BK74" s="65">
        <f t="shared" si="136"/>
        <v>70</v>
      </c>
      <c r="BL74" s="65">
        <f t="shared" si="136"/>
        <v>70</v>
      </c>
      <c r="BM74" s="65">
        <f t="shared" si="136"/>
        <v>70</v>
      </c>
      <c r="BN74" s="49">
        <f t="shared" si="136"/>
        <v>70</v>
      </c>
      <c r="BO74" s="65">
        <f t="shared" ref="BO74:CT74" si="137">BO39-BO73</f>
        <v>70</v>
      </c>
      <c r="BP74" s="65">
        <f t="shared" si="137"/>
        <v>70</v>
      </c>
      <c r="BQ74" s="49">
        <f t="shared" si="137"/>
        <v>70</v>
      </c>
      <c r="BR74" s="65">
        <f t="shared" si="137"/>
        <v>70</v>
      </c>
      <c r="BS74" s="65">
        <f t="shared" si="137"/>
        <v>70</v>
      </c>
      <c r="BT74" s="49">
        <f t="shared" si="137"/>
        <v>70</v>
      </c>
      <c r="BU74" s="65">
        <f t="shared" si="137"/>
        <v>70</v>
      </c>
      <c r="BV74" s="65">
        <f t="shared" si="137"/>
        <v>70</v>
      </c>
      <c r="BW74" s="49">
        <f t="shared" si="137"/>
        <v>70</v>
      </c>
      <c r="BX74" s="65">
        <f t="shared" si="137"/>
        <v>70</v>
      </c>
      <c r="BY74" s="65">
        <f t="shared" si="137"/>
        <v>70</v>
      </c>
      <c r="BZ74" s="49">
        <f t="shared" si="137"/>
        <v>70</v>
      </c>
      <c r="CA74" s="65">
        <f t="shared" si="137"/>
        <v>70</v>
      </c>
      <c r="CB74" s="65">
        <f t="shared" si="137"/>
        <v>70</v>
      </c>
      <c r="CC74" s="49">
        <f t="shared" si="137"/>
        <v>70</v>
      </c>
      <c r="CD74" s="65">
        <f t="shared" si="137"/>
        <v>70</v>
      </c>
      <c r="CE74" s="65">
        <f t="shared" si="137"/>
        <v>70</v>
      </c>
      <c r="CF74" s="65">
        <f t="shared" si="137"/>
        <v>70</v>
      </c>
      <c r="CG74" s="49">
        <f t="shared" si="137"/>
        <v>70</v>
      </c>
      <c r="CH74" s="65">
        <f t="shared" si="137"/>
        <v>70</v>
      </c>
      <c r="CI74" s="65">
        <f t="shared" si="137"/>
        <v>70</v>
      </c>
      <c r="CJ74" s="49">
        <f t="shared" si="137"/>
        <v>70</v>
      </c>
      <c r="CK74" s="65">
        <f t="shared" si="137"/>
        <v>70</v>
      </c>
      <c r="CL74" s="65">
        <f t="shared" si="137"/>
        <v>70</v>
      </c>
      <c r="CM74" s="49">
        <f t="shared" si="137"/>
        <v>70</v>
      </c>
      <c r="CN74" s="65">
        <f t="shared" si="137"/>
        <v>70</v>
      </c>
      <c r="CO74" s="65">
        <f t="shared" si="137"/>
        <v>70</v>
      </c>
      <c r="CP74" s="49">
        <f t="shared" si="137"/>
        <v>70</v>
      </c>
      <c r="CQ74" s="65">
        <f t="shared" si="137"/>
        <v>70</v>
      </c>
      <c r="CR74" s="65">
        <f t="shared" si="137"/>
        <v>70</v>
      </c>
      <c r="CS74" s="49">
        <f t="shared" si="137"/>
        <v>70</v>
      </c>
      <c r="CT74" s="65">
        <f t="shared" si="137"/>
        <v>70</v>
      </c>
      <c r="CU74" s="65">
        <f t="shared" ref="CU74:DZ74" si="138">CU39-CU73</f>
        <v>70</v>
      </c>
      <c r="CV74" s="49">
        <f t="shared" si="138"/>
        <v>70</v>
      </c>
      <c r="CW74" s="65">
        <f t="shared" si="138"/>
        <v>70</v>
      </c>
      <c r="CX74" s="65">
        <f t="shared" si="138"/>
        <v>70</v>
      </c>
      <c r="CY74" s="65">
        <f t="shared" si="138"/>
        <v>70</v>
      </c>
      <c r="CZ74" s="49">
        <f t="shared" si="138"/>
        <v>70</v>
      </c>
      <c r="DA74" s="65">
        <f t="shared" si="138"/>
        <v>70</v>
      </c>
      <c r="DB74" s="65">
        <f t="shared" si="138"/>
        <v>70</v>
      </c>
      <c r="DC74" s="49">
        <f t="shared" si="138"/>
        <v>70</v>
      </c>
      <c r="DD74" s="65">
        <f t="shared" si="138"/>
        <v>70</v>
      </c>
      <c r="DE74" s="65">
        <f t="shared" si="138"/>
        <v>70</v>
      </c>
      <c r="DF74" s="49">
        <f t="shared" si="138"/>
        <v>70</v>
      </c>
      <c r="DG74" s="65">
        <f t="shared" si="138"/>
        <v>70</v>
      </c>
      <c r="DH74" s="65">
        <f t="shared" si="138"/>
        <v>70</v>
      </c>
      <c r="DI74" s="49">
        <f t="shared" si="138"/>
        <v>70</v>
      </c>
      <c r="DJ74" s="65">
        <f t="shared" si="138"/>
        <v>70</v>
      </c>
      <c r="DK74" s="65">
        <f t="shared" si="138"/>
        <v>70</v>
      </c>
      <c r="DL74" s="49">
        <f t="shared" si="138"/>
        <v>70</v>
      </c>
      <c r="DM74" s="65">
        <f t="shared" si="138"/>
        <v>70</v>
      </c>
      <c r="DN74" s="65">
        <f t="shared" si="138"/>
        <v>70</v>
      </c>
      <c r="DO74" s="49">
        <f t="shared" si="138"/>
        <v>70</v>
      </c>
      <c r="DP74" s="65">
        <f t="shared" si="138"/>
        <v>70</v>
      </c>
      <c r="DQ74" s="65">
        <f t="shared" si="138"/>
        <v>70</v>
      </c>
      <c r="DR74" s="65">
        <f t="shared" si="138"/>
        <v>70</v>
      </c>
      <c r="DS74" s="49">
        <f t="shared" si="138"/>
        <v>70</v>
      </c>
      <c r="DT74" s="65">
        <f t="shared" si="138"/>
        <v>70</v>
      </c>
      <c r="DU74" s="65">
        <f t="shared" si="138"/>
        <v>70</v>
      </c>
      <c r="DV74" s="49">
        <f t="shared" si="138"/>
        <v>70</v>
      </c>
      <c r="DW74" s="65">
        <f t="shared" si="138"/>
        <v>70</v>
      </c>
      <c r="DX74" s="65">
        <f t="shared" si="138"/>
        <v>70</v>
      </c>
      <c r="DY74" s="49">
        <f t="shared" si="138"/>
        <v>70</v>
      </c>
      <c r="DZ74" s="65">
        <f t="shared" si="138"/>
        <v>70</v>
      </c>
      <c r="EA74" s="65">
        <f t="shared" ref="EA74:FF74" si="139">EA39-EA73</f>
        <v>70</v>
      </c>
      <c r="EB74" s="49">
        <f t="shared" si="139"/>
        <v>70</v>
      </c>
      <c r="EC74" s="65">
        <f t="shared" si="139"/>
        <v>70</v>
      </c>
      <c r="ED74" s="65">
        <f t="shared" si="139"/>
        <v>70</v>
      </c>
      <c r="EE74" s="49">
        <f t="shared" si="139"/>
        <v>70</v>
      </c>
      <c r="EF74" s="65">
        <f t="shared" si="139"/>
        <v>70</v>
      </c>
      <c r="EG74" s="65">
        <f t="shared" si="139"/>
        <v>70</v>
      </c>
      <c r="EH74" s="49">
        <f t="shared" si="139"/>
        <v>70</v>
      </c>
      <c r="EI74" s="65">
        <f t="shared" si="139"/>
        <v>70</v>
      </c>
      <c r="EJ74" s="65">
        <f t="shared" si="139"/>
        <v>70</v>
      </c>
    </row>
    <row r="75" spans="1:140" s="9" customFormat="1" x14ac:dyDescent="0.2">
      <c r="A75" s="42" t="s">
        <v>94</v>
      </c>
      <c r="B75" s="97" t="s">
        <v>35</v>
      </c>
      <c r="C75" s="85">
        <f t="shared" ref="C75:AH75" si="140">SUM(C73:C74)</f>
        <v>75</v>
      </c>
      <c r="D75" s="65">
        <f t="shared" si="140"/>
        <v>75</v>
      </c>
      <c r="E75" s="43">
        <f t="shared" si="140"/>
        <v>75</v>
      </c>
      <c r="F75" s="49">
        <f t="shared" si="140"/>
        <v>75</v>
      </c>
      <c r="G75" s="65">
        <f t="shared" si="140"/>
        <v>75</v>
      </c>
      <c r="H75" s="65">
        <f t="shared" si="140"/>
        <v>75</v>
      </c>
      <c r="I75" s="49">
        <f t="shared" si="140"/>
        <v>75</v>
      </c>
      <c r="J75" s="65">
        <f t="shared" si="140"/>
        <v>75</v>
      </c>
      <c r="K75" s="65">
        <f t="shared" si="140"/>
        <v>75</v>
      </c>
      <c r="L75" s="49">
        <f t="shared" si="140"/>
        <v>75</v>
      </c>
      <c r="M75" s="65">
        <f t="shared" si="140"/>
        <v>75</v>
      </c>
      <c r="N75" s="65">
        <f t="shared" si="140"/>
        <v>75</v>
      </c>
      <c r="O75" s="49">
        <f t="shared" si="140"/>
        <v>75</v>
      </c>
      <c r="P75" s="65">
        <f t="shared" si="140"/>
        <v>75</v>
      </c>
      <c r="Q75" s="65">
        <f t="shared" si="140"/>
        <v>75</v>
      </c>
      <c r="R75" s="49">
        <f t="shared" si="140"/>
        <v>75</v>
      </c>
      <c r="S75" s="65">
        <f t="shared" si="140"/>
        <v>75</v>
      </c>
      <c r="T75" s="65">
        <f t="shared" si="140"/>
        <v>75</v>
      </c>
      <c r="U75" s="49">
        <f t="shared" si="140"/>
        <v>75</v>
      </c>
      <c r="V75" s="65">
        <f t="shared" si="140"/>
        <v>75</v>
      </c>
      <c r="W75" s="65">
        <f t="shared" si="140"/>
        <v>75</v>
      </c>
      <c r="X75" s="49">
        <f t="shared" si="140"/>
        <v>75</v>
      </c>
      <c r="Y75" s="65">
        <f t="shared" si="140"/>
        <v>75</v>
      </c>
      <c r="Z75" s="65">
        <f t="shared" si="140"/>
        <v>75</v>
      </c>
      <c r="AA75" s="65">
        <f t="shared" si="140"/>
        <v>75</v>
      </c>
      <c r="AB75" s="49">
        <f t="shared" si="140"/>
        <v>75</v>
      </c>
      <c r="AC75" s="65">
        <f t="shared" si="140"/>
        <v>75</v>
      </c>
      <c r="AD75" s="65">
        <f t="shared" si="140"/>
        <v>75</v>
      </c>
      <c r="AE75" s="49">
        <f t="shared" si="140"/>
        <v>75</v>
      </c>
      <c r="AF75" s="65">
        <f t="shared" si="140"/>
        <v>75</v>
      </c>
      <c r="AG75" s="65">
        <f t="shared" si="140"/>
        <v>75</v>
      </c>
      <c r="AH75" s="49">
        <f t="shared" si="140"/>
        <v>75</v>
      </c>
      <c r="AI75" s="65">
        <f t="shared" ref="AI75:BN75" si="141">SUM(AI73:AI74)</f>
        <v>75</v>
      </c>
      <c r="AJ75" s="65">
        <f t="shared" si="141"/>
        <v>75</v>
      </c>
      <c r="AK75" s="49">
        <f t="shared" si="141"/>
        <v>75</v>
      </c>
      <c r="AL75" s="65">
        <f t="shared" si="141"/>
        <v>75</v>
      </c>
      <c r="AM75" s="65">
        <f t="shared" si="141"/>
        <v>75</v>
      </c>
      <c r="AN75" s="49">
        <f t="shared" si="141"/>
        <v>75</v>
      </c>
      <c r="AO75" s="65">
        <f t="shared" si="141"/>
        <v>75</v>
      </c>
      <c r="AP75" s="65">
        <f t="shared" si="141"/>
        <v>75</v>
      </c>
      <c r="AQ75" s="49">
        <f t="shared" si="141"/>
        <v>75</v>
      </c>
      <c r="AR75" s="65">
        <f t="shared" si="141"/>
        <v>75</v>
      </c>
      <c r="AS75" s="65">
        <f t="shared" si="141"/>
        <v>75</v>
      </c>
      <c r="AT75" s="65">
        <f t="shared" si="141"/>
        <v>75</v>
      </c>
      <c r="AU75" s="49">
        <f t="shared" si="141"/>
        <v>75</v>
      </c>
      <c r="AV75" s="65">
        <f t="shared" si="141"/>
        <v>75</v>
      </c>
      <c r="AW75" s="65">
        <f t="shared" si="141"/>
        <v>75</v>
      </c>
      <c r="AX75" s="49">
        <f t="shared" si="141"/>
        <v>75</v>
      </c>
      <c r="AY75" s="65">
        <f t="shared" si="141"/>
        <v>75</v>
      </c>
      <c r="AZ75" s="65">
        <f t="shared" si="141"/>
        <v>75</v>
      </c>
      <c r="BA75" s="49">
        <f t="shared" si="141"/>
        <v>75</v>
      </c>
      <c r="BB75" s="65">
        <f t="shared" si="141"/>
        <v>75</v>
      </c>
      <c r="BC75" s="65">
        <f t="shared" si="141"/>
        <v>75</v>
      </c>
      <c r="BD75" s="49">
        <f t="shared" si="141"/>
        <v>75</v>
      </c>
      <c r="BE75" s="65">
        <f t="shared" si="141"/>
        <v>75</v>
      </c>
      <c r="BF75" s="65">
        <f t="shared" si="141"/>
        <v>75</v>
      </c>
      <c r="BG75" s="49">
        <f t="shared" si="141"/>
        <v>75</v>
      </c>
      <c r="BH75" s="65">
        <f t="shared" si="141"/>
        <v>75</v>
      </c>
      <c r="BI75" s="65">
        <f t="shared" si="141"/>
        <v>75</v>
      </c>
      <c r="BJ75" s="49">
        <f t="shared" si="141"/>
        <v>75</v>
      </c>
      <c r="BK75" s="65">
        <f t="shared" si="141"/>
        <v>75</v>
      </c>
      <c r="BL75" s="65">
        <f t="shared" si="141"/>
        <v>75</v>
      </c>
      <c r="BM75" s="65">
        <f t="shared" si="141"/>
        <v>75</v>
      </c>
      <c r="BN75" s="49">
        <f t="shared" si="141"/>
        <v>75</v>
      </c>
      <c r="BO75" s="65">
        <f t="shared" ref="BO75:CT75" si="142">SUM(BO73:BO74)</f>
        <v>75</v>
      </c>
      <c r="BP75" s="65">
        <f t="shared" si="142"/>
        <v>75</v>
      </c>
      <c r="BQ75" s="49">
        <f t="shared" si="142"/>
        <v>75</v>
      </c>
      <c r="BR75" s="65">
        <f t="shared" si="142"/>
        <v>75</v>
      </c>
      <c r="BS75" s="65">
        <f t="shared" si="142"/>
        <v>75</v>
      </c>
      <c r="BT75" s="49">
        <f t="shared" si="142"/>
        <v>75</v>
      </c>
      <c r="BU75" s="65">
        <f t="shared" si="142"/>
        <v>75</v>
      </c>
      <c r="BV75" s="65">
        <f t="shared" si="142"/>
        <v>75</v>
      </c>
      <c r="BW75" s="49">
        <f t="shared" si="142"/>
        <v>75</v>
      </c>
      <c r="BX75" s="65">
        <f t="shared" si="142"/>
        <v>75</v>
      </c>
      <c r="BY75" s="65">
        <f t="shared" si="142"/>
        <v>75</v>
      </c>
      <c r="BZ75" s="49">
        <f t="shared" si="142"/>
        <v>75</v>
      </c>
      <c r="CA75" s="65">
        <f t="shared" si="142"/>
        <v>75</v>
      </c>
      <c r="CB75" s="65">
        <f t="shared" si="142"/>
        <v>75</v>
      </c>
      <c r="CC75" s="49">
        <f t="shared" si="142"/>
        <v>75</v>
      </c>
      <c r="CD75" s="65">
        <f t="shared" si="142"/>
        <v>75</v>
      </c>
      <c r="CE75" s="65">
        <f t="shared" si="142"/>
        <v>75</v>
      </c>
      <c r="CF75" s="65">
        <f t="shared" si="142"/>
        <v>75</v>
      </c>
      <c r="CG75" s="49">
        <f t="shared" si="142"/>
        <v>75</v>
      </c>
      <c r="CH75" s="65">
        <f t="shared" si="142"/>
        <v>75</v>
      </c>
      <c r="CI75" s="65">
        <f t="shared" si="142"/>
        <v>75</v>
      </c>
      <c r="CJ75" s="49">
        <f t="shared" si="142"/>
        <v>75</v>
      </c>
      <c r="CK75" s="65">
        <f t="shared" si="142"/>
        <v>75</v>
      </c>
      <c r="CL75" s="65">
        <f t="shared" si="142"/>
        <v>75</v>
      </c>
      <c r="CM75" s="49">
        <f t="shared" si="142"/>
        <v>75</v>
      </c>
      <c r="CN75" s="65">
        <f t="shared" si="142"/>
        <v>75</v>
      </c>
      <c r="CO75" s="65">
        <f t="shared" si="142"/>
        <v>75</v>
      </c>
      <c r="CP75" s="49">
        <f t="shared" si="142"/>
        <v>75</v>
      </c>
      <c r="CQ75" s="65">
        <f t="shared" si="142"/>
        <v>75</v>
      </c>
      <c r="CR75" s="65">
        <f t="shared" si="142"/>
        <v>75</v>
      </c>
      <c r="CS75" s="49">
        <f t="shared" si="142"/>
        <v>75</v>
      </c>
      <c r="CT75" s="65">
        <f t="shared" si="142"/>
        <v>75</v>
      </c>
      <c r="CU75" s="65">
        <f t="shared" ref="CU75:DZ75" si="143">SUM(CU73:CU74)</f>
        <v>75</v>
      </c>
      <c r="CV75" s="49">
        <f t="shared" si="143"/>
        <v>75</v>
      </c>
      <c r="CW75" s="65">
        <f t="shared" si="143"/>
        <v>75</v>
      </c>
      <c r="CX75" s="65">
        <f t="shared" si="143"/>
        <v>75</v>
      </c>
      <c r="CY75" s="65">
        <f t="shared" si="143"/>
        <v>75</v>
      </c>
      <c r="CZ75" s="49">
        <f t="shared" si="143"/>
        <v>75</v>
      </c>
      <c r="DA75" s="65">
        <f t="shared" si="143"/>
        <v>75</v>
      </c>
      <c r="DB75" s="65">
        <f t="shared" si="143"/>
        <v>75</v>
      </c>
      <c r="DC75" s="49">
        <f t="shared" si="143"/>
        <v>75</v>
      </c>
      <c r="DD75" s="65">
        <f t="shared" si="143"/>
        <v>75</v>
      </c>
      <c r="DE75" s="65">
        <f t="shared" si="143"/>
        <v>75</v>
      </c>
      <c r="DF75" s="49">
        <f t="shared" si="143"/>
        <v>75</v>
      </c>
      <c r="DG75" s="65">
        <f t="shared" si="143"/>
        <v>75</v>
      </c>
      <c r="DH75" s="65">
        <f t="shared" si="143"/>
        <v>75</v>
      </c>
      <c r="DI75" s="49">
        <f t="shared" si="143"/>
        <v>75</v>
      </c>
      <c r="DJ75" s="65">
        <f t="shared" si="143"/>
        <v>75</v>
      </c>
      <c r="DK75" s="65">
        <f t="shared" si="143"/>
        <v>75</v>
      </c>
      <c r="DL75" s="49">
        <f t="shared" si="143"/>
        <v>75</v>
      </c>
      <c r="DM75" s="65">
        <f t="shared" si="143"/>
        <v>75</v>
      </c>
      <c r="DN75" s="65">
        <f t="shared" si="143"/>
        <v>75</v>
      </c>
      <c r="DO75" s="49">
        <f t="shared" si="143"/>
        <v>75</v>
      </c>
      <c r="DP75" s="65">
        <f t="shared" si="143"/>
        <v>75</v>
      </c>
      <c r="DQ75" s="65">
        <f t="shared" si="143"/>
        <v>75</v>
      </c>
      <c r="DR75" s="65">
        <f t="shared" si="143"/>
        <v>75</v>
      </c>
      <c r="DS75" s="49">
        <f t="shared" si="143"/>
        <v>75</v>
      </c>
      <c r="DT75" s="65">
        <f t="shared" si="143"/>
        <v>75</v>
      </c>
      <c r="DU75" s="65">
        <f t="shared" si="143"/>
        <v>75</v>
      </c>
      <c r="DV75" s="49">
        <f t="shared" si="143"/>
        <v>75</v>
      </c>
      <c r="DW75" s="65">
        <f t="shared" si="143"/>
        <v>75</v>
      </c>
      <c r="DX75" s="65">
        <f t="shared" si="143"/>
        <v>75</v>
      </c>
      <c r="DY75" s="49">
        <f t="shared" si="143"/>
        <v>75</v>
      </c>
      <c r="DZ75" s="65">
        <f t="shared" si="143"/>
        <v>75</v>
      </c>
      <c r="EA75" s="65">
        <f t="shared" ref="EA75:FF75" si="144">SUM(EA73:EA74)</f>
        <v>75</v>
      </c>
      <c r="EB75" s="49">
        <f t="shared" si="144"/>
        <v>75</v>
      </c>
      <c r="EC75" s="65">
        <f t="shared" si="144"/>
        <v>75</v>
      </c>
      <c r="ED75" s="65">
        <f t="shared" si="144"/>
        <v>75</v>
      </c>
      <c r="EE75" s="49">
        <f t="shared" si="144"/>
        <v>75</v>
      </c>
      <c r="EF75" s="65">
        <f t="shared" si="144"/>
        <v>75</v>
      </c>
      <c r="EG75" s="65">
        <f t="shared" si="144"/>
        <v>75</v>
      </c>
      <c r="EH75" s="49">
        <f t="shared" si="144"/>
        <v>75</v>
      </c>
      <c r="EI75" s="65">
        <f t="shared" si="144"/>
        <v>75</v>
      </c>
      <c r="EJ75" s="65">
        <f t="shared" si="144"/>
        <v>75</v>
      </c>
    </row>
    <row r="76" spans="1:140" x14ac:dyDescent="0.2">
      <c r="A76" s="19"/>
      <c r="B76" s="96"/>
      <c r="G76" s="55"/>
      <c r="H76" s="55"/>
      <c r="J76" s="55"/>
      <c r="K76" s="55"/>
      <c r="M76" s="55"/>
      <c r="N76" s="55"/>
      <c r="P76" s="55"/>
      <c r="Q76" s="55"/>
      <c r="S76" s="55"/>
      <c r="T76" s="55"/>
      <c r="V76" s="55"/>
      <c r="W76" s="55"/>
      <c r="Y76" s="55"/>
      <c r="Z76" s="55"/>
      <c r="AA76" s="55"/>
      <c r="AC76" s="55"/>
      <c r="AD76" s="55"/>
      <c r="AF76" s="55"/>
      <c r="AG76" s="55"/>
      <c r="AI76" s="55"/>
      <c r="AJ76" s="55"/>
      <c r="AL76" s="55"/>
      <c r="AM76" s="55"/>
      <c r="AO76" s="55"/>
      <c r="AP76" s="55"/>
      <c r="AR76" s="55"/>
      <c r="AS76" s="55"/>
      <c r="AT76" s="55"/>
      <c r="AV76" s="55"/>
      <c r="AW76" s="55"/>
      <c r="AY76" s="55"/>
      <c r="AZ76" s="55"/>
      <c r="BB76" s="55"/>
      <c r="BC76" s="55"/>
      <c r="BE76" s="55"/>
      <c r="BF76" s="55"/>
      <c r="BH76" s="55"/>
      <c r="BI76" s="55"/>
      <c r="BK76" s="55"/>
      <c r="BL76" s="55"/>
      <c r="BM76" s="55"/>
      <c r="BO76" s="55"/>
      <c r="BP76" s="55"/>
      <c r="BR76" s="55"/>
      <c r="BS76" s="55"/>
      <c r="BU76" s="55"/>
      <c r="BV76" s="55"/>
      <c r="BX76" s="55"/>
      <c r="BY76" s="55"/>
      <c r="CA76" s="55"/>
      <c r="CB76" s="55"/>
      <c r="CD76" s="55"/>
      <c r="CE76" s="55"/>
      <c r="CF76" s="55"/>
      <c r="CH76" s="55"/>
      <c r="CI76" s="55"/>
      <c r="CK76" s="55"/>
      <c r="CL76" s="55"/>
      <c r="CN76" s="55"/>
      <c r="CO76" s="55"/>
      <c r="CQ76" s="55"/>
      <c r="CR76" s="55"/>
      <c r="CT76" s="55"/>
      <c r="CU76" s="55"/>
      <c r="CW76" s="55"/>
      <c r="CX76" s="55"/>
      <c r="CY76" s="55"/>
      <c r="DA76" s="55"/>
      <c r="DB76" s="55"/>
      <c r="DD76" s="55"/>
      <c r="DE76" s="55"/>
      <c r="DG76" s="55"/>
      <c r="DH76" s="55"/>
      <c r="DJ76" s="55"/>
      <c r="DK76" s="55"/>
      <c r="DM76" s="55"/>
      <c r="DN76" s="55"/>
      <c r="DP76" s="55"/>
      <c r="DQ76" s="55"/>
      <c r="DR76" s="55"/>
      <c r="DT76" s="55"/>
      <c r="DU76" s="55"/>
      <c r="DW76" s="55"/>
      <c r="DX76" s="55"/>
      <c r="DZ76" s="55"/>
      <c r="EA76" s="55"/>
      <c r="EC76" s="55"/>
      <c r="ED76" s="55"/>
      <c r="EF76" s="55"/>
      <c r="EG76" s="55"/>
      <c r="EI76" s="55"/>
      <c r="EJ76" s="55"/>
    </row>
    <row r="77" spans="1:140" x14ac:dyDescent="0.2">
      <c r="A77" s="20" t="s">
        <v>95</v>
      </c>
      <c r="B77" s="96" t="s">
        <v>35</v>
      </c>
      <c r="C77" s="75" t="e">
        <f t="shared" ref="C77:AH77" si="145">SUM(C68,C75)-$C$83</f>
        <v>#DIV/0!</v>
      </c>
      <c r="D77" s="55" t="e">
        <f t="shared" si="145"/>
        <v>#DIV/0!</v>
      </c>
      <c r="E77" s="13" t="e">
        <f t="shared" si="145"/>
        <v>#DIV/0!</v>
      </c>
      <c r="F77" s="12" t="e">
        <f t="shared" si="145"/>
        <v>#DIV/0!</v>
      </c>
      <c r="G77" s="55" t="e">
        <f t="shared" si="145"/>
        <v>#DIV/0!</v>
      </c>
      <c r="H77" s="55" t="e">
        <f t="shared" si="145"/>
        <v>#DIV/0!</v>
      </c>
      <c r="I77" s="12" t="e">
        <f t="shared" si="145"/>
        <v>#DIV/0!</v>
      </c>
      <c r="J77" s="55" t="e">
        <f t="shared" si="145"/>
        <v>#DIV/0!</v>
      </c>
      <c r="K77" s="55" t="e">
        <f t="shared" si="145"/>
        <v>#DIV/0!</v>
      </c>
      <c r="L77" s="12" t="e">
        <f t="shared" si="145"/>
        <v>#DIV/0!</v>
      </c>
      <c r="M77" s="55" t="e">
        <f t="shared" si="145"/>
        <v>#DIV/0!</v>
      </c>
      <c r="N77" s="55" t="e">
        <f t="shared" si="145"/>
        <v>#DIV/0!</v>
      </c>
      <c r="O77" s="12" t="e">
        <f t="shared" si="145"/>
        <v>#DIV/0!</v>
      </c>
      <c r="P77" s="55" t="e">
        <f t="shared" si="145"/>
        <v>#DIV/0!</v>
      </c>
      <c r="Q77" s="55" t="e">
        <f t="shared" si="145"/>
        <v>#DIV/0!</v>
      </c>
      <c r="R77" s="12" t="e">
        <f t="shared" si="145"/>
        <v>#DIV/0!</v>
      </c>
      <c r="S77" s="55" t="e">
        <f t="shared" si="145"/>
        <v>#DIV/0!</v>
      </c>
      <c r="T77" s="55" t="e">
        <f t="shared" si="145"/>
        <v>#DIV/0!</v>
      </c>
      <c r="U77" s="12" t="e">
        <f t="shared" si="145"/>
        <v>#DIV/0!</v>
      </c>
      <c r="V77" s="55" t="e">
        <f t="shared" si="145"/>
        <v>#DIV/0!</v>
      </c>
      <c r="W77" s="55" t="e">
        <f t="shared" si="145"/>
        <v>#DIV/0!</v>
      </c>
      <c r="X77" s="12" t="e">
        <f t="shared" si="145"/>
        <v>#DIV/0!</v>
      </c>
      <c r="Y77" s="55" t="e">
        <f t="shared" si="145"/>
        <v>#DIV/0!</v>
      </c>
      <c r="Z77" s="55" t="e">
        <f t="shared" si="145"/>
        <v>#DIV/0!</v>
      </c>
      <c r="AA77" s="55" t="e">
        <f t="shared" si="145"/>
        <v>#N/A</v>
      </c>
      <c r="AB77" s="12" t="e">
        <f t="shared" si="145"/>
        <v>#N/A</v>
      </c>
      <c r="AC77" s="55" t="e">
        <f t="shared" si="145"/>
        <v>#N/A</v>
      </c>
      <c r="AD77" s="55" t="e">
        <f t="shared" si="145"/>
        <v>#N/A</v>
      </c>
      <c r="AE77" s="12" t="e">
        <f t="shared" si="145"/>
        <v>#N/A</v>
      </c>
      <c r="AF77" s="55" t="e">
        <f t="shared" si="145"/>
        <v>#N/A</v>
      </c>
      <c r="AG77" s="55" t="e">
        <f t="shared" si="145"/>
        <v>#N/A</v>
      </c>
      <c r="AH77" s="12" t="e">
        <f t="shared" si="145"/>
        <v>#N/A</v>
      </c>
      <c r="AI77" s="55" t="e">
        <f t="shared" ref="AI77:BN77" si="146">SUM(AI68,AI75)-$C$83</f>
        <v>#N/A</v>
      </c>
      <c r="AJ77" s="55" t="e">
        <f t="shared" si="146"/>
        <v>#N/A</v>
      </c>
      <c r="AK77" s="12" t="e">
        <f t="shared" si="146"/>
        <v>#N/A</v>
      </c>
      <c r="AL77" s="55" t="e">
        <f t="shared" si="146"/>
        <v>#N/A</v>
      </c>
      <c r="AM77" s="55" t="e">
        <f t="shared" si="146"/>
        <v>#N/A</v>
      </c>
      <c r="AN77" s="12" t="e">
        <f t="shared" si="146"/>
        <v>#N/A</v>
      </c>
      <c r="AO77" s="55" t="e">
        <f t="shared" si="146"/>
        <v>#N/A</v>
      </c>
      <c r="AP77" s="55" t="e">
        <f t="shared" si="146"/>
        <v>#N/A</v>
      </c>
      <c r="AQ77" s="12" t="e">
        <f t="shared" si="146"/>
        <v>#N/A</v>
      </c>
      <c r="AR77" s="55" t="e">
        <f t="shared" si="146"/>
        <v>#N/A</v>
      </c>
      <c r="AS77" s="55" t="e">
        <f t="shared" si="146"/>
        <v>#N/A</v>
      </c>
      <c r="AT77" s="55" t="e">
        <f t="shared" si="146"/>
        <v>#N/A</v>
      </c>
      <c r="AU77" s="12" t="e">
        <f t="shared" si="146"/>
        <v>#N/A</v>
      </c>
      <c r="AV77" s="55" t="e">
        <f t="shared" si="146"/>
        <v>#N/A</v>
      </c>
      <c r="AW77" s="55" t="e">
        <f t="shared" si="146"/>
        <v>#N/A</v>
      </c>
      <c r="AX77" s="12" t="e">
        <f t="shared" si="146"/>
        <v>#N/A</v>
      </c>
      <c r="AY77" s="55" t="e">
        <f t="shared" si="146"/>
        <v>#N/A</v>
      </c>
      <c r="AZ77" s="55" t="e">
        <f t="shared" si="146"/>
        <v>#N/A</v>
      </c>
      <c r="BA77" s="12" t="e">
        <f t="shared" si="146"/>
        <v>#N/A</v>
      </c>
      <c r="BB77" s="55" t="e">
        <f t="shared" si="146"/>
        <v>#N/A</v>
      </c>
      <c r="BC77" s="55" t="e">
        <f t="shared" si="146"/>
        <v>#N/A</v>
      </c>
      <c r="BD77" s="12" t="e">
        <f t="shared" si="146"/>
        <v>#N/A</v>
      </c>
      <c r="BE77" s="55" t="e">
        <f t="shared" si="146"/>
        <v>#N/A</v>
      </c>
      <c r="BF77" s="55" t="e">
        <f t="shared" si="146"/>
        <v>#N/A</v>
      </c>
      <c r="BG77" s="12" t="e">
        <f t="shared" si="146"/>
        <v>#N/A</v>
      </c>
      <c r="BH77" s="55" t="e">
        <f t="shared" si="146"/>
        <v>#N/A</v>
      </c>
      <c r="BI77" s="55" t="e">
        <f t="shared" si="146"/>
        <v>#N/A</v>
      </c>
      <c r="BJ77" s="12" t="e">
        <f t="shared" si="146"/>
        <v>#N/A</v>
      </c>
      <c r="BK77" s="55" t="e">
        <f t="shared" si="146"/>
        <v>#N/A</v>
      </c>
      <c r="BL77" s="55" t="e">
        <f t="shared" si="146"/>
        <v>#N/A</v>
      </c>
      <c r="BM77" s="55" t="e">
        <f t="shared" si="146"/>
        <v>#N/A</v>
      </c>
      <c r="BN77" s="12" t="e">
        <f t="shared" si="146"/>
        <v>#N/A</v>
      </c>
      <c r="BO77" s="55" t="e">
        <f t="shared" ref="BO77:CT77" si="147">SUM(BO68,BO75)-$C$83</f>
        <v>#N/A</v>
      </c>
      <c r="BP77" s="55" t="e">
        <f t="shared" si="147"/>
        <v>#N/A</v>
      </c>
      <c r="BQ77" s="12" t="e">
        <f t="shared" si="147"/>
        <v>#N/A</v>
      </c>
      <c r="BR77" s="55" t="e">
        <f t="shared" si="147"/>
        <v>#N/A</v>
      </c>
      <c r="BS77" s="55" t="e">
        <f t="shared" si="147"/>
        <v>#N/A</v>
      </c>
      <c r="BT77" s="12" t="e">
        <f t="shared" si="147"/>
        <v>#N/A</v>
      </c>
      <c r="BU77" s="55" t="e">
        <f t="shared" si="147"/>
        <v>#N/A</v>
      </c>
      <c r="BV77" s="55" t="e">
        <f t="shared" si="147"/>
        <v>#N/A</v>
      </c>
      <c r="BW77" s="12" t="e">
        <f t="shared" si="147"/>
        <v>#N/A</v>
      </c>
      <c r="BX77" s="55" t="e">
        <f t="shared" si="147"/>
        <v>#N/A</v>
      </c>
      <c r="BY77" s="55" t="e">
        <f t="shared" si="147"/>
        <v>#N/A</v>
      </c>
      <c r="BZ77" s="12" t="e">
        <f t="shared" si="147"/>
        <v>#N/A</v>
      </c>
      <c r="CA77" s="55" t="e">
        <f t="shared" si="147"/>
        <v>#N/A</v>
      </c>
      <c r="CB77" s="55" t="e">
        <f t="shared" si="147"/>
        <v>#N/A</v>
      </c>
      <c r="CC77" s="12" t="e">
        <f t="shared" si="147"/>
        <v>#N/A</v>
      </c>
      <c r="CD77" s="55" t="e">
        <f t="shared" si="147"/>
        <v>#N/A</v>
      </c>
      <c r="CE77" s="55" t="e">
        <f t="shared" si="147"/>
        <v>#N/A</v>
      </c>
      <c r="CF77" s="55" t="e">
        <f t="shared" si="147"/>
        <v>#N/A</v>
      </c>
      <c r="CG77" s="12" t="e">
        <f t="shared" si="147"/>
        <v>#N/A</v>
      </c>
      <c r="CH77" s="55" t="e">
        <f t="shared" si="147"/>
        <v>#N/A</v>
      </c>
      <c r="CI77" s="55" t="e">
        <f t="shared" si="147"/>
        <v>#N/A</v>
      </c>
      <c r="CJ77" s="12" t="e">
        <f t="shared" si="147"/>
        <v>#N/A</v>
      </c>
      <c r="CK77" s="55" t="e">
        <f t="shared" si="147"/>
        <v>#N/A</v>
      </c>
      <c r="CL77" s="55" t="e">
        <f t="shared" si="147"/>
        <v>#N/A</v>
      </c>
      <c r="CM77" s="12" t="e">
        <f t="shared" si="147"/>
        <v>#N/A</v>
      </c>
      <c r="CN77" s="55" t="e">
        <f t="shared" si="147"/>
        <v>#N/A</v>
      </c>
      <c r="CO77" s="55" t="e">
        <f t="shared" si="147"/>
        <v>#N/A</v>
      </c>
      <c r="CP77" s="12" t="e">
        <f t="shared" si="147"/>
        <v>#N/A</v>
      </c>
      <c r="CQ77" s="55" t="e">
        <f t="shared" si="147"/>
        <v>#N/A</v>
      </c>
      <c r="CR77" s="55" t="e">
        <f t="shared" si="147"/>
        <v>#N/A</v>
      </c>
      <c r="CS77" s="12" t="e">
        <f t="shared" si="147"/>
        <v>#N/A</v>
      </c>
      <c r="CT77" s="55" t="e">
        <f t="shared" si="147"/>
        <v>#N/A</v>
      </c>
      <c r="CU77" s="55" t="e">
        <f t="shared" ref="CU77:DZ77" si="148">SUM(CU68,CU75)-$C$83</f>
        <v>#N/A</v>
      </c>
      <c r="CV77" s="12" t="e">
        <f t="shared" si="148"/>
        <v>#N/A</v>
      </c>
      <c r="CW77" s="55" t="e">
        <f t="shared" si="148"/>
        <v>#N/A</v>
      </c>
      <c r="CX77" s="55" t="e">
        <f t="shared" si="148"/>
        <v>#N/A</v>
      </c>
      <c r="CY77" s="55" t="e">
        <f t="shared" si="148"/>
        <v>#N/A</v>
      </c>
      <c r="CZ77" s="12" t="e">
        <f t="shared" si="148"/>
        <v>#N/A</v>
      </c>
      <c r="DA77" s="55" t="e">
        <f t="shared" si="148"/>
        <v>#N/A</v>
      </c>
      <c r="DB77" s="55" t="e">
        <f t="shared" si="148"/>
        <v>#N/A</v>
      </c>
      <c r="DC77" s="12" t="e">
        <f t="shared" si="148"/>
        <v>#N/A</v>
      </c>
      <c r="DD77" s="55" t="e">
        <f t="shared" si="148"/>
        <v>#N/A</v>
      </c>
      <c r="DE77" s="55" t="e">
        <f t="shared" si="148"/>
        <v>#N/A</v>
      </c>
      <c r="DF77" s="12" t="e">
        <f t="shared" si="148"/>
        <v>#N/A</v>
      </c>
      <c r="DG77" s="55" t="e">
        <f t="shared" si="148"/>
        <v>#N/A</v>
      </c>
      <c r="DH77" s="55" t="e">
        <f t="shared" si="148"/>
        <v>#N/A</v>
      </c>
      <c r="DI77" s="12" t="e">
        <f t="shared" si="148"/>
        <v>#N/A</v>
      </c>
      <c r="DJ77" s="55" t="e">
        <f t="shared" si="148"/>
        <v>#N/A</v>
      </c>
      <c r="DK77" s="55" t="e">
        <f t="shared" si="148"/>
        <v>#N/A</v>
      </c>
      <c r="DL77" s="12" t="e">
        <f t="shared" si="148"/>
        <v>#N/A</v>
      </c>
      <c r="DM77" s="55" t="e">
        <f t="shared" si="148"/>
        <v>#N/A</v>
      </c>
      <c r="DN77" s="55" t="e">
        <f t="shared" si="148"/>
        <v>#N/A</v>
      </c>
      <c r="DO77" s="12" t="e">
        <f t="shared" si="148"/>
        <v>#N/A</v>
      </c>
      <c r="DP77" s="55" t="e">
        <f t="shared" si="148"/>
        <v>#N/A</v>
      </c>
      <c r="DQ77" s="55" t="e">
        <f t="shared" si="148"/>
        <v>#N/A</v>
      </c>
      <c r="DR77" s="55" t="e">
        <f t="shared" si="148"/>
        <v>#N/A</v>
      </c>
      <c r="DS77" s="12" t="e">
        <f t="shared" si="148"/>
        <v>#N/A</v>
      </c>
      <c r="DT77" s="55" t="e">
        <f t="shared" si="148"/>
        <v>#N/A</v>
      </c>
      <c r="DU77" s="55" t="e">
        <f t="shared" si="148"/>
        <v>#N/A</v>
      </c>
      <c r="DV77" s="12" t="e">
        <f t="shared" si="148"/>
        <v>#N/A</v>
      </c>
      <c r="DW77" s="55" t="e">
        <f t="shared" si="148"/>
        <v>#N/A</v>
      </c>
      <c r="DX77" s="55" t="e">
        <f t="shared" si="148"/>
        <v>#N/A</v>
      </c>
      <c r="DY77" s="12" t="e">
        <f t="shared" si="148"/>
        <v>#N/A</v>
      </c>
      <c r="DZ77" s="55" t="e">
        <f t="shared" si="148"/>
        <v>#N/A</v>
      </c>
      <c r="EA77" s="55" t="e">
        <f t="shared" ref="EA77:EJ77" si="149">SUM(EA68,EA75)-$C$83</f>
        <v>#N/A</v>
      </c>
      <c r="EB77" s="12" t="e">
        <f t="shared" si="149"/>
        <v>#N/A</v>
      </c>
      <c r="EC77" s="55" t="e">
        <f t="shared" si="149"/>
        <v>#N/A</v>
      </c>
      <c r="ED77" s="55" t="e">
        <f t="shared" si="149"/>
        <v>#N/A</v>
      </c>
      <c r="EE77" s="12" t="e">
        <f t="shared" si="149"/>
        <v>#N/A</v>
      </c>
      <c r="EF77" s="55" t="e">
        <f t="shared" si="149"/>
        <v>#N/A</v>
      </c>
      <c r="EG77" s="55" t="e">
        <f t="shared" si="149"/>
        <v>#N/A</v>
      </c>
      <c r="EH77" s="12" t="e">
        <f t="shared" si="149"/>
        <v>#N/A</v>
      </c>
      <c r="EI77" s="55" t="e">
        <f t="shared" si="149"/>
        <v>#N/A</v>
      </c>
      <c r="EJ77" s="55" t="e">
        <f t="shared" si="149"/>
        <v>#N/A</v>
      </c>
    </row>
    <row r="78" spans="1:140" x14ac:dyDescent="0.2">
      <c r="A78" s="20"/>
      <c r="B78" s="96"/>
      <c r="G78" s="55"/>
      <c r="H78" s="55"/>
      <c r="J78" s="55"/>
      <c r="K78" s="55"/>
      <c r="M78" s="55"/>
      <c r="N78" s="55"/>
      <c r="P78" s="55"/>
      <c r="Q78" s="55"/>
      <c r="S78" s="55"/>
      <c r="T78" s="55"/>
      <c r="V78" s="55"/>
      <c r="W78" s="55"/>
      <c r="Y78" s="55"/>
      <c r="Z78" s="55"/>
      <c r="AA78" s="55"/>
      <c r="AC78" s="55"/>
      <c r="AD78" s="55"/>
      <c r="AF78" s="55"/>
      <c r="AG78" s="55"/>
      <c r="AI78" s="55"/>
      <c r="AJ78" s="55"/>
      <c r="AL78" s="55"/>
      <c r="AM78" s="55"/>
      <c r="AO78" s="55"/>
      <c r="AP78" s="55"/>
      <c r="AR78" s="55"/>
      <c r="AS78" s="55"/>
      <c r="AT78" s="55"/>
      <c r="AV78" s="55"/>
      <c r="AW78" s="55"/>
      <c r="AY78" s="55"/>
      <c r="AZ78" s="55"/>
      <c r="BB78" s="55"/>
      <c r="BC78" s="55"/>
      <c r="BE78" s="55"/>
      <c r="BF78" s="55"/>
      <c r="BH78" s="55"/>
      <c r="BI78" s="55"/>
      <c r="BK78" s="55"/>
      <c r="BL78" s="55"/>
      <c r="BM78" s="55"/>
      <c r="BO78" s="55"/>
      <c r="BP78" s="55"/>
      <c r="BR78" s="55"/>
      <c r="BS78" s="55"/>
      <c r="BU78" s="55"/>
      <c r="BV78" s="55"/>
      <c r="BX78" s="55"/>
      <c r="BY78" s="55"/>
      <c r="CA78" s="55"/>
      <c r="CB78" s="55"/>
      <c r="CD78" s="55"/>
      <c r="CE78" s="55"/>
      <c r="CF78" s="55"/>
      <c r="CH78" s="55"/>
      <c r="CI78" s="55"/>
      <c r="CK78" s="55"/>
      <c r="CL78" s="55"/>
      <c r="CN78" s="55"/>
      <c r="CO78" s="55"/>
      <c r="CQ78" s="55"/>
      <c r="CR78" s="55"/>
      <c r="CT78" s="55"/>
      <c r="CU78" s="55"/>
      <c r="CW78" s="55"/>
      <c r="CX78" s="55"/>
      <c r="CY78" s="55"/>
      <c r="DA78" s="55"/>
      <c r="DB78" s="55"/>
      <c r="DD78" s="55"/>
      <c r="DE78" s="55"/>
      <c r="DG78" s="55"/>
      <c r="DH78" s="55"/>
      <c r="DJ78" s="55"/>
      <c r="DK78" s="55"/>
      <c r="DM78" s="55"/>
      <c r="DN78" s="55"/>
      <c r="DP78" s="55"/>
      <c r="DQ78" s="55"/>
      <c r="DR78" s="55"/>
      <c r="DT78" s="55"/>
      <c r="DU78" s="55"/>
      <c r="DW78" s="55"/>
      <c r="DX78" s="55"/>
      <c r="DZ78" s="55"/>
      <c r="EA78" s="55"/>
      <c r="EC78" s="55"/>
      <c r="ED78" s="55"/>
      <c r="EF78" s="55"/>
      <c r="EG78" s="55"/>
      <c r="EI78" s="55"/>
      <c r="EJ78" s="55"/>
    </row>
    <row r="79" spans="1:140" s="10" customFormat="1" x14ac:dyDescent="0.2">
      <c r="A79" s="21"/>
      <c r="B79" s="98"/>
      <c r="C79" s="86"/>
      <c r="D79" s="66"/>
      <c r="E79" s="22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</row>
    <row r="80" spans="1:140" x14ac:dyDescent="0.2">
      <c r="A80" s="44" t="s">
        <v>96</v>
      </c>
      <c r="B80" s="96"/>
    </row>
    <row r="81" spans="1:140" ht="16" customHeight="1" thickBot="1" x14ac:dyDescent="0.25">
      <c r="A81" s="14" t="s">
        <v>97</v>
      </c>
      <c r="B81" s="96"/>
    </row>
    <row r="82" spans="1:140" x14ac:dyDescent="0.2">
      <c r="A82" s="23" t="s">
        <v>98</v>
      </c>
      <c r="B82" s="99" t="s">
        <v>35</v>
      </c>
      <c r="C82" s="87">
        <v>80</v>
      </c>
    </row>
    <row r="83" spans="1:140" x14ac:dyDescent="0.2">
      <c r="A83" s="24" t="s">
        <v>99</v>
      </c>
      <c r="B83" s="100" t="s">
        <v>35</v>
      </c>
      <c r="C83" s="88">
        <v>25</v>
      </c>
      <c r="E83" s="13" t="s">
        <v>100</v>
      </c>
    </row>
    <row r="84" spans="1:140" x14ac:dyDescent="0.2">
      <c r="A84" s="25" t="s">
        <v>101</v>
      </c>
      <c r="B84" s="96" t="s">
        <v>35</v>
      </c>
      <c r="C84" s="75">
        <v>1.2</v>
      </c>
    </row>
    <row r="85" spans="1:140" ht="16" customHeight="1" thickBot="1" x14ac:dyDescent="0.25">
      <c r="A85" s="25"/>
      <c r="B85" s="96"/>
    </row>
    <row r="86" spans="1:140" x14ac:dyDescent="0.2">
      <c r="A86" s="36" t="s">
        <v>102</v>
      </c>
      <c r="B86" s="96" t="s">
        <v>35</v>
      </c>
      <c r="C86" s="75" t="e">
        <f>SUM(63:63)*$C$84+$C$82</f>
        <v>#DIV/0!</v>
      </c>
    </row>
    <row r="87" spans="1:140" x14ac:dyDescent="0.2">
      <c r="A87" s="38" t="s">
        <v>84</v>
      </c>
      <c r="B87" s="96" t="s">
        <v>35</v>
      </c>
      <c r="C87" s="75" t="e">
        <f>SUM(64:64)*$C$84+$C$82</f>
        <v>#DIV/0!</v>
      </c>
      <c r="D87" s="58"/>
      <c r="E87" s="1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</row>
    <row r="88" spans="1:140" x14ac:dyDescent="0.2">
      <c r="A88" s="38" t="s">
        <v>85</v>
      </c>
      <c r="B88" s="96" t="s">
        <v>35</v>
      </c>
      <c r="C88" s="75" t="e">
        <f>SUM(65:65)*$C$84+$C$82</f>
        <v>#DIV/0!</v>
      </c>
      <c r="D88" s="58"/>
      <c r="E88" s="1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</row>
    <row r="89" spans="1:140" x14ac:dyDescent="0.2">
      <c r="A89" s="38" t="s">
        <v>86</v>
      </c>
      <c r="B89" s="96" t="s">
        <v>35</v>
      </c>
      <c r="C89" s="75" t="e">
        <f>SUM(66:66)*$C$84+$C$82</f>
        <v>#DIV/0!</v>
      </c>
      <c r="D89" s="69"/>
      <c r="E89" s="53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</row>
    <row r="90" spans="1:140" ht="16" customHeight="1" thickBot="1" x14ac:dyDescent="0.25">
      <c r="A90" s="40" t="s">
        <v>87</v>
      </c>
      <c r="B90" s="96" t="s">
        <v>35</v>
      </c>
      <c r="C90" s="75" t="e">
        <f>(SUM(67:67)+COUNT(3:3)*C83)*$C$84+$C$82</f>
        <v>#DIV/0!</v>
      </c>
      <c r="D90" s="69"/>
      <c r="E90" s="53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</row>
    <row r="91" spans="1:140" ht="16" customHeight="1" thickBot="1" x14ac:dyDescent="0.25">
      <c r="A91" s="1"/>
      <c r="C91" s="78"/>
      <c r="D91" s="58"/>
      <c r="E91" s="1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</row>
    <row r="92" spans="1:140" x14ac:dyDescent="0.2">
      <c r="A92" s="73" t="s">
        <v>92</v>
      </c>
      <c r="B92" s="97" t="s">
        <v>35</v>
      </c>
      <c r="C92" s="75">
        <f>SUM(73:73)*C84</f>
        <v>828</v>
      </c>
      <c r="D92" s="58"/>
      <c r="E92" s="1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</row>
    <row r="93" spans="1:140" ht="16" customHeight="1" thickBot="1" x14ac:dyDescent="0.25">
      <c r="A93" s="46" t="s">
        <v>103</v>
      </c>
      <c r="B93" s="45" t="s">
        <v>104</v>
      </c>
      <c r="C93" s="89">
        <f>SUM(74:74)*C84/1000</f>
        <v>11.592000000000001</v>
      </c>
      <c r="D93" s="58"/>
      <c r="E93" s="1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</row>
    <row r="94" spans="1:140" x14ac:dyDescent="0.2">
      <c r="A94" s="26"/>
      <c r="B94" s="92"/>
      <c r="C94" s="78"/>
      <c r="D94" s="58"/>
      <c r="E94" s="1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</row>
    <row r="95" spans="1:140" x14ac:dyDescent="0.2">
      <c r="B95" s="92"/>
      <c r="C95" s="78"/>
      <c r="D95" s="58"/>
      <c r="E95" s="1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</row>
    <row r="96" spans="1:140" x14ac:dyDescent="0.2">
      <c r="A96" s="26"/>
      <c r="C96" s="78"/>
      <c r="D96" s="58"/>
      <c r="E96" s="1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</row>
    <row r="97" spans="1:140" x14ac:dyDescent="0.2">
      <c r="C97" s="90"/>
      <c r="D97" s="68"/>
      <c r="E97" s="27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  <c r="DK97" s="51"/>
      <c r="DL97" s="51"/>
      <c r="DM97" s="51"/>
      <c r="DN97" s="51"/>
      <c r="DO97" s="51"/>
      <c r="DP97" s="51"/>
      <c r="DQ97" s="51"/>
      <c r="DR97" s="51"/>
      <c r="DS97" s="51"/>
      <c r="DT97" s="51"/>
      <c r="DU97" s="51"/>
      <c r="DV97" s="51"/>
      <c r="DW97" s="51"/>
      <c r="DX97" s="51"/>
      <c r="DY97" s="51"/>
      <c r="DZ97" s="51"/>
      <c r="EA97" s="51"/>
      <c r="EB97" s="51"/>
      <c r="EC97" s="51"/>
      <c r="ED97" s="51"/>
      <c r="EE97" s="51"/>
      <c r="EF97" s="51"/>
      <c r="EG97" s="51"/>
      <c r="EH97" s="51"/>
      <c r="EI97" s="51"/>
      <c r="EJ97" s="51"/>
    </row>
    <row r="98" spans="1:140" x14ac:dyDescent="0.2">
      <c r="C98" s="78"/>
      <c r="D98" s="58"/>
      <c r="E98" s="1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</row>
    <row r="99" spans="1:140" x14ac:dyDescent="0.2">
      <c r="A99" s="26"/>
      <c r="C99" s="78"/>
      <c r="D99" s="58"/>
      <c r="E99" s="1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</row>
    <row r="100" spans="1:140" x14ac:dyDescent="0.2">
      <c r="A100" s="26"/>
      <c r="C100" s="78"/>
      <c r="D100" s="58"/>
      <c r="E100" s="1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</row>
    <row r="101" spans="1:140" x14ac:dyDescent="0.2">
      <c r="C101" s="78"/>
      <c r="D101" s="58"/>
      <c r="E101" s="1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</row>
    <row r="102" spans="1:140" x14ac:dyDescent="0.2">
      <c r="C102" s="78"/>
      <c r="D102" s="58"/>
      <c r="E102" s="1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</row>
    <row r="103" spans="1:140" x14ac:dyDescent="0.2">
      <c r="C103" s="78"/>
      <c r="D103" s="58"/>
      <c r="E103" s="1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</row>
    <row r="104" spans="1:140" x14ac:dyDescent="0.2">
      <c r="C104" s="78"/>
      <c r="D104" s="58"/>
      <c r="E104" s="1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</row>
    <row r="105" spans="1:140" x14ac:dyDescent="0.2">
      <c r="C105" s="78"/>
      <c r="D105" s="58"/>
      <c r="E105" s="1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</row>
    <row r="106" spans="1:140" x14ac:dyDescent="0.2">
      <c r="C106" s="78"/>
      <c r="D106" s="58"/>
      <c r="E106" s="1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</row>
    <row r="107" spans="1:140" x14ac:dyDescent="0.2">
      <c r="C107" s="78"/>
      <c r="D107" s="58"/>
      <c r="E107" s="1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</row>
    <row r="108" spans="1:140" x14ac:dyDescent="0.2">
      <c r="C108" s="78"/>
      <c r="D108" s="58"/>
      <c r="E108" s="1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</row>
    <row r="109" spans="1:140" x14ac:dyDescent="0.2">
      <c r="C109" s="78"/>
      <c r="D109" s="58"/>
      <c r="E109" s="1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</row>
    <row r="110" spans="1:140" x14ac:dyDescent="0.2">
      <c r="C110" s="78"/>
      <c r="D110" s="58"/>
      <c r="E110" s="1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</row>
    <row r="111" spans="1:140" x14ac:dyDescent="0.2">
      <c r="C111" s="78"/>
      <c r="D111" s="58"/>
      <c r="E111" s="1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</row>
    <row r="112" spans="1:140" x14ac:dyDescent="0.2">
      <c r="C112" s="78"/>
      <c r="D112" s="58"/>
      <c r="E112" s="1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</row>
    <row r="113" spans="1:140" x14ac:dyDescent="0.2">
      <c r="C113" s="78"/>
      <c r="D113" s="58"/>
      <c r="E113" s="1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</row>
    <row r="114" spans="1:140" x14ac:dyDescent="0.2">
      <c r="C114" s="78"/>
      <c r="D114" s="58"/>
      <c r="E114" s="1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</row>
    <row r="115" spans="1:140" x14ac:dyDescent="0.2">
      <c r="C115" s="78"/>
      <c r="D115" s="58"/>
      <c r="E115" s="1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</row>
    <row r="116" spans="1:140" x14ac:dyDescent="0.2">
      <c r="C116" s="78"/>
      <c r="D116" s="58"/>
      <c r="E116" s="1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</row>
    <row r="117" spans="1:140" x14ac:dyDescent="0.2">
      <c r="C117" s="78"/>
      <c r="D117" s="58"/>
      <c r="E117" s="1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</row>
    <row r="118" spans="1:140" x14ac:dyDescent="0.2">
      <c r="A118" s="26"/>
      <c r="C118" s="78"/>
      <c r="D118" s="58"/>
      <c r="E118" s="1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</row>
    <row r="119" spans="1:140" x14ac:dyDescent="0.2">
      <c r="A119" s="26"/>
      <c r="C119" s="78"/>
      <c r="D119" s="58"/>
      <c r="E119" s="1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</row>
    <row r="120" spans="1:140" x14ac:dyDescent="0.2">
      <c r="A120" s="26"/>
      <c r="C120" s="78"/>
      <c r="D120" s="58"/>
      <c r="E120" s="1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</row>
    <row r="121" spans="1:140" x14ac:dyDescent="0.2">
      <c r="A121" s="26"/>
      <c r="C121" s="78"/>
      <c r="D121" s="58"/>
      <c r="E121" s="1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</row>
    <row r="122" spans="1:140" x14ac:dyDescent="0.2">
      <c r="A122" s="26"/>
      <c r="C122" s="78"/>
      <c r="D122" s="58"/>
      <c r="E122" s="1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</row>
    <row r="123" spans="1:140" x14ac:dyDescent="0.2">
      <c r="C123" s="78"/>
      <c r="D123" s="58"/>
      <c r="E123" s="1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</row>
    <row r="124" spans="1:140" x14ac:dyDescent="0.2">
      <c r="C124" s="78"/>
      <c r="D124" s="58"/>
      <c r="E124" s="1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</row>
    <row r="125" spans="1:140" x14ac:dyDescent="0.2">
      <c r="C125" s="78"/>
      <c r="D125" s="58"/>
      <c r="E125" s="1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</row>
    <row r="126" spans="1:140" x14ac:dyDescent="0.2">
      <c r="A126" s="26"/>
      <c r="C126" s="78"/>
      <c r="D126" s="58"/>
      <c r="E126" s="1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</row>
    <row r="127" spans="1:140" x14ac:dyDescent="0.2">
      <c r="A127" s="26"/>
      <c r="C127" s="78"/>
      <c r="D127" s="58"/>
      <c r="E127" s="1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</row>
    <row r="128" spans="1:140" x14ac:dyDescent="0.2">
      <c r="C128" s="78"/>
      <c r="D128" s="58"/>
      <c r="E128" s="1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</row>
    <row r="129" spans="1:140" x14ac:dyDescent="0.2">
      <c r="A129" s="26"/>
      <c r="C129" s="78"/>
      <c r="D129" s="58"/>
      <c r="E129" s="1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</row>
  </sheetData>
  <mergeCells count="1">
    <mergeCell ref="B6:B13"/>
  </mergeCells>
  <conditionalFormatting sqref="C69:EJ70">
    <cfRule type="cellIs" dxfId="1" priority="1" operator="equal">
      <formula>"YES"</formula>
    </cfRule>
    <cfRule type="cellIs" dxfId="0" priority="2" operator="equal">
      <formula>"""YES"""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Lipid_Params </vt:lpstr>
      <vt:lpstr>Formulations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Brandon</cp:lastModifiedBy>
  <dcterms:created xsi:type="dcterms:W3CDTF">2023-06-09T18:47:00Z</dcterms:created>
  <dcterms:modified xsi:type="dcterms:W3CDTF">2025-08-31T23:10:41Z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89EAF8CE36F445CE9104780FA891DDEC_12</vt:lpwstr>
  </property>
  <property fmtid="{D5CDD505-2E9C-101B-9397-08002B2CF9AE}" pid="3" name="KSOProductBuildVer">
    <vt:lpwstr>1033-12.2.0.17545</vt:lpwstr>
  </property>
</Properties>
</file>