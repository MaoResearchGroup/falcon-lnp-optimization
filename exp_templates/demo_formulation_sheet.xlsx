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name="Lipid_Params " sheetId="1" state="visible" r:id="rId1"/>
    <sheet name="Formul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color rgb="FFFF0000"/>
      <sz val="12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rgb="FFFF0000"/>
      <sz val="12"/>
      <u val="single"/>
      <scheme val="minor"/>
    </font>
    <font>
      <name val="Calibri"/>
      <charset val="134"/>
      <sz val="12"/>
      <scheme val="minor"/>
    </font>
    <font>
      <name val="Calibri"/>
      <charset val="134"/>
      <b val="1"/>
      <sz val="12"/>
      <scheme val="minor"/>
    </font>
    <font>
      <name val="Calibri"/>
      <charset val="134"/>
      <color rgb="FF0070C0"/>
      <sz val="12"/>
      <scheme val="minor"/>
    </font>
    <font>
      <name val="Calibri"/>
      <charset val="134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color rgb="FF0070C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0" fontId="0" fillId="3" borderId="0" pivotButton="0" quotePrefix="0" xfId="0"/>
    <xf numFmtId="0" fontId="0" fillId="3" borderId="7" pivotButton="0" quotePrefix="0" xfId="0"/>
    <xf numFmtId="0" fontId="1" fillId="2" borderId="3" pivotButton="0" quotePrefix="0" xfId="1"/>
    <xf numFmtId="0" fontId="1" fillId="2" borderId="0" pivotButton="0" quotePrefix="0" xfId="1"/>
    <xf numFmtId="0" fontId="1" fillId="2" borderId="7" pivotButton="0" quotePrefix="0" xfId="1"/>
    <xf numFmtId="0" fontId="0" fillId="4" borderId="7" pivotButton="0" quotePrefix="0" xfId="0"/>
    <xf numFmtId="0" fontId="1" fillId="5" borderId="0" pivotButton="0" quotePrefix="0" xfId="1"/>
    <xf numFmtId="0" fontId="1" fillId="6" borderId="0" pivotButton="0" quotePrefix="0" xfId="1"/>
    <xf numFmtId="0" fontId="1" fillId="0" borderId="0" pivotButton="0" quotePrefix="0" xfId="1"/>
    <xf numFmtId="0" fontId="1" fillId="0" borderId="9" pivotButton="0" quotePrefix="0" xfId="1"/>
    <xf numFmtId="0" fontId="1" fillId="0" borderId="1" pivotButton="0" quotePrefix="0" xfId="1"/>
    <xf numFmtId="0" fontId="2" fillId="0" borderId="0" pivotButton="0" quotePrefix="0" xfId="1"/>
    <xf numFmtId="0" fontId="0" fillId="0" borderId="9" pivotButton="0" quotePrefix="0" xfId="0"/>
    <xf numFmtId="0" fontId="3" fillId="0" borderId="0" pivotButton="0" quotePrefix="0" xfId="0"/>
    <xf numFmtId="0" fontId="5" fillId="0" borderId="0" pivotButton="0" quotePrefix="0" xfId="1"/>
    <xf numFmtId="0" fontId="4" fillId="0" borderId="0" pivotButton="0" quotePrefix="0" xfId="1"/>
    <xf numFmtId="0" fontId="6" fillId="0" borderId="0" pivotButton="0" quotePrefix="0" xfId="1"/>
    <xf numFmtId="0" fontId="7" fillId="0" borderId="0" pivotButton="0" quotePrefix="0" xfId="1"/>
    <xf numFmtId="0" fontId="6" fillId="6" borderId="0" pivotButton="0" quotePrefix="0" xfId="1"/>
    <xf numFmtId="0" fontId="1" fillId="6" borderId="1" pivotButton="0" quotePrefix="0" xfId="1"/>
    <xf numFmtId="0" fontId="6" fillId="0" borderId="2" pivotButton="0" quotePrefix="0" xfId="1"/>
    <xf numFmtId="0" fontId="6" fillId="7" borderId="1" pivotButton="0" quotePrefix="0" xfId="1"/>
    <xf numFmtId="0" fontId="6" fillId="0" borderId="1" pivotButton="0" quotePrefix="0" xfId="1"/>
    <xf numFmtId="0" fontId="2" fillId="0" borderId="0" pivotButton="0" quotePrefix="0" xfId="0"/>
    <xf numFmtId="0" fontId="9" fillId="0" borderId="1" applyAlignment="1" pivotButton="0" quotePrefix="0" xfId="0">
      <alignment horizontal="right" vertical="center" wrapText="1"/>
    </xf>
    <xf numFmtId="0" fontId="1" fillId="10" borderId="9" pivotButton="0" quotePrefix="0" xfId="1"/>
    <xf numFmtId="0" fontId="3" fillId="8" borderId="0" pivotButton="0" quotePrefix="0" xfId="0"/>
    <xf numFmtId="0" fontId="0" fillId="12" borderId="2" pivotButton="0" quotePrefix="0" xfId="0"/>
    <xf numFmtId="0" fontId="0" fillId="12" borderId="10" pivotButton="0" quotePrefix="0" xfId="0"/>
    <xf numFmtId="0" fontId="0" fillId="12" borderId="1" pivotButton="0" quotePrefix="0" xfId="0"/>
    <xf numFmtId="0" fontId="0" fillId="12" borderId="9" pivotButton="0" quotePrefix="0" xfId="0"/>
    <xf numFmtId="0" fontId="0" fillId="12" borderId="6" pivotButton="0" quotePrefix="0" xfId="0"/>
    <xf numFmtId="0" fontId="0" fillId="12" borderId="11" pivotButton="0" quotePrefix="0" xfId="0"/>
    <xf numFmtId="0" fontId="6" fillId="10" borderId="2" pivotButton="0" quotePrefix="0" xfId="1"/>
    <xf numFmtId="0" fontId="1" fillId="10" borderId="2" pivotButton="0" quotePrefix="0" xfId="1"/>
    <xf numFmtId="0" fontId="6" fillId="10" borderId="1" pivotButton="0" quotePrefix="0" xfId="1"/>
    <xf numFmtId="0" fontId="1" fillId="10" borderId="1" pivotButton="0" quotePrefix="0" xfId="1"/>
    <xf numFmtId="0" fontId="6" fillId="10" borderId="6" pivotButton="0" quotePrefix="0" xfId="1"/>
    <xf numFmtId="0" fontId="1" fillId="10" borderId="6" pivotButton="0" quotePrefix="0" xfId="1"/>
    <xf numFmtId="0" fontId="6" fillId="9" borderId="0" pivotButton="0" quotePrefix="0" xfId="1"/>
    <xf numFmtId="0" fontId="1" fillId="9" borderId="1" pivotButton="0" quotePrefix="0" xfId="1"/>
    <xf numFmtId="0" fontId="7" fillId="11" borderId="0" pivotButton="0" quotePrefix="0" xfId="1"/>
    <xf numFmtId="0" fontId="6" fillId="9" borderId="11" pivotButton="0" quotePrefix="0" xfId="1"/>
    <xf numFmtId="0" fontId="6" fillId="9" borderId="6" pivotButton="0" quotePrefix="0" xfId="1"/>
    <xf numFmtId="0" fontId="1" fillId="10" borderId="10" pivotButton="0" quotePrefix="0" xfId="1"/>
    <xf numFmtId="0" fontId="1" fillId="10" borderId="11" pivotButton="0" quotePrefix="0" xfId="1"/>
    <xf numFmtId="0" fontId="1" fillId="9" borderId="9" pivotButton="0" quotePrefix="0" xfId="1"/>
    <xf numFmtId="0" fontId="1" fillId="6" borderId="9" pivotButton="0" quotePrefix="0" xfId="1"/>
    <xf numFmtId="0" fontId="9" fillId="0" borderId="9" applyAlignment="1" pivotButton="0" quotePrefix="0" xfId="0">
      <alignment horizontal="right" vertical="center" wrapText="1"/>
    </xf>
    <xf numFmtId="0" fontId="8" fillId="0" borderId="9" pivotButton="0" quotePrefix="0" xfId="0"/>
    <xf numFmtId="0" fontId="8" fillId="0" borderId="1" pivotButton="0" quotePrefix="0" xfId="0"/>
    <xf numFmtId="0" fontId="10" fillId="0" borderId="10" applyAlignment="1" pivotButton="0" quotePrefix="0" xfId="1">
      <alignment horizontal="center"/>
    </xf>
    <xf numFmtId="0" fontId="10" fillId="0" borderId="9" pivotButton="0" quotePrefix="0" xfId="1"/>
    <xf numFmtId="0" fontId="10" fillId="10" borderId="9" applyAlignment="1" pivotButton="0" quotePrefix="0" xfId="1">
      <alignment horizontal="center"/>
    </xf>
    <xf numFmtId="0" fontId="10" fillId="10" borderId="9" pivotButton="0" quotePrefix="0" xfId="0"/>
    <xf numFmtId="0" fontId="10" fillId="0" borderId="9" pivotButton="0" quotePrefix="0" xfId="0"/>
    <xf numFmtId="0" fontId="10" fillId="12" borderId="10" pivotButton="0" quotePrefix="0" xfId="0"/>
    <xf numFmtId="0" fontId="10" fillId="12" borderId="9" pivotButton="0" quotePrefix="0" xfId="0"/>
    <xf numFmtId="0" fontId="10" fillId="12" borderId="11" pivotButton="0" quotePrefix="0" xfId="0"/>
    <xf numFmtId="0" fontId="10" fillId="10" borderId="10" pivotButton="0" quotePrefix="0" xfId="1"/>
    <xf numFmtId="0" fontId="10" fillId="10" borderId="9" pivotButton="0" quotePrefix="0" xfId="1"/>
    <xf numFmtId="0" fontId="10" fillId="10" borderId="11" pivotButton="0" quotePrefix="0" xfId="1"/>
    <xf numFmtId="0" fontId="10" fillId="9" borderId="9" pivotButton="0" quotePrefix="0" xfId="1"/>
    <xf numFmtId="0" fontId="10" fillId="6" borderId="9" pivotButton="0" quotePrefix="0" xfId="1"/>
    <xf numFmtId="0" fontId="10" fillId="0" borderId="10" pivotButton="0" quotePrefix="0" xfId="1"/>
    <xf numFmtId="0" fontId="11" fillId="0" borderId="9" applyAlignment="1" pivotButton="0" quotePrefix="0" xfId="0">
      <alignment horizontal="right" vertical="center" wrapText="1"/>
    </xf>
    <xf numFmtId="0" fontId="12" fillId="0" borderId="9" pivotButton="0" quotePrefix="0" xfId="0"/>
    <xf numFmtId="0" fontId="0" fillId="14" borderId="0" pivotButton="0" quotePrefix="0" xfId="0"/>
    <xf numFmtId="0" fontId="1" fillId="4" borderId="0" pivotButton="0" quotePrefix="0" xfId="1"/>
    <xf numFmtId="0" fontId="0" fillId="14" borderId="3" pivotButton="0" quotePrefix="0" xfId="0"/>
    <xf numFmtId="0" fontId="6" fillId="9" borderId="2" pivotButton="0" quotePrefix="0" xfId="1"/>
    <xf numFmtId="0" fontId="10" fillId="0" borderId="5" applyAlignment="1" pivotButton="0" quotePrefix="0" xfId="1">
      <alignment horizontal="center"/>
    </xf>
    <xf numFmtId="0" fontId="10" fillId="0" borderId="4" pivotButton="0" quotePrefix="0" xfId="1"/>
    <xf numFmtId="0" fontId="10" fillId="10" borderId="4" applyAlignment="1" pivotButton="0" quotePrefix="0" xfId="1">
      <alignment horizontal="center"/>
    </xf>
    <xf numFmtId="0" fontId="10" fillId="10" borderId="4" pivotButton="0" quotePrefix="0" xfId="0"/>
    <xf numFmtId="0" fontId="10" fillId="0" borderId="4" pivotButton="0" quotePrefix="0" xfId="0"/>
    <xf numFmtId="0" fontId="10" fillId="12" borderId="5" pivotButton="0" quotePrefix="0" xfId="0"/>
    <xf numFmtId="0" fontId="10" fillId="12" borderId="4" pivotButton="0" quotePrefix="0" xfId="0"/>
    <xf numFmtId="0" fontId="10" fillId="12" borderId="8" pivotButton="0" quotePrefix="0" xfId="0"/>
    <xf numFmtId="0" fontId="10" fillId="10" borderId="5" pivotButton="0" quotePrefix="0" xfId="1"/>
    <xf numFmtId="0" fontId="10" fillId="10" borderId="4" pivotButton="0" quotePrefix="0" xfId="1"/>
    <xf numFmtId="0" fontId="10" fillId="10" borderId="8" pivotButton="0" quotePrefix="0" xfId="1"/>
    <xf numFmtId="0" fontId="10" fillId="9" borderId="4" pivotButton="0" quotePrefix="0" xfId="1"/>
    <xf numFmtId="0" fontId="10" fillId="6" borderId="4" pivotButton="0" quotePrefix="0" xfId="1"/>
    <xf numFmtId="0" fontId="10" fillId="0" borderId="5" pivotButton="0" quotePrefix="0" xfId="1"/>
    <xf numFmtId="0" fontId="10" fillId="7" borderId="4" pivotButton="0" quotePrefix="0" xfId="1"/>
    <xf numFmtId="0" fontId="10" fillId="0" borderId="8" pivotButton="0" quotePrefix="0" xfId="0"/>
    <xf numFmtId="0" fontId="11" fillId="0" borderId="4" applyAlignment="1" pivotButton="0" quotePrefix="0" xfId="0">
      <alignment horizontal="right" vertical="center" wrapText="1"/>
    </xf>
    <xf numFmtId="0" fontId="0" fillId="8" borderId="9" pivotButton="0" quotePrefix="0" xfId="0"/>
    <xf numFmtId="0" fontId="2" fillId="0" borderId="9" pivotButton="0" quotePrefix="0" xfId="1"/>
    <xf numFmtId="0" fontId="6" fillId="10" borderId="10" pivotButton="0" quotePrefix="0" xfId="1"/>
    <xf numFmtId="0" fontId="6" fillId="10" borderId="9" pivotButton="0" quotePrefix="0" xfId="1"/>
    <xf numFmtId="0" fontId="6" fillId="10" borderId="11" pivotButton="0" quotePrefix="0" xfId="1"/>
    <xf numFmtId="0" fontId="6" fillId="0" borderId="9" pivotButton="0" quotePrefix="0" xfId="1"/>
    <xf numFmtId="0" fontId="6" fillId="9" borderId="9" pivotButton="0" quotePrefix="0" xfId="1"/>
    <xf numFmtId="0" fontId="6" fillId="6" borderId="9" pivotButton="0" quotePrefix="0" xfId="1"/>
    <xf numFmtId="0" fontId="6" fillId="0" borderId="10" pivotButton="0" quotePrefix="0" xfId="1"/>
    <xf numFmtId="0" fontId="6" fillId="7" borderId="9" pivotButton="0" quotePrefix="0" xfId="1"/>
    <xf numFmtId="0" fontId="10" fillId="14" borderId="12" pivotButton="0" quotePrefix="0" xfId="0"/>
    <xf numFmtId="0" fontId="10" fillId="13" borderId="12" pivotButton="0" quotePrefix="0" xfId="1"/>
    <xf numFmtId="0" fontId="10" fillId="13" borderId="12" pivotButton="0" quotePrefix="0" xfId="0"/>
    <xf numFmtId="0" fontId="10" fillId="10" borderId="0" pivotButton="0" quotePrefix="0" xfId="1"/>
    <xf numFmtId="0" fontId="13" fillId="0" borderId="2" pivotButton="0" quotePrefix="0" xfId="1"/>
    <xf numFmtId="0" fontId="13" fillId="0" borderId="0" pivotButton="0" quotePrefix="0" xfId="1"/>
    <xf numFmtId="0" fontId="10" fillId="0" borderId="1" pivotButton="0" quotePrefix="0" xfId="1"/>
    <xf numFmtId="0" fontId="10" fillId="10" borderId="1" applyAlignment="1" pivotButton="0" quotePrefix="0" xfId="1">
      <alignment horizontal="center"/>
    </xf>
    <xf numFmtId="0" fontId="10" fillId="10" borderId="1" pivotButton="0" quotePrefix="0" xfId="0"/>
    <xf numFmtId="0" fontId="14" fillId="8" borderId="0" pivotButton="0" quotePrefix="0" xfId="0"/>
    <xf numFmtId="0" fontId="10" fillId="8" borderId="9" pivotButton="0" quotePrefix="0" xfId="0"/>
    <xf numFmtId="0" fontId="10" fillId="13" borderId="13" pivotButton="0" quotePrefix="0" xfId="1"/>
    <xf numFmtId="0" fontId="15" fillId="13" borderId="12" pivotButton="0" quotePrefix="0" xfId="1"/>
    <xf numFmtId="0" fontId="15" fillId="13" borderId="12" pivotButton="0" quotePrefix="0" xfId="0"/>
    <xf numFmtId="0" fontId="10" fillId="14" borderId="13" applyAlignment="1" pivotButton="0" quotePrefix="0" xfId="0">
      <alignment horizontal="center"/>
    </xf>
    <xf numFmtId="0" fontId="10" fillId="14" borderId="14" applyAlignment="1" pivotButton="0" quotePrefix="0" xfId="0">
      <alignment horizontal="center"/>
    </xf>
    <xf numFmtId="0" fontId="10" fillId="14" borderId="15" applyAlignment="1" pivotButton="0" quotePrefix="0" xfId="0">
      <alignment horizontal="center"/>
    </xf>
    <xf numFmtId="0" fontId="10" fillId="14" borderId="1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</cellXfs>
  <cellStyles count="2">
    <cellStyle name="Normal" xfId="0" builtinId="0"/>
    <cellStyle name="Normal 2" xfId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150" zoomScaleNormal="150" workbookViewId="0">
      <selection activeCell="C15" sqref="C15"/>
    </sheetView>
  </sheetViews>
  <sheetFormatPr baseColWidth="8" defaultColWidth="8.7265625" defaultRowHeight="14.5"/>
  <cols>
    <col width="11.26953125" customWidth="1" min="1" max="1"/>
    <col width="20.7265625" customWidth="1" min="2" max="2"/>
    <col width="45.7265625" customWidth="1" min="3" max="3"/>
  </cols>
  <sheetData>
    <row r="1">
      <c r="A1" t="inlineStr">
        <is>
          <t>Name</t>
        </is>
      </c>
      <c r="B1" t="inlineStr">
        <is>
          <t xml:space="preserve"> Lipid Mol Weight</t>
        </is>
      </c>
      <c r="C1" t="inlineStr">
        <is>
          <t>Postive N per lipid (used in NP ratio calculation)</t>
        </is>
      </c>
    </row>
    <row r="2">
      <c r="A2" t="inlineStr">
        <is>
          <t>DOTAP</t>
        </is>
      </c>
      <c r="B2" t="n">
        <v>698.54</v>
      </c>
      <c r="C2" t="n">
        <v>1</v>
      </c>
    </row>
    <row r="3">
      <c r="A3" t="inlineStr">
        <is>
          <t>DSPC</t>
        </is>
      </c>
      <c r="B3" t="n">
        <v>790.145</v>
      </c>
      <c r="C3" t="n">
        <v>1</v>
      </c>
    </row>
    <row r="4">
      <c r="A4" t="inlineStr">
        <is>
          <t>18PG</t>
        </is>
      </c>
      <c r="B4" t="n">
        <v>797.026</v>
      </c>
      <c r="C4" t="n">
        <v>0</v>
      </c>
    </row>
    <row r="5">
      <c r="A5" t="inlineStr">
        <is>
          <t>DOPE</t>
        </is>
      </c>
      <c r="B5" t="n">
        <v>744.034</v>
      </c>
      <c r="C5" t="n">
        <v>1</v>
      </c>
    </row>
    <row r="6">
      <c r="A6" t="inlineStr">
        <is>
          <t>DDAB</t>
        </is>
      </c>
      <c r="B6" t="n">
        <v>630.95</v>
      </c>
      <c r="C6" t="n">
        <v>1</v>
      </c>
    </row>
    <row r="7">
      <c r="A7" t="inlineStr">
        <is>
          <t>14PA</t>
        </is>
      </c>
      <c r="B7" t="n">
        <v>614.7670000000001</v>
      </c>
      <c r="C7" t="n">
        <v>0</v>
      </c>
    </row>
    <row r="8">
      <c r="A8" t="inlineStr">
        <is>
          <t>18BMP</t>
        </is>
      </c>
      <c r="B8" t="n">
        <v>792.075</v>
      </c>
      <c r="C8" t="n">
        <v>0</v>
      </c>
    </row>
    <row r="10">
      <c r="A10" t="inlineStr">
        <is>
          <t>SM102</t>
        </is>
      </c>
      <c r="B10" t="n">
        <v>710.17</v>
      </c>
      <c r="C10" t="n">
        <v>1</v>
      </c>
    </row>
    <row r="11">
      <c r="A11" t="inlineStr">
        <is>
          <t>Dlin</t>
        </is>
      </c>
      <c r="B11" t="n">
        <v>642.09</v>
      </c>
      <c r="C11" t="n">
        <v>1</v>
      </c>
    </row>
    <row r="12">
      <c r="A12" t="inlineStr">
        <is>
          <t>ALC0315</t>
        </is>
      </c>
      <c r="B12" t="n">
        <v>766.29</v>
      </c>
      <c r="C12" t="n">
        <v>1</v>
      </c>
    </row>
    <row r="14">
      <c r="A14" t="inlineStr">
        <is>
          <t>Chol</t>
        </is>
      </c>
      <c r="B14" s="1" t="n">
        <v>386.654</v>
      </c>
      <c r="C14" t="n">
        <v>0</v>
      </c>
      <c r="D14" t="inlineStr">
        <is>
          <t> </t>
        </is>
      </c>
    </row>
    <row r="15">
      <c r="A15" t="inlineStr">
        <is>
          <t>DMG_PEG</t>
        </is>
      </c>
      <c r="B15" s="1" t="n">
        <v>2500</v>
      </c>
      <c r="C1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29"/>
  <sheetViews>
    <sheetView tabSelected="1" zoomScale="55" zoomScaleNormal="55" workbookViewId="0">
      <pane xSplit="1" topLeftCell="B1" activePane="topRight" state="frozen"/>
      <selection pane="topRight" activeCell="D7" sqref="D7"/>
    </sheetView>
  </sheetViews>
  <sheetFormatPr baseColWidth="8" defaultColWidth="12.26953125" defaultRowHeight="15.5"/>
  <cols>
    <col width="63.26953125" customWidth="1" style="11" min="1" max="1"/>
    <col width="8.6328125" customWidth="1" style="12" min="2" max="2"/>
    <col width="14.90625" customWidth="1" style="75" min="3" max="3"/>
    <col width="12.26953125" customWidth="1" style="55" min="4" max="4"/>
    <col width="12.26953125" customWidth="1" style="13" min="5" max="5"/>
    <col width="12.26953125" customWidth="1" style="12" min="6" max="140"/>
    <col width="12.26953125" customWidth="1" style="11" min="141" max="16384"/>
  </cols>
  <sheetData>
    <row r="1">
      <c r="A1" s="104" t="inlineStr">
        <is>
          <t xml:space="preserve">Date &amp; Person: </t>
        </is>
      </c>
      <c r="B1" s="67" t="inlineStr">
        <is>
          <t>Units</t>
        </is>
      </c>
      <c r="C1" s="74" t="n"/>
      <c r="D1" s="67" t="n"/>
      <c r="E1" s="105" t="n"/>
      <c r="F1" s="67" t="n"/>
      <c r="G1" s="67" t="n"/>
      <c r="H1" s="67" t="n"/>
      <c r="I1" s="54" t="n"/>
      <c r="J1" s="67" t="n"/>
      <c r="K1" s="67" t="n"/>
      <c r="L1" s="54" t="n"/>
      <c r="M1" s="67" t="n"/>
      <c r="N1" s="67" t="n"/>
      <c r="O1" s="54" t="n"/>
      <c r="P1" s="67" t="n"/>
      <c r="Q1" s="67" t="n"/>
      <c r="R1" s="54" t="n"/>
      <c r="S1" s="67" t="n"/>
      <c r="T1" s="67" t="n"/>
      <c r="U1" s="54" t="n"/>
      <c r="V1" s="67" t="n"/>
      <c r="W1" s="67" t="n"/>
      <c r="X1" s="54" t="n"/>
      <c r="Y1" s="67" t="n"/>
      <c r="Z1" s="67" t="n"/>
      <c r="AA1" s="67" t="n"/>
      <c r="AB1" s="54" t="n"/>
      <c r="AC1" s="67" t="n"/>
      <c r="AD1" s="67" t="n"/>
      <c r="AE1" s="54" t="n"/>
      <c r="AF1" s="67" t="n"/>
      <c r="AG1" s="67" t="n"/>
      <c r="AH1" s="54" t="n"/>
      <c r="AI1" s="67" t="n"/>
      <c r="AJ1" s="67" t="n"/>
      <c r="AK1" s="54" t="n"/>
      <c r="AL1" s="67" t="n"/>
      <c r="AM1" s="67" t="n"/>
      <c r="AN1" s="54" t="n"/>
      <c r="AO1" s="67" t="n"/>
      <c r="AP1" s="67" t="n"/>
      <c r="AQ1" s="54" t="n"/>
      <c r="AR1" s="67" t="n"/>
      <c r="AS1" s="67" t="n"/>
      <c r="AT1" s="67" t="n"/>
      <c r="AU1" s="54" t="n"/>
      <c r="AV1" s="67" t="n"/>
      <c r="AW1" s="67" t="n"/>
      <c r="AX1" s="54" t="n"/>
      <c r="AY1" s="67" t="n"/>
      <c r="AZ1" s="67" t="n"/>
      <c r="BA1" s="54" t="n"/>
      <c r="BB1" s="67" t="n"/>
      <c r="BC1" s="67" t="n"/>
      <c r="BD1" s="54" t="n"/>
      <c r="BE1" s="67" t="n"/>
      <c r="BF1" s="67" t="n"/>
      <c r="BG1" s="54" t="n"/>
      <c r="BH1" s="67" t="n"/>
      <c r="BI1" s="67" t="n"/>
      <c r="BJ1" s="54" t="n"/>
      <c r="BK1" s="67" t="n"/>
      <c r="BL1" s="67" t="n"/>
      <c r="BM1" s="67" t="n"/>
      <c r="BN1" s="54" t="n"/>
      <c r="BO1" s="67" t="n"/>
      <c r="BP1" s="67" t="n"/>
      <c r="BQ1" s="54" t="n"/>
      <c r="BR1" s="67" t="n"/>
      <c r="BS1" s="67" t="n"/>
      <c r="BT1" s="54" t="n"/>
      <c r="BU1" s="67" t="n"/>
      <c r="BV1" s="67" t="n"/>
      <c r="BW1" s="54" t="n"/>
      <c r="BX1" s="67" t="n"/>
      <c r="BY1" s="67" t="n"/>
      <c r="BZ1" s="54" t="n"/>
      <c r="CA1" s="67" t="n"/>
      <c r="CB1" s="67" t="n"/>
      <c r="CC1" s="54" t="n"/>
      <c r="CD1" s="67" t="n"/>
      <c r="CE1" s="67" t="n"/>
      <c r="CF1" s="67" t="n"/>
      <c r="CG1" s="54" t="n"/>
      <c r="CH1" s="67" t="n"/>
      <c r="CI1" s="67" t="n"/>
      <c r="CJ1" s="54" t="n"/>
      <c r="CK1" s="67" t="n"/>
      <c r="CL1" s="67" t="n"/>
      <c r="CM1" s="54" t="n"/>
      <c r="CN1" s="67" t="n"/>
      <c r="CO1" s="67" t="n"/>
      <c r="CP1" s="54" t="n"/>
      <c r="CQ1" s="67" t="n"/>
      <c r="CR1" s="67" t="n"/>
      <c r="CS1" s="54" t="n"/>
      <c r="CT1" s="67" t="n"/>
      <c r="CU1" s="67" t="n"/>
      <c r="CV1" s="54" t="n"/>
      <c r="CW1" s="67" t="n"/>
      <c r="CX1" s="67" t="n"/>
      <c r="CY1" s="67" t="n"/>
      <c r="CZ1" s="54" t="n"/>
      <c r="DA1" s="67" t="n"/>
      <c r="DB1" s="67" t="n"/>
      <c r="DC1" s="54" t="n"/>
      <c r="DD1" s="67" t="n"/>
      <c r="DE1" s="67" t="n"/>
      <c r="DF1" s="54" t="n"/>
      <c r="DG1" s="67" t="n"/>
      <c r="DH1" s="67" t="n"/>
      <c r="DI1" s="54" t="n"/>
      <c r="DJ1" s="67" t="n"/>
      <c r="DK1" s="67" t="n"/>
      <c r="DL1" s="54" t="n"/>
      <c r="DM1" s="67" t="n"/>
      <c r="DN1" s="67" t="n"/>
      <c r="DO1" s="54" t="n"/>
      <c r="DP1" s="67" t="n"/>
      <c r="DQ1" s="67" t="n"/>
      <c r="DR1" s="67" t="n"/>
      <c r="DS1" s="54" t="n"/>
      <c r="DT1" s="67" t="n"/>
      <c r="DU1" s="67" t="n"/>
      <c r="DV1" s="54" t="n"/>
      <c r="DW1" s="67" t="n"/>
      <c r="DX1" s="67" t="n"/>
      <c r="DY1" s="54" t="n"/>
      <c r="DZ1" s="67" t="n"/>
      <c r="EA1" s="67" t="n"/>
      <c r="EB1" s="54" t="n"/>
      <c r="EC1" s="67" t="n"/>
      <c r="ED1" s="67" t="n"/>
      <c r="EE1" s="54" t="n"/>
      <c r="EF1" s="67" t="n"/>
      <c r="EG1" s="67" t="n"/>
      <c r="EH1" s="54" t="n"/>
      <c r="EI1" s="67" t="n"/>
      <c r="EJ1" s="67" t="n"/>
    </row>
    <row r="2">
      <c r="A2" s="106" t="inlineStr">
        <is>
          <t>*drag column to right to create more formulations*</t>
        </is>
      </c>
      <c r="B2" s="55" t="n"/>
      <c r="E2" s="107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  <c r="CO2" s="55" t="n"/>
      <c r="CP2" s="55" t="n"/>
      <c r="CQ2" s="55" t="n"/>
      <c r="CR2" s="55" t="n"/>
      <c r="CS2" s="55" t="n"/>
      <c r="CT2" s="55" t="n"/>
      <c r="CU2" s="55" t="n"/>
      <c r="CV2" s="55" t="n"/>
      <c r="CW2" s="55" t="n"/>
      <c r="CX2" s="55" t="n"/>
      <c r="CY2" s="55" t="n"/>
      <c r="CZ2" s="55" t="n"/>
      <c r="DA2" s="55" t="n"/>
      <c r="DB2" s="55" t="n"/>
      <c r="DC2" s="55" t="n"/>
      <c r="DD2" s="55" t="n"/>
      <c r="DE2" s="55" t="n"/>
      <c r="DF2" s="55" t="n"/>
      <c r="DG2" s="55" t="n"/>
      <c r="DH2" s="55" t="n"/>
      <c r="DI2" s="55" t="n"/>
      <c r="DJ2" s="55" t="n"/>
      <c r="DK2" s="55" t="n"/>
      <c r="DL2" s="55" t="n"/>
      <c r="DM2" s="55" t="n"/>
      <c r="DN2" s="55" t="n"/>
      <c r="DO2" s="55" t="n"/>
      <c r="DP2" s="55" t="n"/>
      <c r="DQ2" s="55" t="n"/>
      <c r="DR2" s="55" t="n"/>
      <c r="DS2" s="55" t="n"/>
      <c r="DT2" s="55" t="n"/>
      <c r="DU2" s="55" t="n"/>
      <c r="DV2" s="55" t="n"/>
      <c r="DW2" s="55" t="n"/>
      <c r="DX2" s="55" t="n"/>
      <c r="DY2" s="55" t="n"/>
      <c r="DZ2" s="55" t="n"/>
      <c r="EA2" s="55" t="n"/>
      <c r="EB2" s="55" t="n"/>
      <c r="EC2" s="55" t="n"/>
      <c r="ED2" s="55" t="n"/>
      <c r="EE2" s="55" t="n"/>
      <c r="EF2" s="55" t="n"/>
      <c r="EG2" s="55" t="n"/>
      <c r="EH2" s="55" t="n"/>
      <c r="EI2" s="55" t="n"/>
      <c r="EJ2" s="55" t="n"/>
    </row>
    <row r="3" customFormat="1" s="6">
      <c r="A3" s="104" t="inlineStr">
        <is>
          <t>Relative Formulation Label</t>
        </is>
      </c>
      <c r="B3" s="63" t="n"/>
      <c r="C3" s="76" t="inlineStr">
        <is>
          <t>BO</t>
        </is>
      </c>
      <c r="D3" s="56" t="inlineStr">
        <is>
          <t>BO</t>
        </is>
      </c>
      <c r="E3" s="108" t="inlineStr">
        <is>
          <t>BO</t>
        </is>
      </c>
      <c r="F3" s="56" t="inlineStr">
        <is>
          <t>BO</t>
        </is>
      </c>
      <c r="G3" s="56" t="inlineStr">
        <is>
          <t>BO</t>
        </is>
      </c>
      <c r="H3" s="56" t="inlineStr">
        <is>
          <t>BO</t>
        </is>
      </c>
      <c r="I3" s="56" t="inlineStr">
        <is>
          <t>BO</t>
        </is>
      </c>
      <c r="J3" s="56" t="inlineStr">
        <is>
          <t>BO</t>
        </is>
      </c>
      <c r="K3" s="56" t="inlineStr">
        <is>
          <t>BO</t>
        </is>
      </c>
      <c r="L3" s="56" t="inlineStr">
        <is>
          <t>BO</t>
        </is>
      </c>
      <c r="M3" s="56" t="inlineStr">
        <is>
          <t>BO</t>
        </is>
      </c>
      <c r="N3" s="56" t="inlineStr">
        <is>
          <t>BO</t>
        </is>
      </c>
      <c r="O3" s="56" t="inlineStr">
        <is>
          <t>DA</t>
        </is>
      </c>
      <c r="P3" s="56" t="inlineStr">
        <is>
          <t>DA</t>
        </is>
      </c>
      <c r="Q3" s="56" t="inlineStr">
        <is>
          <t>DA</t>
        </is>
      </c>
      <c r="R3" s="56" t="inlineStr">
        <is>
          <t>DA</t>
        </is>
      </c>
      <c r="S3" s="56" t="inlineStr">
        <is>
          <t>DA</t>
        </is>
      </c>
      <c r="T3" s="56" t="inlineStr">
        <is>
          <t>DA</t>
        </is>
      </c>
      <c r="U3" s="56" t="inlineStr">
        <is>
          <t>DA</t>
        </is>
      </c>
      <c r="V3" s="56" t="inlineStr">
        <is>
          <t>DA</t>
        </is>
      </c>
      <c r="W3" s="56" t="inlineStr">
        <is>
          <t>DA</t>
        </is>
      </c>
      <c r="X3" s="56" t="inlineStr">
        <is>
          <t>DA</t>
        </is>
      </c>
      <c r="Y3" s="56" t="inlineStr">
        <is>
          <t>DA</t>
        </is>
      </c>
      <c r="Z3" s="56" t="inlineStr">
        <is>
          <t>DA</t>
        </is>
      </c>
      <c r="AA3" s="56" t="inlineStr">
        <is>
          <t>NSGAII</t>
        </is>
      </c>
      <c r="AB3" s="56" t="inlineStr">
        <is>
          <t>NSGAII</t>
        </is>
      </c>
      <c r="AC3" s="56" t="inlineStr">
        <is>
          <t>NSGAII</t>
        </is>
      </c>
      <c r="AD3" s="56" t="inlineStr">
        <is>
          <t>NSGAII</t>
        </is>
      </c>
      <c r="AE3" s="56" t="inlineStr">
        <is>
          <t>NSGAII</t>
        </is>
      </c>
      <c r="AF3" s="56" t="inlineStr">
        <is>
          <t>NSGAII</t>
        </is>
      </c>
      <c r="AG3" s="56" t="inlineStr">
        <is>
          <t>NSGAII</t>
        </is>
      </c>
      <c r="AH3" s="56" t="inlineStr">
        <is>
          <t>NSGAII</t>
        </is>
      </c>
      <c r="AI3" s="56" t="inlineStr">
        <is>
          <t>NSGAII</t>
        </is>
      </c>
      <c r="AJ3" s="56" t="inlineStr">
        <is>
          <t>NSGAII</t>
        </is>
      </c>
      <c r="AK3" s="56" t="inlineStr">
        <is>
          <t>NSGAII</t>
        </is>
      </c>
      <c r="AL3" s="56" t="inlineStr">
        <is>
          <t>NSGAII</t>
        </is>
      </c>
      <c r="AM3" s="56" t="n"/>
      <c r="AN3" s="56" t="n"/>
      <c r="AO3" s="56" t="n"/>
      <c r="AP3" s="56" t="n"/>
      <c r="AQ3" s="56" t="n"/>
      <c r="AR3" s="56" t="n"/>
      <c r="AS3" s="56" t="n"/>
      <c r="AT3" s="56" t="n"/>
      <c r="AU3" s="56" t="n"/>
      <c r="AV3" s="56" t="n"/>
      <c r="AW3" s="56" t="n"/>
      <c r="AX3" s="56" t="n"/>
      <c r="AY3" s="56" t="n"/>
      <c r="AZ3" s="56" t="n"/>
      <c r="BA3" s="56" t="n"/>
      <c r="BB3" s="56" t="n"/>
      <c r="BC3" s="5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  <c r="BM3" s="56" t="n"/>
      <c r="BN3" s="56" t="n"/>
      <c r="BO3" s="56" t="n"/>
      <c r="BP3" s="56" t="n"/>
      <c r="BQ3" s="56" t="n"/>
      <c r="BR3" s="56" t="n"/>
      <c r="BS3" s="56" t="n"/>
      <c r="BT3" s="56" t="n"/>
      <c r="BU3" s="56" t="n"/>
      <c r="BV3" s="56" t="n"/>
      <c r="BW3" s="56" t="n"/>
      <c r="BX3" s="56" t="n"/>
      <c r="BY3" s="56" t="n"/>
      <c r="BZ3" s="56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  <c r="CO3" s="56" t="n"/>
      <c r="CP3" s="56" t="n"/>
      <c r="CQ3" s="56" t="n"/>
      <c r="CR3" s="56" t="n"/>
      <c r="CS3" s="56" t="n"/>
      <c r="CT3" s="56" t="n"/>
      <c r="CU3" s="56" t="n"/>
      <c r="CV3" s="56" t="n"/>
      <c r="CW3" s="56" t="n"/>
      <c r="CX3" s="56" t="n"/>
      <c r="CY3" s="56" t="n"/>
      <c r="CZ3" s="56" t="n"/>
      <c r="DA3" s="56" t="n"/>
      <c r="DB3" s="56" t="n"/>
      <c r="DC3" s="56" t="n"/>
      <c r="DD3" s="56" t="n"/>
      <c r="DE3" s="56" t="n"/>
      <c r="DF3" s="56" t="n"/>
      <c r="DG3" s="56" t="n"/>
      <c r="DH3" s="56" t="n"/>
      <c r="DI3" s="56" t="n"/>
      <c r="DJ3" s="56" t="n"/>
      <c r="DK3" s="56" t="n"/>
      <c r="DL3" s="56" t="n"/>
      <c r="DM3" s="56" t="n"/>
      <c r="DN3" s="56" t="n"/>
      <c r="DO3" s="56" t="n"/>
      <c r="DP3" s="56" t="n"/>
      <c r="DQ3" s="56" t="n"/>
      <c r="DR3" s="56" t="n"/>
      <c r="DS3" s="56" t="n"/>
      <c r="DT3" s="56" t="n"/>
      <c r="DU3" s="56" t="n"/>
      <c r="DV3" s="56" t="n"/>
      <c r="DW3" s="56" t="n"/>
      <c r="DX3" s="56" t="n"/>
      <c r="DY3" s="56" t="n"/>
      <c r="DZ3" s="56" t="n"/>
      <c r="EA3" s="56" t="n"/>
      <c r="EB3" s="56" t="n"/>
      <c r="EC3" s="56" t="n"/>
      <c r="ED3" s="56" t="n"/>
      <c r="EE3" s="56" t="n"/>
      <c r="EF3" s="56" t="n"/>
      <c r="EG3" s="56" t="n"/>
      <c r="EH3" s="56" t="n"/>
      <c r="EI3" s="56" t="n"/>
      <c r="EJ3" s="56" t="n"/>
    </row>
    <row r="4" customFormat="1" s="6">
      <c r="A4" s="104" t="inlineStr">
        <is>
          <t>Notes / Identifiers</t>
        </is>
      </c>
      <c r="B4" s="63" t="n"/>
      <c r="C4" s="77" t="n"/>
      <c r="D4" s="57" t="n"/>
      <c r="E4" s="109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  <c r="AQ4" s="57" t="n"/>
      <c r="AR4" s="57" t="n"/>
      <c r="AS4" s="57" t="n"/>
      <c r="AT4" s="57" t="n"/>
      <c r="AU4" s="57" t="n"/>
      <c r="AV4" s="57" t="n"/>
      <c r="AW4" s="57" t="n"/>
      <c r="AX4" s="57" t="n"/>
      <c r="AY4" s="57" t="n"/>
      <c r="AZ4" s="57" t="n"/>
      <c r="BA4" s="57" t="n"/>
      <c r="BB4" s="57" t="n"/>
      <c r="BC4" s="57" t="n"/>
      <c r="BD4" s="57" t="n"/>
      <c r="BE4" s="57" t="n"/>
      <c r="BF4" s="57" t="n"/>
      <c r="BG4" s="57" t="n"/>
      <c r="BH4" s="57" t="n"/>
      <c r="BI4" s="57" t="n"/>
      <c r="BJ4" s="57" t="n"/>
      <c r="BK4" s="57" t="n"/>
      <c r="BL4" s="57" t="n"/>
      <c r="BM4" s="57" t="n"/>
      <c r="BN4" s="57" t="n"/>
      <c r="BO4" s="57" t="n"/>
      <c r="BP4" s="57" t="n"/>
      <c r="BQ4" s="57" t="n"/>
      <c r="BR4" s="57" t="n"/>
      <c r="BS4" s="57" t="n"/>
      <c r="BT4" s="57" t="n"/>
      <c r="BU4" s="57" t="n"/>
      <c r="BV4" s="57" t="n"/>
      <c r="BW4" s="57" t="n"/>
      <c r="BX4" s="57" t="n"/>
      <c r="BY4" s="57" t="n"/>
      <c r="BZ4" s="57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  <c r="CO4" s="57" t="n"/>
      <c r="CP4" s="57" t="n"/>
      <c r="CQ4" s="57" t="n"/>
      <c r="CR4" s="57" t="n"/>
      <c r="CS4" s="57" t="n"/>
      <c r="CT4" s="57" t="n"/>
      <c r="CU4" s="57" t="n"/>
      <c r="CV4" s="57" t="n"/>
      <c r="CW4" s="57" t="n"/>
      <c r="CX4" s="57" t="n"/>
      <c r="CY4" s="57" t="n"/>
      <c r="CZ4" s="57" t="n"/>
      <c r="DA4" s="57" t="n"/>
      <c r="DB4" s="57" t="n"/>
      <c r="DC4" s="57" t="n"/>
      <c r="DD4" s="57" t="n"/>
      <c r="DE4" s="57" t="n"/>
      <c r="DF4" s="57" t="n"/>
      <c r="DG4" s="57" t="n"/>
      <c r="DH4" s="57" t="n"/>
      <c r="DI4" s="57" t="n"/>
      <c r="DJ4" s="57" t="n"/>
      <c r="DK4" s="57" t="n"/>
      <c r="DL4" s="57" t="n"/>
      <c r="DM4" s="57" t="n"/>
      <c r="DN4" s="57" t="n"/>
      <c r="DO4" s="57" t="n"/>
      <c r="DP4" s="57" t="n"/>
      <c r="DQ4" s="57" t="n"/>
      <c r="DR4" s="57" t="n"/>
      <c r="DS4" s="57" t="n"/>
      <c r="DT4" s="57" t="n"/>
      <c r="DU4" s="57" t="n"/>
      <c r="DV4" s="57" t="n"/>
      <c r="DW4" s="57" t="n"/>
      <c r="DX4" s="57" t="n"/>
      <c r="DY4" s="57" t="n"/>
      <c r="DZ4" s="57" t="n"/>
      <c r="EA4" s="57" t="n"/>
      <c r="EB4" s="57" t="n"/>
      <c r="EC4" s="57" t="n"/>
      <c r="ED4" s="57" t="n"/>
      <c r="EE4" s="57" t="n"/>
      <c r="EF4" s="57" t="n"/>
      <c r="EG4" s="57" t="n"/>
      <c r="EH4" s="57" t="n"/>
      <c r="EI4" s="57" t="n"/>
      <c r="EJ4" s="57" t="n"/>
    </row>
    <row r="5" ht="16" customHeight="1" thickBot="1">
      <c r="A5" s="110" t="inlineStr">
        <is>
          <t>Formulation parameters</t>
        </is>
      </c>
      <c r="B5" s="111" t="n"/>
      <c r="E5" s="107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  <c r="CO5" s="55" t="n"/>
      <c r="CP5" s="55" t="n"/>
      <c r="CQ5" s="55" t="n"/>
      <c r="CR5" s="55" t="n"/>
      <c r="CS5" s="55" t="n"/>
      <c r="CT5" s="55" t="n"/>
      <c r="CU5" s="55" t="n"/>
      <c r="CV5" s="55" t="n"/>
      <c r="CW5" s="55" t="n"/>
      <c r="CX5" s="55" t="n"/>
      <c r="CY5" s="55" t="n"/>
      <c r="CZ5" s="55" t="n"/>
      <c r="DA5" s="55" t="n"/>
      <c r="DB5" s="55" t="n"/>
      <c r="DC5" s="55" t="n"/>
      <c r="DD5" s="55" t="n"/>
      <c r="DE5" s="55" t="n"/>
      <c r="DF5" s="55" t="n"/>
      <c r="DG5" s="55" t="n"/>
      <c r="DH5" s="55" t="n"/>
      <c r="DI5" s="55" t="n"/>
      <c r="DJ5" s="55" t="n"/>
      <c r="DK5" s="55" t="n"/>
      <c r="DL5" s="55" t="n"/>
      <c r="DM5" s="55" t="n"/>
      <c r="DN5" s="55" t="n"/>
      <c r="DO5" s="55" t="n"/>
      <c r="DP5" s="55" t="n"/>
      <c r="DQ5" s="55" t="n"/>
      <c r="DR5" s="55" t="n"/>
      <c r="DS5" s="55" t="n"/>
      <c r="DT5" s="55" t="n"/>
      <c r="DU5" s="55" t="n"/>
      <c r="DV5" s="55" t="n"/>
      <c r="DW5" s="55" t="n"/>
      <c r="DX5" s="55" t="n"/>
      <c r="DY5" s="55" t="n"/>
      <c r="DZ5" s="55" t="n"/>
      <c r="EA5" s="55" t="n"/>
      <c r="EB5" s="55" t="n"/>
      <c r="EC5" s="55" t="n"/>
      <c r="ED5" s="55" t="n"/>
      <c r="EE5" s="55" t="n"/>
      <c r="EF5" s="55" t="n"/>
      <c r="EG5" s="55" t="n"/>
      <c r="EH5" s="55" t="n"/>
      <c r="EI5" s="55" t="n"/>
      <c r="EJ5" s="55" t="n"/>
    </row>
    <row r="6" customFormat="1" s="72">
      <c r="A6" s="101" t="inlineStr">
        <is>
          <t>Ionizable Lipid Name</t>
        </is>
      </c>
      <c r="B6" s="118" t="n"/>
      <c r="C6" s="101" t="inlineStr">
        <is>
          <t>Dlin</t>
        </is>
      </c>
      <c r="D6" s="101" t="inlineStr">
        <is>
          <t>Dlin</t>
        </is>
      </c>
      <c r="E6" s="101" t="inlineStr">
        <is>
          <t>Dlin</t>
        </is>
      </c>
      <c r="F6" s="101" t="inlineStr">
        <is>
          <t>Dlin</t>
        </is>
      </c>
      <c r="G6" s="101" t="inlineStr">
        <is>
          <t>Dlin</t>
        </is>
      </c>
      <c r="H6" s="101" t="inlineStr">
        <is>
          <t>Dlin</t>
        </is>
      </c>
      <c r="I6" s="101" t="inlineStr">
        <is>
          <t>Dlin</t>
        </is>
      </c>
      <c r="J6" s="101" t="inlineStr">
        <is>
          <t>Dlin</t>
        </is>
      </c>
      <c r="K6" s="101" t="inlineStr">
        <is>
          <t>Dlin</t>
        </is>
      </c>
      <c r="L6" s="101" t="inlineStr">
        <is>
          <t>Dlin</t>
        </is>
      </c>
      <c r="M6" s="101" t="inlineStr">
        <is>
          <t>Dlin</t>
        </is>
      </c>
      <c r="N6" s="101" t="inlineStr">
        <is>
          <t>Dlin</t>
        </is>
      </c>
      <c r="O6" s="101" t="inlineStr">
        <is>
          <t>Dlin</t>
        </is>
      </c>
      <c r="P6" s="101" t="inlineStr">
        <is>
          <t>Dlin</t>
        </is>
      </c>
      <c r="Q6" s="101" t="inlineStr">
        <is>
          <t>Dlin</t>
        </is>
      </c>
      <c r="R6" s="101" t="inlineStr">
        <is>
          <t>Dlin</t>
        </is>
      </c>
      <c r="S6" s="101" t="inlineStr">
        <is>
          <t>Dlin</t>
        </is>
      </c>
      <c r="T6" s="101" t="inlineStr">
        <is>
          <t>Dlin</t>
        </is>
      </c>
      <c r="U6" s="101" t="inlineStr">
        <is>
          <t>Dlin</t>
        </is>
      </c>
      <c r="V6" s="101" t="inlineStr">
        <is>
          <t>Dlin</t>
        </is>
      </c>
      <c r="W6" s="101" t="inlineStr">
        <is>
          <t>Dlin</t>
        </is>
      </c>
      <c r="X6" s="101" t="inlineStr">
        <is>
          <t>Dlin</t>
        </is>
      </c>
      <c r="Y6" s="101" t="inlineStr">
        <is>
          <t>Dlin</t>
        </is>
      </c>
      <c r="Z6" s="101" t="inlineStr">
        <is>
          <t>Dlin</t>
        </is>
      </c>
      <c r="AA6" s="101" t="inlineStr">
        <is>
          <t>Dlin</t>
        </is>
      </c>
      <c r="AB6" s="101" t="inlineStr">
        <is>
          <t>Dlin</t>
        </is>
      </c>
      <c r="AC6" s="101" t="inlineStr">
        <is>
          <t>Dlin</t>
        </is>
      </c>
      <c r="AD6" s="101" t="inlineStr">
        <is>
          <t>Dlin</t>
        </is>
      </c>
      <c r="AE6" s="101" t="inlineStr">
        <is>
          <t>Dlin</t>
        </is>
      </c>
      <c r="AF6" s="101" t="inlineStr">
        <is>
          <t>Dlin</t>
        </is>
      </c>
      <c r="AG6" s="101" t="inlineStr">
        <is>
          <t>Dlin</t>
        </is>
      </c>
      <c r="AH6" s="101" t="inlineStr">
        <is>
          <t>Dlin</t>
        </is>
      </c>
      <c r="AI6" s="101" t="inlineStr">
        <is>
          <t>Dlin</t>
        </is>
      </c>
      <c r="AJ6" s="101" t="inlineStr">
        <is>
          <t>Dlin</t>
        </is>
      </c>
      <c r="AK6" s="101" t="inlineStr">
        <is>
          <t>Dlin</t>
        </is>
      </c>
      <c r="AL6" s="101" t="inlineStr">
        <is>
          <t>Dlin</t>
        </is>
      </c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1" t="n"/>
      <c r="AW6" s="101" t="n"/>
      <c r="AX6" s="101" t="n"/>
      <c r="AY6" s="101" t="n"/>
      <c r="AZ6" s="101" t="n"/>
      <c r="BA6" s="101" t="n"/>
      <c r="BB6" s="101" t="n"/>
      <c r="BC6" s="101" t="n"/>
      <c r="BD6" s="101" t="n"/>
      <c r="BE6" s="101" t="n"/>
      <c r="BF6" s="101" t="n"/>
      <c r="BG6" s="101" t="n"/>
      <c r="BH6" s="101" t="n"/>
      <c r="BI6" s="101" t="n"/>
      <c r="BJ6" s="101" t="n"/>
      <c r="BK6" s="101" t="n"/>
      <c r="BL6" s="101" t="n"/>
      <c r="BM6" s="101" t="n"/>
      <c r="BN6" s="101" t="n"/>
      <c r="BO6" s="101" t="n"/>
      <c r="BP6" s="101" t="n"/>
      <c r="BQ6" s="101" t="n"/>
      <c r="BR6" s="101" t="n"/>
      <c r="BS6" s="101" t="n"/>
      <c r="BT6" s="101" t="n"/>
      <c r="BU6" s="101" t="n"/>
      <c r="BV6" s="101" t="n"/>
      <c r="BW6" s="101" t="n"/>
      <c r="BX6" s="101" t="n"/>
      <c r="BY6" s="101" t="n"/>
      <c r="BZ6" s="101" t="n"/>
      <c r="CA6" s="101" t="n"/>
      <c r="CB6" s="101" t="n"/>
      <c r="CC6" s="101" t="n"/>
      <c r="CD6" s="101" t="n"/>
      <c r="CE6" s="101" t="n"/>
      <c r="CF6" s="101" t="n"/>
      <c r="CG6" s="101" t="n"/>
      <c r="CH6" s="101" t="n"/>
      <c r="CI6" s="101" t="n"/>
      <c r="CJ6" s="101" t="n"/>
      <c r="CK6" s="101" t="n"/>
      <c r="CL6" s="101" t="n"/>
      <c r="CM6" s="101" t="n"/>
      <c r="CN6" s="101" t="n"/>
      <c r="CO6" s="101" t="n"/>
      <c r="CP6" s="101" t="n"/>
      <c r="CQ6" s="101" t="n"/>
      <c r="CR6" s="101" t="n"/>
      <c r="CS6" s="101" t="n"/>
      <c r="CT6" s="101" t="n"/>
      <c r="CU6" s="101" t="n"/>
      <c r="CV6" s="101" t="n"/>
      <c r="CW6" s="101" t="n"/>
      <c r="CX6" s="101" t="n"/>
      <c r="CY6" s="101" t="n"/>
      <c r="CZ6" s="101" t="n"/>
      <c r="DA6" s="101" t="n"/>
      <c r="DB6" s="101" t="n"/>
      <c r="DC6" s="101" t="n"/>
      <c r="DD6" s="101" t="n"/>
      <c r="DE6" s="101" t="n"/>
      <c r="DF6" s="101" t="n"/>
      <c r="DG6" s="101" t="n"/>
      <c r="DH6" s="101" t="n"/>
      <c r="DI6" s="101" t="n"/>
      <c r="DJ6" s="101" t="n"/>
      <c r="DK6" s="101" t="n"/>
      <c r="DL6" s="101" t="n"/>
      <c r="DM6" s="101" t="n"/>
      <c r="DN6" s="101" t="n"/>
      <c r="DO6" s="101" t="n"/>
      <c r="DP6" s="101" t="n"/>
      <c r="DQ6" s="101" t="n"/>
      <c r="DR6" s="101" t="n"/>
      <c r="DS6" s="101" t="n"/>
      <c r="DT6" s="101" t="n"/>
      <c r="DU6" s="101" t="n"/>
      <c r="DV6" s="101" t="n"/>
      <c r="DW6" s="101" t="n"/>
      <c r="DX6" s="101" t="n"/>
      <c r="DY6" s="101" t="n"/>
      <c r="DZ6" s="101" t="n"/>
      <c r="EA6" s="101" t="n"/>
      <c r="EB6" s="101" t="n"/>
      <c r="EC6" s="101" t="n"/>
      <c r="ED6" s="101" t="n"/>
      <c r="EE6" s="101" t="n"/>
      <c r="EF6" s="101" t="n"/>
      <c r="EG6" s="101" t="n"/>
      <c r="EH6" s="101" t="n"/>
      <c r="EI6" s="101" t="n"/>
      <c r="EJ6" s="101" t="n"/>
    </row>
    <row r="7" customFormat="1" s="70">
      <c r="A7" s="101" t="inlineStr">
        <is>
          <t>Helper Lipid Name</t>
        </is>
      </c>
      <c r="B7" s="119" t="n"/>
      <c r="C7" s="101" t="inlineStr">
        <is>
          <t>DSPC</t>
        </is>
      </c>
      <c r="D7" s="101" t="inlineStr">
        <is>
          <t>DSPC</t>
        </is>
      </c>
      <c r="E7" s="101" t="inlineStr">
        <is>
          <t>DSPC</t>
        </is>
      </c>
      <c r="F7" s="101" t="inlineStr">
        <is>
          <t>DSPC</t>
        </is>
      </c>
      <c r="G7" s="101" t="inlineStr">
        <is>
          <t>DSPC</t>
        </is>
      </c>
      <c r="H7" s="101" t="inlineStr">
        <is>
          <t>DSPC</t>
        </is>
      </c>
      <c r="I7" s="101" t="inlineStr">
        <is>
          <t>DSPC</t>
        </is>
      </c>
      <c r="J7" s="101" t="inlineStr">
        <is>
          <t>DSPC</t>
        </is>
      </c>
      <c r="K7" s="101" t="inlineStr">
        <is>
          <t>DSPC</t>
        </is>
      </c>
      <c r="L7" s="101" t="inlineStr">
        <is>
          <t>DSPC</t>
        </is>
      </c>
      <c r="M7" s="101" t="inlineStr">
        <is>
          <t>DSPC</t>
        </is>
      </c>
      <c r="N7" s="101" t="inlineStr">
        <is>
          <t>DSPC</t>
        </is>
      </c>
      <c r="O7" s="101" t="inlineStr">
        <is>
          <t>DSPC</t>
        </is>
      </c>
      <c r="P7" s="101" t="inlineStr">
        <is>
          <t>DSPC</t>
        </is>
      </c>
      <c r="Q7" s="101" t="inlineStr">
        <is>
          <t>DSPC</t>
        </is>
      </c>
      <c r="R7" s="101" t="inlineStr">
        <is>
          <t>DSPC</t>
        </is>
      </c>
      <c r="S7" s="101" t="inlineStr">
        <is>
          <t>DSPC</t>
        </is>
      </c>
      <c r="T7" s="101" t="inlineStr">
        <is>
          <t>DSPC</t>
        </is>
      </c>
      <c r="U7" s="101" t="inlineStr">
        <is>
          <t>DSPC</t>
        </is>
      </c>
      <c r="V7" s="101" t="inlineStr">
        <is>
          <t>DSPC</t>
        </is>
      </c>
      <c r="W7" s="101" t="inlineStr">
        <is>
          <t>DSPC</t>
        </is>
      </c>
      <c r="X7" s="101" t="inlineStr">
        <is>
          <t>DSPC</t>
        </is>
      </c>
      <c r="Y7" s="101" t="inlineStr">
        <is>
          <t>DSPC</t>
        </is>
      </c>
      <c r="Z7" s="101" t="inlineStr">
        <is>
          <t>DSPC</t>
        </is>
      </c>
      <c r="AA7" s="101" t="inlineStr">
        <is>
          <t>DSPC</t>
        </is>
      </c>
      <c r="AB7" s="101" t="inlineStr">
        <is>
          <t>DSPC</t>
        </is>
      </c>
      <c r="AC7" s="101" t="inlineStr">
        <is>
          <t>DSPC</t>
        </is>
      </c>
      <c r="AD7" s="101" t="inlineStr">
        <is>
          <t>DSPC</t>
        </is>
      </c>
      <c r="AE7" s="101" t="inlineStr">
        <is>
          <t>DSPC</t>
        </is>
      </c>
      <c r="AF7" s="101" t="inlineStr">
        <is>
          <t>DSPC</t>
        </is>
      </c>
      <c r="AG7" s="101" t="inlineStr">
        <is>
          <t>DSPC</t>
        </is>
      </c>
      <c r="AH7" s="101" t="inlineStr">
        <is>
          <t>DSPC</t>
        </is>
      </c>
      <c r="AI7" s="101" t="inlineStr">
        <is>
          <t>DSPC</t>
        </is>
      </c>
      <c r="AJ7" s="101" t="inlineStr">
        <is>
          <t>DSPC</t>
        </is>
      </c>
      <c r="AK7" s="101" t="inlineStr">
        <is>
          <t>DSPC</t>
        </is>
      </c>
      <c r="AL7" s="101" t="inlineStr">
        <is>
          <t>DSPC</t>
        </is>
      </c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1" t="n"/>
      <c r="BE7" s="101" t="n"/>
      <c r="BF7" s="101" t="n"/>
      <c r="BG7" s="101" t="n"/>
      <c r="BH7" s="101" t="n"/>
      <c r="BI7" s="101" t="n"/>
      <c r="BJ7" s="101" t="n"/>
      <c r="BK7" s="101" t="n"/>
      <c r="BL7" s="101" t="n"/>
      <c r="BM7" s="101" t="n"/>
      <c r="BN7" s="101" t="n"/>
      <c r="BO7" s="101" t="n"/>
      <c r="BP7" s="101" t="n"/>
      <c r="BQ7" s="101" t="n"/>
      <c r="BR7" s="101" t="n"/>
      <c r="BS7" s="101" t="n"/>
      <c r="BT7" s="101" t="n"/>
      <c r="BU7" s="101" t="n"/>
      <c r="BV7" s="101" t="n"/>
      <c r="BW7" s="101" t="n"/>
      <c r="BX7" s="101" t="n"/>
      <c r="BY7" s="101" t="n"/>
      <c r="BZ7" s="101" t="n"/>
      <c r="CA7" s="101" t="n"/>
      <c r="CB7" s="101" t="n"/>
      <c r="CC7" s="101" t="n"/>
      <c r="CD7" s="101" t="n"/>
      <c r="CE7" s="101" t="n"/>
      <c r="CF7" s="101" t="n"/>
      <c r="CG7" s="101" t="n"/>
      <c r="CH7" s="101" t="n"/>
      <c r="CI7" s="101" t="n"/>
      <c r="CJ7" s="101" t="n"/>
      <c r="CK7" s="101" t="n"/>
      <c r="CL7" s="101" t="n"/>
      <c r="CM7" s="101" t="n"/>
      <c r="CN7" s="101" t="n"/>
      <c r="CO7" s="101" t="n"/>
      <c r="CP7" s="101" t="n"/>
      <c r="CQ7" s="101" t="n"/>
      <c r="CR7" s="101" t="n"/>
      <c r="CS7" s="101" t="n"/>
      <c r="CT7" s="101" t="n"/>
      <c r="CU7" s="101" t="n"/>
      <c r="CV7" s="101" t="n"/>
      <c r="CW7" s="101" t="n"/>
      <c r="CX7" s="101" t="n"/>
      <c r="CY7" s="101" t="n"/>
      <c r="CZ7" s="101" t="n"/>
      <c r="DA7" s="101" t="n"/>
      <c r="DB7" s="101" t="n"/>
      <c r="DC7" s="101" t="n"/>
      <c r="DD7" s="101" t="n"/>
      <c r="DE7" s="101" t="n"/>
      <c r="DF7" s="101" t="n"/>
      <c r="DG7" s="101" t="n"/>
      <c r="DH7" s="101" t="n"/>
      <c r="DI7" s="101" t="n"/>
      <c r="DJ7" s="101" t="n"/>
      <c r="DK7" s="101" t="n"/>
      <c r="DL7" s="101" t="n"/>
      <c r="DM7" s="101" t="n"/>
      <c r="DN7" s="101" t="n"/>
      <c r="DO7" s="101" t="n"/>
      <c r="DP7" s="101" t="n"/>
      <c r="DQ7" s="101" t="n"/>
      <c r="DR7" s="101" t="n"/>
      <c r="DS7" s="101" t="n"/>
      <c r="DT7" s="101" t="n"/>
      <c r="DU7" s="101" t="n"/>
      <c r="DV7" s="101" t="n"/>
      <c r="DW7" s="101" t="n"/>
      <c r="DX7" s="101" t="n"/>
      <c r="DY7" s="101" t="n"/>
      <c r="DZ7" s="101" t="n"/>
      <c r="EA7" s="101" t="n"/>
      <c r="EB7" s="101" t="n"/>
      <c r="EC7" s="101" t="n"/>
      <c r="ED7" s="101" t="n"/>
      <c r="EE7" s="101" t="n"/>
      <c r="EF7" s="101" t="n"/>
      <c r="EG7" s="101" t="n"/>
      <c r="EH7" s="101" t="n"/>
      <c r="EI7" s="101" t="n"/>
      <c r="EJ7" s="101" t="n"/>
    </row>
    <row r="8" customFormat="1" s="70">
      <c r="A8" s="101" t="inlineStr">
        <is>
          <t>Cholesterol Lipid Name</t>
        </is>
      </c>
      <c r="B8" s="119" t="n"/>
      <c r="C8" s="101" t="inlineStr">
        <is>
          <t>Chol</t>
        </is>
      </c>
      <c r="D8" s="101" t="inlineStr">
        <is>
          <t>Chol</t>
        </is>
      </c>
      <c r="E8" s="101" t="inlineStr">
        <is>
          <t>Chol</t>
        </is>
      </c>
      <c r="F8" s="101" t="inlineStr">
        <is>
          <t>Chol</t>
        </is>
      </c>
      <c r="G8" s="101" t="inlineStr">
        <is>
          <t>Chol</t>
        </is>
      </c>
      <c r="H8" s="101" t="inlineStr">
        <is>
          <t>Chol</t>
        </is>
      </c>
      <c r="I8" s="101" t="inlineStr">
        <is>
          <t>Chol</t>
        </is>
      </c>
      <c r="J8" s="101" t="inlineStr">
        <is>
          <t>Chol</t>
        </is>
      </c>
      <c r="K8" s="101" t="inlineStr">
        <is>
          <t>Chol</t>
        </is>
      </c>
      <c r="L8" s="101" t="inlineStr">
        <is>
          <t>Chol</t>
        </is>
      </c>
      <c r="M8" s="101" t="inlineStr">
        <is>
          <t>Chol</t>
        </is>
      </c>
      <c r="N8" s="101" t="inlineStr">
        <is>
          <t>Chol</t>
        </is>
      </c>
      <c r="O8" s="101" t="inlineStr">
        <is>
          <t>Chol</t>
        </is>
      </c>
      <c r="P8" s="101" t="inlineStr">
        <is>
          <t>Chol</t>
        </is>
      </c>
      <c r="Q8" s="101" t="inlineStr">
        <is>
          <t>Chol</t>
        </is>
      </c>
      <c r="R8" s="101" t="inlineStr">
        <is>
          <t>Chol</t>
        </is>
      </c>
      <c r="S8" s="101" t="inlineStr">
        <is>
          <t>Chol</t>
        </is>
      </c>
      <c r="T8" s="101" t="inlineStr">
        <is>
          <t>Chol</t>
        </is>
      </c>
      <c r="U8" s="101" t="inlineStr">
        <is>
          <t>Chol</t>
        </is>
      </c>
      <c r="V8" s="101" t="inlineStr">
        <is>
          <t>Chol</t>
        </is>
      </c>
      <c r="W8" s="101" t="inlineStr">
        <is>
          <t>Chol</t>
        </is>
      </c>
      <c r="X8" s="101" t="inlineStr">
        <is>
          <t>Chol</t>
        </is>
      </c>
      <c r="Y8" s="101" t="inlineStr">
        <is>
          <t>Chol</t>
        </is>
      </c>
      <c r="Z8" s="101" t="inlineStr">
        <is>
          <t>Chol</t>
        </is>
      </c>
      <c r="AA8" s="101" t="inlineStr">
        <is>
          <t>Chol</t>
        </is>
      </c>
      <c r="AB8" s="101" t="inlineStr">
        <is>
          <t>Chol</t>
        </is>
      </c>
      <c r="AC8" s="101" t="inlineStr">
        <is>
          <t>Chol</t>
        </is>
      </c>
      <c r="AD8" s="101" t="inlineStr">
        <is>
          <t>Chol</t>
        </is>
      </c>
      <c r="AE8" s="101" t="inlineStr">
        <is>
          <t>Chol</t>
        </is>
      </c>
      <c r="AF8" s="101" t="inlineStr">
        <is>
          <t>Chol</t>
        </is>
      </c>
      <c r="AG8" s="101" t="inlineStr">
        <is>
          <t>Chol</t>
        </is>
      </c>
      <c r="AH8" s="101" t="inlineStr">
        <is>
          <t>Chol</t>
        </is>
      </c>
      <c r="AI8" s="101" t="inlineStr">
        <is>
          <t>Chol</t>
        </is>
      </c>
      <c r="AJ8" s="101" t="inlineStr">
        <is>
          <t>Chol</t>
        </is>
      </c>
      <c r="AK8" s="101" t="inlineStr">
        <is>
          <t>Chol</t>
        </is>
      </c>
      <c r="AL8" s="101" t="inlineStr">
        <is>
          <t>Chol</t>
        </is>
      </c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1" t="n"/>
      <c r="AW8" s="101" t="n"/>
      <c r="AX8" s="101" t="n"/>
      <c r="AY8" s="101" t="n"/>
      <c r="AZ8" s="101" t="n"/>
      <c r="BA8" s="101" t="n"/>
      <c r="BB8" s="101" t="n"/>
      <c r="BC8" s="101" t="n"/>
      <c r="BD8" s="101" t="n"/>
      <c r="BE8" s="101" t="n"/>
      <c r="BF8" s="101" t="n"/>
      <c r="BG8" s="101" t="n"/>
      <c r="BH8" s="101" t="n"/>
      <c r="BI8" s="101" t="n"/>
      <c r="BJ8" s="101" t="n"/>
      <c r="BK8" s="101" t="n"/>
      <c r="BL8" s="101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1" t="n"/>
      <c r="BV8" s="101" t="n"/>
      <c r="BW8" s="101" t="n"/>
      <c r="BX8" s="101" t="n"/>
      <c r="BY8" s="101" t="n"/>
      <c r="BZ8" s="101" t="n"/>
      <c r="CA8" s="101" t="n"/>
      <c r="CB8" s="101" t="n"/>
      <c r="CC8" s="101" t="n"/>
      <c r="CD8" s="101" t="n"/>
      <c r="CE8" s="101" t="n"/>
      <c r="CF8" s="101" t="n"/>
      <c r="CG8" s="101" t="n"/>
      <c r="CH8" s="101" t="n"/>
      <c r="CI8" s="101" t="n"/>
      <c r="CJ8" s="101" t="n"/>
      <c r="CK8" s="101" t="n"/>
      <c r="CL8" s="101" t="n"/>
      <c r="CM8" s="101" t="n"/>
      <c r="CN8" s="101" t="n"/>
      <c r="CO8" s="101" t="n"/>
      <c r="CP8" s="101" t="n"/>
      <c r="CQ8" s="101" t="n"/>
      <c r="CR8" s="101" t="n"/>
      <c r="CS8" s="101" t="n"/>
      <c r="CT8" s="101" t="n"/>
      <c r="CU8" s="101" t="n"/>
      <c r="CV8" s="101" t="n"/>
      <c r="CW8" s="101" t="n"/>
      <c r="CX8" s="101" t="n"/>
      <c r="CY8" s="101" t="n"/>
      <c r="CZ8" s="101" t="n"/>
      <c r="DA8" s="101" t="n"/>
      <c r="DB8" s="101" t="n"/>
      <c r="DC8" s="101" t="n"/>
      <c r="DD8" s="101" t="n"/>
      <c r="DE8" s="101" t="n"/>
      <c r="DF8" s="101" t="n"/>
      <c r="DG8" s="101" t="n"/>
      <c r="DH8" s="101" t="n"/>
      <c r="DI8" s="101" t="n"/>
      <c r="DJ8" s="101" t="n"/>
      <c r="DK8" s="101" t="n"/>
      <c r="DL8" s="101" t="n"/>
      <c r="DM8" s="101" t="n"/>
      <c r="DN8" s="101" t="n"/>
      <c r="DO8" s="101" t="n"/>
      <c r="DP8" s="101" t="n"/>
      <c r="DQ8" s="101" t="n"/>
      <c r="DR8" s="101" t="n"/>
      <c r="DS8" s="101" t="n"/>
      <c r="DT8" s="101" t="n"/>
      <c r="DU8" s="101" t="n"/>
      <c r="DV8" s="101" t="n"/>
      <c r="DW8" s="101" t="n"/>
      <c r="DX8" s="101" t="n"/>
      <c r="DY8" s="101" t="n"/>
      <c r="DZ8" s="101" t="n"/>
      <c r="EA8" s="101" t="n"/>
      <c r="EB8" s="101" t="n"/>
      <c r="EC8" s="101" t="n"/>
      <c r="ED8" s="101" t="n"/>
      <c r="EE8" s="101" t="n"/>
      <c r="EF8" s="101" t="n"/>
      <c r="EG8" s="101" t="n"/>
      <c r="EH8" s="101" t="n"/>
      <c r="EI8" s="101" t="n"/>
      <c r="EJ8" s="101" t="n"/>
    </row>
    <row r="9" customFormat="1" s="70">
      <c r="A9" s="101" t="inlineStr">
        <is>
          <t>PEG Lipid Name</t>
        </is>
      </c>
      <c r="B9" s="119" t="n"/>
      <c r="C9" s="101" t="inlineStr">
        <is>
          <t>DMG_PEG</t>
        </is>
      </c>
      <c r="D9" s="101" t="inlineStr">
        <is>
          <t>DMG_PEG</t>
        </is>
      </c>
      <c r="E9" s="101" t="inlineStr">
        <is>
          <t>DMG_PEG</t>
        </is>
      </c>
      <c r="F9" s="101" t="inlineStr">
        <is>
          <t>DMG_PEG</t>
        </is>
      </c>
      <c r="G9" s="101" t="inlineStr">
        <is>
          <t>DMG_PEG</t>
        </is>
      </c>
      <c r="H9" s="101" t="inlineStr">
        <is>
          <t>DMG_PEG</t>
        </is>
      </c>
      <c r="I9" s="101" t="inlineStr">
        <is>
          <t>DMG_PEG</t>
        </is>
      </c>
      <c r="J9" s="101" t="inlineStr">
        <is>
          <t>DMG_PEG</t>
        </is>
      </c>
      <c r="K9" s="101" t="inlineStr">
        <is>
          <t>DMG_PEG</t>
        </is>
      </c>
      <c r="L9" s="101" t="inlineStr">
        <is>
          <t>DMG_PEG</t>
        </is>
      </c>
      <c r="M9" s="101" t="inlineStr">
        <is>
          <t>DMG_PEG</t>
        </is>
      </c>
      <c r="N9" s="101" t="inlineStr">
        <is>
          <t>DMG_PEG</t>
        </is>
      </c>
      <c r="O9" s="101" t="inlineStr">
        <is>
          <t>DMG_PEG</t>
        </is>
      </c>
      <c r="P9" s="101" t="inlineStr">
        <is>
          <t>DMG_PEG</t>
        </is>
      </c>
      <c r="Q9" s="101" t="inlineStr">
        <is>
          <t>DMG_PEG</t>
        </is>
      </c>
      <c r="R9" s="101" t="inlineStr">
        <is>
          <t>DMG_PEG</t>
        </is>
      </c>
      <c r="S9" s="101" t="inlineStr">
        <is>
          <t>DMG_PEG</t>
        </is>
      </c>
      <c r="T9" s="101" t="inlineStr">
        <is>
          <t>DMG_PEG</t>
        </is>
      </c>
      <c r="U9" s="101" t="inlineStr">
        <is>
          <t>DMG_PEG</t>
        </is>
      </c>
      <c r="V9" s="101" t="inlineStr">
        <is>
          <t>DMG_PEG</t>
        </is>
      </c>
      <c r="W9" s="101" t="inlineStr">
        <is>
          <t>DMG_PEG</t>
        </is>
      </c>
      <c r="X9" s="101" t="inlineStr">
        <is>
          <t>DMG_PEG</t>
        </is>
      </c>
      <c r="Y9" s="101" t="inlineStr">
        <is>
          <t>DMG_PEG</t>
        </is>
      </c>
      <c r="Z9" s="101" t="inlineStr">
        <is>
          <t>DMG_PEG</t>
        </is>
      </c>
      <c r="AA9" s="101" t="inlineStr">
        <is>
          <t>DMG_PEG</t>
        </is>
      </c>
      <c r="AB9" s="101" t="inlineStr">
        <is>
          <t>DMG_PEG</t>
        </is>
      </c>
      <c r="AC9" s="101" t="inlineStr">
        <is>
          <t>DMG_PEG</t>
        </is>
      </c>
      <c r="AD9" s="101" t="inlineStr">
        <is>
          <t>DMG_PEG</t>
        </is>
      </c>
      <c r="AE9" s="101" t="inlineStr">
        <is>
          <t>DMG_PEG</t>
        </is>
      </c>
      <c r="AF9" s="101" t="inlineStr">
        <is>
          <t>DMG_PEG</t>
        </is>
      </c>
      <c r="AG9" s="101" t="inlineStr">
        <is>
          <t>DMG_PEG</t>
        </is>
      </c>
      <c r="AH9" s="101" t="inlineStr">
        <is>
          <t>DMG_PEG</t>
        </is>
      </c>
      <c r="AI9" s="101" t="inlineStr">
        <is>
          <t>DMG_PEG</t>
        </is>
      </c>
      <c r="AJ9" s="101" t="inlineStr">
        <is>
          <t>DMG_PEG</t>
        </is>
      </c>
      <c r="AK9" s="101" t="inlineStr">
        <is>
          <t>DMG_PEG</t>
        </is>
      </c>
      <c r="AL9" s="101" t="inlineStr">
        <is>
          <t>DMG_PEG</t>
        </is>
      </c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n"/>
      <c r="AY9" s="101" t="n"/>
      <c r="AZ9" s="101" t="n"/>
      <c r="BA9" s="101" t="n"/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n"/>
      <c r="BL9" s="101" t="n"/>
      <c r="BM9" s="101" t="n"/>
      <c r="BN9" s="101" t="n"/>
      <c r="BO9" s="101" t="n"/>
      <c r="BP9" s="101" t="n"/>
      <c r="BQ9" s="101" t="n"/>
      <c r="BR9" s="101" t="n"/>
      <c r="BS9" s="101" t="n"/>
      <c r="BT9" s="101" t="n"/>
      <c r="BU9" s="101" t="n"/>
      <c r="BV9" s="101" t="n"/>
      <c r="BW9" s="101" t="n"/>
      <c r="BX9" s="101" t="n"/>
      <c r="BY9" s="101" t="n"/>
      <c r="BZ9" s="101" t="n"/>
      <c r="CA9" s="101" t="n"/>
      <c r="CB9" s="101" t="n"/>
      <c r="CC9" s="101" t="n"/>
      <c r="CD9" s="101" t="n"/>
      <c r="CE9" s="101" t="n"/>
      <c r="CF9" s="101" t="n"/>
      <c r="CG9" s="101" t="n"/>
      <c r="CH9" s="101" t="n"/>
      <c r="CI9" s="101" t="n"/>
      <c r="CJ9" s="101" t="n"/>
      <c r="CK9" s="101" t="n"/>
      <c r="CL9" s="101" t="n"/>
      <c r="CM9" s="101" t="n"/>
      <c r="CN9" s="101" t="n"/>
      <c r="CO9" s="101" t="n"/>
      <c r="CP9" s="101" t="n"/>
      <c r="CQ9" s="101" t="n"/>
      <c r="CR9" s="101" t="n"/>
      <c r="CS9" s="101" t="n"/>
      <c r="CT9" s="101" t="n"/>
      <c r="CU9" s="101" t="n"/>
      <c r="CV9" s="101" t="n"/>
      <c r="CW9" s="101" t="n"/>
      <c r="CX9" s="101" t="n"/>
      <c r="CY9" s="101" t="n"/>
      <c r="CZ9" s="101" t="n"/>
      <c r="DA9" s="101" t="n"/>
      <c r="DB9" s="101" t="n"/>
      <c r="DC9" s="101" t="n"/>
      <c r="DD9" s="101" t="n"/>
      <c r="DE9" s="101" t="n"/>
      <c r="DF9" s="101" t="n"/>
      <c r="DG9" s="101" t="n"/>
      <c r="DH9" s="101" t="n"/>
      <c r="DI9" s="101" t="n"/>
      <c r="DJ9" s="101" t="n"/>
      <c r="DK9" s="101" t="n"/>
      <c r="DL9" s="101" t="n"/>
      <c r="DM9" s="101" t="n"/>
      <c r="DN9" s="101" t="n"/>
      <c r="DO9" s="101" t="n"/>
      <c r="DP9" s="101" t="n"/>
      <c r="DQ9" s="101" t="n"/>
      <c r="DR9" s="101" t="n"/>
      <c r="DS9" s="101" t="n"/>
      <c r="DT9" s="101" t="n"/>
      <c r="DU9" s="101" t="n"/>
      <c r="DV9" s="101" t="n"/>
      <c r="DW9" s="101" t="n"/>
      <c r="DX9" s="101" t="n"/>
      <c r="DY9" s="101" t="n"/>
      <c r="DZ9" s="101" t="n"/>
      <c r="EA9" s="101" t="n"/>
      <c r="EB9" s="101" t="n"/>
      <c r="EC9" s="101" t="n"/>
      <c r="ED9" s="101" t="n"/>
      <c r="EE9" s="101" t="n"/>
      <c r="EF9" s="101" t="n"/>
      <c r="EG9" s="101" t="n"/>
      <c r="EH9" s="101" t="n"/>
      <c r="EI9" s="101" t="n"/>
      <c r="EJ9" s="101" t="n"/>
    </row>
    <row r="10" customFormat="1" s="71">
      <c r="A10" s="102" t="inlineStr">
        <is>
          <t>NP Ratio</t>
        </is>
      </c>
      <c r="B10" s="119" t="n"/>
      <c r="C10" s="101" t="n">
        <v>13.884</v>
      </c>
      <c r="D10" s="101" t="n">
        <v>11.541</v>
      </c>
      <c r="E10" s="101" t="n">
        <v>24.538</v>
      </c>
      <c r="F10" s="101" t="n">
        <v>25.035</v>
      </c>
      <c r="G10" s="101" t="n">
        <v>24.432</v>
      </c>
      <c r="H10" s="101" t="n">
        <v>20.823</v>
      </c>
      <c r="I10" s="101" t="n">
        <v>23.082</v>
      </c>
      <c r="J10" s="101" t="n">
        <v>29.833</v>
      </c>
      <c r="K10" s="101" t="n">
        <v>27.708</v>
      </c>
      <c r="L10" s="101" t="n">
        <v>9.013</v>
      </c>
      <c r="M10" s="101" t="n">
        <v>8.403</v>
      </c>
      <c r="N10" s="101" t="n">
        <v>28.521</v>
      </c>
      <c r="O10" s="101" t="n">
        <v>7.005</v>
      </c>
      <c r="P10" s="101" t="n">
        <v>6.992</v>
      </c>
      <c r="Q10" s="101" t="n">
        <v>7.004</v>
      </c>
      <c r="R10" s="101" t="n">
        <v>6.979</v>
      </c>
      <c r="S10" s="101" t="n">
        <v>6.982</v>
      </c>
      <c r="T10" s="101" t="n">
        <v>7.021</v>
      </c>
      <c r="U10" s="101" t="n">
        <v>6.976</v>
      </c>
      <c r="V10" s="101" t="n">
        <v>6.957</v>
      </c>
      <c r="W10" s="101" t="n">
        <v>6.952</v>
      </c>
      <c r="X10" s="101" t="n">
        <v>6.947</v>
      </c>
      <c r="Y10" s="101" t="n">
        <v>6.987</v>
      </c>
      <c r="Z10" s="101" t="n">
        <v>7.007</v>
      </c>
      <c r="AA10" s="101" t="n">
        <v>5.854</v>
      </c>
      <c r="AB10" s="101" t="n">
        <v>4.457</v>
      </c>
      <c r="AC10" s="101" t="n">
        <v>5.101</v>
      </c>
      <c r="AD10" s="101" t="n">
        <v>7.198</v>
      </c>
      <c r="AE10" s="101" t="n">
        <v>4.029</v>
      </c>
      <c r="AF10" s="101" t="n">
        <v>4.007</v>
      </c>
      <c r="AG10" s="101" t="n">
        <v>6.95</v>
      </c>
      <c r="AH10" s="101" t="n">
        <v>6.978</v>
      </c>
      <c r="AI10" s="101" t="n">
        <v>4.446</v>
      </c>
      <c r="AJ10" s="101" t="n">
        <v>5.838</v>
      </c>
      <c r="AK10" s="101" t="n">
        <v>5.354</v>
      </c>
      <c r="AL10" s="101" t="n">
        <v>4.451</v>
      </c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1" t="n"/>
      <c r="AW10" s="101" t="n"/>
      <c r="AX10" s="101" t="n"/>
      <c r="AY10" s="101" t="n"/>
      <c r="AZ10" s="101" t="n"/>
      <c r="BA10" s="101" t="n"/>
      <c r="BB10" s="101" t="n"/>
      <c r="BC10" s="101" t="n"/>
      <c r="BD10" s="101" t="n"/>
      <c r="BE10" s="101" t="n"/>
      <c r="BF10" s="101" t="n"/>
      <c r="BG10" s="101" t="n"/>
      <c r="BH10" s="101" t="n"/>
      <c r="BI10" s="101" t="n"/>
      <c r="BJ10" s="101" t="n"/>
      <c r="BK10" s="101" t="n"/>
      <c r="BL10" s="101" t="n"/>
      <c r="BM10" s="101" t="n"/>
      <c r="BN10" s="101" t="n"/>
      <c r="BO10" s="101" t="n"/>
      <c r="BP10" s="101" t="n"/>
      <c r="BQ10" s="101" t="n"/>
      <c r="BR10" s="101" t="n"/>
      <c r="BS10" s="101" t="n"/>
      <c r="BT10" s="101" t="n"/>
      <c r="BU10" s="101" t="n"/>
      <c r="BV10" s="101" t="n"/>
      <c r="BW10" s="101" t="n"/>
      <c r="BX10" s="101" t="n"/>
      <c r="BY10" s="101" t="n"/>
      <c r="BZ10" s="101" t="n"/>
      <c r="CA10" s="101" t="n"/>
      <c r="CB10" s="101" t="n"/>
      <c r="CC10" s="101" t="n"/>
      <c r="CD10" s="101" t="n"/>
      <c r="CE10" s="101" t="n"/>
      <c r="CF10" s="101" t="n"/>
      <c r="CG10" s="101" t="n"/>
      <c r="CH10" s="101" t="n"/>
      <c r="CI10" s="101" t="n"/>
      <c r="CJ10" s="101" t="n"/>
      <c r="CK10" s="101" t="n"/>
      <c r="CL10" s="101" t="n"/>
      <c r="CM10" s="101" t="n"/>
      <c r="CN10" s="101" t="n"/>
      <c r="CO10" s="101" t="n"/>
      <c r="CP10" s="101" t="n"/>
      <c r="CQ10" s="101" t="n"/>
      <c r="CR10" s="101" t="n"/>
      <c r="CS10" s="101" t="n"/>
      <c r="CT10" s="101" t="n"/>
      <c r="CU10" s="101" t="n"/>
      <c r="CV10" s="101" t="n"/>
      <c r="CW10" s="101" t="n"/>
      <c r="CX10" s="101" t="n"/>
      <c r="CY10" s="101" t="n"/>
      <c r="CZ10" s="101" t="n"/>
      <c r="DA10" s="101" t="n"/>
      <c r="DB10" s="101" t="n"/>
      <c r="DC10" s="101" t="n"/>
      <c r="DD10" s="101" t="n"/>
      <c r="DE10" s="101" t="n"/>
      <c r="DF10" s="101" t="n"/>
      <c r="DG10" s="101" t="n"/>
      <c r="DH10" s="101" t="n"/>
      <c r="DI10" s="101" t="n"/>
      <c r="DJ10" s="101" t="n"/>
      <c r="DK10" s="101" t="n"/>
      <c r="DL10" s="101" t="n"/>
      <c r="DM10" s="101" t="n"/>
      <c r="DN10" s="101" t="n"/>
      <c r="DO10" s="101" t="n"/>
      <c r="DP10" s="101" t="n"/>
      <c r="DQ10" s="101" t="n"/>
      <c r="DR10" s="101" t="n"/>
      <c r="DS10" s="101" t="n"/>
      <c r="DT10" s="101" t="n"/>
      <c r="DU10" s="101" t="n"/>
      <c r="DV10" s="101" t="n"/>
      <c r="DW10" s="101" t="n"/>
      <c r="DX10" s="101" t="n"/>
      <c r="DY10" s="101" t="n"/>
      <c r="DZ10" s="101" t="n"/>
      <c r="EA10" s="101" t="n"/>
      <c r="EB10" s="101" t="n"/>
      <c r="EC10" s="101" t="n"/>
      <c r="ED10" s="101" t="n"/>
      <c r="EE10" s="101" t="n"/>
      <c r="EF10" s="101" t="n"/>
      <c r="EG10" s="101" t="n"/>
      <c r="EH10" s="101" t="n"/>
      <c r="EI10" s="101" t="n"/>
      <c r="EJ10" s="101" t="n"/>
    </row>
    <row r="11" customFormat="1" s="71">
      <c r="A11" s="102" t="inlineStr">
        <is>
          <t>(IL+HL)% (molar)</t>
        </is>
      </c>
      <c r="B11" s="119" t="n"/>
      <c r="C11" s="101" t="n">
        <v>58.286</v>
      </c>
      <c r="D11" s="101" t="n">
        <v>56.684</v>
      </c>
      <c r="E11" s="101" t="n">
        <v>53.219</v>
      </c>
      <c r="F11" s="101" t="n">
        <v>52.217</v>
      </c>
      <c r="G11" s="101" t="n">
        <v>60.52</v>
      </c>
      <c r="H11" s="101" t="n">
        <v>55.632</v>
      </c>
      <c r="I11" s="101" t="n">
        <v>52.825</v>
      </c>
      <c r="J11" s="101" t="n">
        <v>57.109</v>
      </c>
      <c r="K11" s="101" t="n">
        <v>57.13</v>
      </c>
      <c r="L11" s="101" t="n">
        <v>54.795</v>
      </c>
      <c r="M11" s="101" t="n">
        <v>55.035</v>
      </c>
      <c r="N11" s="101" t="n">
        <v>61.229</v>
      </c>
      <c r="O11" s="101" t="n">
        <v>52.458</v>
      </c>
      <c r="P11" s="101" t="n">
        <v>52.462</v>
      </c>
      <c r="Q11" s="101" t="n">
        <v>52.46</v>
      </c>
      <c r="R11" s="101" t="n">
        <v>52.443</v>
      </c>
      <c r="S11" s="101" t="n">
        <v>52.406</v>
      </c>
      <c r="T11" s="101" t="n">
        <v>52.372</v>
      </c>
      <c r="U11" s="101" t="n">
        <v>52.362</v>
      </c>
      <c r="V11" s="101" t="n">
        <v>52.409</v>
      </c>
      <c r="W11" s="101" t="n">
        <v>52.456</v>
      </c>
      <c r="X11" s="101" t="n">
        <v>52.444</v>
      </c>
      <c r="Y11" s="101" t="n">
        <v>52.449</v>
      </c>
      <c r="Z11" s="101" t="n">
        <v>52.445</v>
      </c>
      <c r="AA11" s="101" t="n">
        <v>67.696</v>
      </c>
      <c r="AB11" s="101" t="n">
        <v>67.866</v>
      </c>
      <c r="AC11" s="101" t="n">
        <v>65.16200000000001</v>
      </c>
      <c r="AD11" s="101" t="n">
        <v>51.761</v>
      </c>
      <c r="AE11" s="101" t="n">
        <v>70.30500000000001</v>
      </c>
      <c r="AF11" s="101" t="n">
        <v>52.423</v>
      </c>
      <c r="AG11" s="101" t="n">
        <v>52.426</v>
      </c>
      <c r="AH11" s="101" t="n">
        <v>52.459</v>
      </c>
      <c r="AI11" s="101" t="n">
        <v>67.624</v>
      </c>
      <c r="AJ11" s="101" t="n">
        <v>54.443</v>
      </c>
      <c r="AK11" s="101" t="n">
        <v>54.411</v>
      </c>
      <c r="AL11" s="101" t="n">
        <v>67.724</v>
      </c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1" t="n"/>
      <c r="AW11" s="101" t="n"/>
      <c r="AX11" s="101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  <c r="BP11" s="101" t="n"/>
      <c r="BQ11" s="101" t="n"/>
      <c r="BR11" s="101" t="n"/>
      <c r="BS11" s="101" t="n"/>
      <c r="BT11" s="101" t="n"/>
      <c r="BU11" s="101" t="n"/>
      <c r="BV11" s="101" t="n"/>
      <c r="BW11" s="101" t="n"/>
      <c r="BX11" s="101" t="n"/>
      <c r="BY11" s="101" t="n"/>
      <c r="BZ11" s="101" t="n"/>
      <c r="CA11" s="101" t="n"/>
      <c r="CB11" s="101" t="n"/>
      <c r="CC11" s="101" t="n"/>
      <c r="CD11" s="101" t="n"/>
      <c r="CE11" s="101" t="n"/>
      <c r="CF11" s="101" t="n"/>
      <c r="CG11" s="101" t="n"/>
      <c r="CH11" s="101" t="n"/>
      <c r="CI11" s="101" t="n"/>
      <c r="CJ11" s="101" t="n"/>
      <c r="CK11" s="101" t="n"/>
      <c r="CL11" s="101" t="n"/>
      <c r="CM11" s="101" t="n"/>
      <c r="CN11" s="101" t="n"/>
      <c r="CO11" s="101" t="n"/>
      <c r="CP11" s="101" t="n"/>
      <c r="CQ11" s="101" t="n"/>
      <c r="CR11" s="101" t="n"/>
      <c r="CS11" s="101" t="n"/>
      <c r="CT11" s="101" t="n"/>
      <c r="CU11" s="101" t="n"/>
      <c r="CV11" s="101" t="n"/>
      <c r="CW11" s="101" t="n"/>
      <c r="CX11" s="101" t="n"/>
      <c r="CY11" s="101" t="n"/>
      <c r="CZ11" s="101" t="n"/>
      <c r="DA11" s="101" t="n"/>
      <c r="DB11" s="101" t="n"/>
      <c r="DC11" s="101" t="n"/>
      <c r="DD11" s="101" t="n"/>
      <c r="DE11" s="101" t="n"/>
      <c r="DF11" s="101" t="n"/>
      <c r="DG11" s="101" t="n"/>
      <c r="DH11" s="101" t="n"/>
      <c r="DI11" s="101" t="n"/>
      <c r="DJ11" s="101" t="n"/>
      <c r="DK11" s="101" t="n"/>
      <c r="DL11" s="101" t="n"/>
      <c r="DM11" s="101" t="n"/>
      <c r="DN11" s="101" t="n"/>
      <c r="DO11" s="101" t="n"/>
      <c r="DP11" s="101" t="n"/>
      <c r="DQ11" s="101" t="n"/>
      <c r="DR11" s="101" t="n"/>
      <c r="DS11" s="101" t="n"/>
      <c r="DT11" s="101" t="n"/>
      <c r="DU11" s="101" t="n"/>
      <c r="DV11" s="101" t="n"/>
      <c r="DW11" s="101" t="n"/>
      <c r="DX11" s="101" t="n"/>
      <c r="DY11" s="101" t="n"/>
      <c r="DZ11" s="101" t="n"/>
      <c r="EA11" s="101" t="n"/>
      <c r="EB11" s="101" t="n"/>
      <c r="EC11" s="101" t="n"/>
      <c r="ED11" s="101" t="n"/>
      <c r="EE11" s="101" t="n"/>
      <c r="EF11" s="101" t="n"/>
      <c r="EG11" s="101" t="n"/>
      <c r="EH11" s="101" t="n"/>
      <c r="EI11" s="101" t="n"/>
      <c r="EJ11" s="101" t="n"/>
    </row>
    <row r="12" customFormat="1" s="71">
      <c r="A12" s="102" t="inlineStr">
        <is>
          <t>HL/(IL+HL)%</t>
        </is>
      </c>
      <c r="B12" s="119" t="n"/>
      <c r="C12" s="101" t="n">
        <v>43.775</v>
      </c>
      <c r="D12" s="101" t="n">
        <v>26.325</v>
      </c>
      <c r="E12" s="101" t="n">
        <v>26.651</v>
      </c>
      <c r="F12" s="101" t="n">
        <v>30.138</v>
      </c>
      <c r="G12" s="101" t="n">
        <v>29.813</v>
      </c>
      <c r="H12" s="101" t="n">
        <v>25.229</v>
      </c>
      <c r="I12" s="101" t="n">
        <v>53.228</v>
      </c>
      <c r="J12" s="101" t="n">
        <v>62.083</v>
      </c>
      <c r="K12" s="101" t="n">
        <v>21.712</v>
      </c>
      <c r="L12" s="101" t="n">
        <v>26.844</v>
      </c>
      <c r="M12" s="101" t="n">
        <v>48.819</v>
      </c>
      <c r="N12" s="101" t="n">
        <v>55.843</v>
      </c>
      <c r="O12" s="101" t="n">
        <v>25.681</v>
      </c>
      <c r="P12" s="101" t="n">
        <v>26.234</v>
      </c>
      <c r="Q12" s="101" t="n">
        <v>25.588</v>
      </c>
      <c r="R12" s="101" t="n">
        <v>25.695</v>
      </c>
      <c r="S12" s="101" t="n">
        <v>25.821</v>
      </c>
      <c r="T12" s="101" t="n">
        <v>26.099</v>
      </c>
      <c r="U12" s="101" t="n">
        <v>26.025</v>
      </c>
      <c r="V12" s="101" t="n">
        <v>25.635</v>
      </c>
      <c r="W12" s="101" t="n">
        <v>26.178</v>
      </c>
      <c r="X12" s="101" t="n">
        <v>26.379</v>
      </c>
      <c r="Y12" s="101" t="n">
        <v>26.277</v>
      </c>
      <c r="Z12" s="101" t="n">
        <v>25.994</v>
      </c>
      <c r="AA12" s="101" t="n">
        <v>83.01900000000001</v>
      </c>
      <c r="AB12" s="101" t="n">
        <v>68.051</v>
      </c>
      <c r="AC12" s="101" t="n">
        <v>0.498</v>
      </c>
      <c r="AD12" s="101" t="n">
        <v>26.326</v>
      </c>
      <c r="AE12" s="101" t="n">
        <v>56.494</v>
      </c>
      <c r="AF12" s="101" t="n">
        <v>54.017</v>
      </c>
      <c r="AG12" s="101" t="n">
        <v>67.80500000000001</v>
      </c>
      <c r="AH12" s="101" t="n">
        <v>26.388</v>
      </c>
      <c r="AI12" s="101" t="n">
        <v>70.018</v>
      </c>
      <c r="AJ12" s="101" t="n">
        <v>83.087</v>
      </c>
      <c r="AK12" s="101" t="n">
        <v>54.055</v>
      </c>
      <c r="AL12" s="101" t="n">
        <v>72.124</v>
      </c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  <c r="BP12" s="101" t="n"/>
      <c r="BQ12" s="101" t="n"/>
      <c r="BR12" s="101" t="n"/>
      <c r="BS12" s="101" t="n"/>
      <c r="BT12" s="101" t="n"/>
      <c r="BU12" s="101" t="n"/>
      <c r="BV12" s="101" t="n"/>
      <c r="BW12" s="101" t="n"/>
      <c r="BX12" s="101" t="n"/>
      <c r="BY12" s="101" t="n"/>
      <c r="BZ12" s="101" t="n"/>
      <c r="CA12" s="101" t="n"/>
      <c r="CB12" s="101" t="n"/>
      <c r="CC12" s="101" t="n"/>
      <c r="CD12" s="101" t="n"/>
      <c r="CE12" s="101" t="n"/>
      <c r="CF12" s="101" t="n"/>
      <c r="CG12" s="101" t="n"/>
      <c r="CH12" s="101" t="n"/>
      <c r="CI12" s="101" t="n"/>
      <c r="CJ12" s="101" t="n"/>
      <c r="CK12" s="101" t="n"/>
      <c r="CL12" s="101" t="n"/>
      <c r="CM12" s="101" t="n"/>
      <c r="CN12" s="101" t="n"/>
      <c r="CO12" s="101" t="n"/>
      <c r="CP12" s="101" t="n"/>
      <c r="CQ12" s="101" t="n"/>
      <c r="CR12" s="101" t="n"/>
      <c r="CS12" s="101" t="n"/>
      <c r="CT12" s="101" t="n"/>
      <c r="CU12" s="101" t="n"/>
      <c r="CV12" s="101" t="n"/>
      <c r="CW12" s="101" t="n"/>
      <c r="CX12" s="101" t="n"/>
      <c r="CY12" s="101" t="n"/>
      <c r="CZ12" s="101" t="n"/>
      <c r="DA12" s="101" t="n"/>
      <c r="DB12" s="101" t="n"/>
      <c r="DC12" s="101" t="n"/>
      <c r="DD12" s="101" t="n"/>
      <c r="DE12" s="101" t="n"/>
      <c r="DF12" s="101" t="n"/>
      <c r="DG12" s="101" t="n"/>
      <c r="DH12" s="101" t="n"/>
      <c r="DI12" s="101" t="n"/>
      <c r="DJ12" s="101" t="n"/>
      <c r="DK12" s="101" t="n"/>
      <c r="DL12" s="101" t="n"/>
      <c r="DM12" s="101" t="n"/>
      <c r="DN12" s="101" t="n"/>
      <c r="DO12" s="101" t="n"/>
      <c r="DP12" s="101" t="n"/>
      <c r="DQ12" s="101" t="n"/>
      <c r="DR12" s="101" t="n"/>
      <c r="DS12" s="101" t="n"/>
      <c r="DT12" s="101" t="n"/>
      <c r="DU12" s="101" t="n"/>
      <c r="DV12" s="101" t="n"/>
      <c r="DW12" s="101" t="n"/>
      <c r="DX12" s="101" t="n"/>
      <c r="DY12" s="101" t="n"/>
      <c r="DZ12" s="101" t="n"/>
      <c r="EA12" s="101" t="n"/>
      <c r="EB12" s="101" t="n"/>
      <c r="EC12" s="101" t="n"/>
      <c r="ED12" s="101" t="n"/>
      <c r="EE12" s="101" t="n"/>
      <c r="EF12" s="101" t="n"/>
      <c r="EG12" s="101" t="n"/>
      <c r="EH12" s="101" t="n"/>
      <c r="EI12" s="101" t="n"/>
      <c r="EJ12" s="101" t="n"/>
    </row>
    <row r="13" customFormat="1" s="71">
      <c r="A13" s="112" t="inlineStr">
        <is>
          <t>PEG/(Chol+PEG)%</t>
        </is>
      </c>
      <c r="B13" s="120" t="n"/>
      <c r="C13" s="101" t="n">
        <v>3.214</v>
      </c>
      <c r="D13" s="101" t="n">
        <v>6.424</v>
      </c>
      <c r="E13" s="101" t="n">
        <v>25.566</v>
      </c>
      <c r="F13" s="101" t="n">
        <v>3.99</v>
      </c>
      <c r="G13" s="101" t="n">
        <v>4.804</v>
      </c>
      <c r="H13" s="101" t="n">
        <v>6.992</v>
      </c>
      <c r="I13" s="101" t="n">
        <v>4.478</v>
      </c>
      <c r="J13" s="101" t="n">
        <v>4.113</v>
      </c>
      <c r="K13" s="101" t="n">
        <v>1.593</v>
      </c>
      <c r="L13" s="101" t="n">
        <v>6.764</v>
      </c>
      <c r="M13" s="101" t="n">
        <v>3.845</v>
      </c>
      <c r="N13" s="101" t="n">
        <v>2.578</v>
      </c>
      <c r="O13" s="101" t="n">
        <v>0.874</v>
      </c>
      <c r="P13" s="101" t="n">
        <v>0.944</v>
      </c>
      <c r="Q13" s="101" t="n">
        <v>0.9379999999999999</v>
      </c>
      <c r="R13" s="101" t="n">
        <v>0.611</v>
      </c>
      <c r="S13" s="101" t="n">
        <v>0.948</v>
      </c>
      <c r="T13" s="101" t="n">
        <v>0.946</v>
      </c>
      <c r="U13" s="101" t="n">
        <v>0.656</v>
      </c>
      <c r="V13" s="101" t="n">
        <v>0.765</v>
      </c>
      <c r="W13" s="101" t="n">
        <v>0.9419999999999999</v>
      </c>
      <c r="X13" s="101" t="n">
        <v>0.9429999999999999</v>
      </c>
      <c r="Y13" s="101" t="n">
        <v>0.947</v>
      </c>
      <c r="Z13" s="101" t="n">
        <v>0.623</v>
      </c>
      <c r="AA13" s="101" t="n">
        <v>6.379</v>
      </c>
      <c r="AB13" s="101" t="n">
        <v>30.795</v>
      </c>
      <c r="AC13" s="101" t="n">
        <v>11.381</v>
      </c>
      <c r="AD13" s="101" t="n">
        <v>0.642</v>
      </c>
      <c r="AE13" s="101" t="n">
        <v>18.092</v>
      </c>
      <c r="AF13" s="101" t="n">
        <v>9.936</v>
      </c>
      <c r="AG13" s="101" t="n">
        <v>2.964</v>
      </c>
      <c r="AH13" s="101" t="n">
        <v>7.463</v>
      </c>
      <c r="AI13" s="101" t="n">
        <v>24.983</v>
      </c>
      <c r="AJ13" s="101" t="n">
        <v>4.888</v>
      </c>
      <c r="AK13" s="101" t="n">
        <v>4.858</v>
      </c>
      <c r="AL13" s="101" t="n">
        <v>18.398</v>
      </c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  <c r="BP13" s="101" t="n"/>
      <c r="BQ13" s="101" t="n"/>
      <c r="BR13" s="101" t="n"/>
      <c r="BS13" s="101" t="n"/>
      <c r="BT13" s="101" t="n"/>
      <c r="BU13" s="101" t="n"/>
      <c r="BV13" s="101" t="n"/>
      <c r="BW13" s="101" t="n"/>
      <c r="BX13" s="101" t="n"/>
      <c r="BY13" s="101" t="n"/>
      <c r="BZ13" s="101" t="n"/>
      <c r="CA13" s="101" t="n"/>
      <c r="CB13" s="101" t="n"/>
      <c r="CC13" s="101" t="n"/>
      <c r="CD13" s="101" t="n"/>
      <c r="CE13" s="101" t="n"/>
      <c r="CF13" s="101" t="n"/>
      <c r="CG13" s="101" t="n"/>
      <c r="CH13" s="101" t="n"/>
      <c r="CI13" s="101" t="n"/>
      <c r="CJ13" s="101" t="n"/>
      <c r="CK13" s="101" t="n"/>
      <c r="CL13" s="101" t="n"/>
      <c r="CM13" s="101" t="n"/>
      <c r="CN13" s="101" t="n"/>
      <c r="CO13" s="101" t="n"/>
      <c r="CP13" s="101" t="n"/>
      <c r="CQ13" s="101" t="n"/>
      <c r="CR13" s="101" t="n"/>
      <c r="CS13" s="101" t="n"/>
      <c r="CT13" s="101" t="n"/>
      <c r="CU13" s="101" t="n"/>
      <c r="CV13" s="101" t="n"/>
      <c r="CW13" s="101" t="n"/>
      <c r="CX13" s="101" t="n"/>
      <c r="CY13" s="101" t="n"/>
      <c r="CZ13" s="101" t="n"/>
      <c r="DA13" s="101" t="n"/>
      <c r="DB13" s="101" t="n"/>
      <c r="DC13" s="101" t="n"/>
      <c r="DD13" s="101" t="n"/>
      <c r="DE13" s="101" t="n"/>
      <c r="DF13" s="101" t="n"/>
      <c r="DG13" s="101" t="n"/>
      <c r="DH13" s="101" t="n"/>
      <c r="DI13" s="101" t="n"/>
      <c r="DJ13" s="101" t="n"/>
      <c r="DK13" s="101" t="n"/>
      <c r="DL13" s="101" t="n"/>
      <c r="DM13" s="101" t="n"/>
      <c r="DN13" s="101" t="n"/>
      <c r="DO13" s="101" t="n"/>
      <c r="DP13" s="101" t="n"/>
      <c r="DQ13" s="101" t="n"/>
      <c r="DR13" s="101" t="n"/>
      <c r="DS13" s="101" t="n"/>
      <c r="DT13" s="101" t="n"/>
      <c r="DU13" s="101" t="n"/>
      <c r="DV13" s="101" t="n"/>
      <c r="DW13" s="101" t="n"/>
      <c r="DX13" s="101" t="n"/>
      <c r="DY13" s="101" t="n"/>
      <c r="DZ13" s="101" t="n"/>
      <c r="EA13" s="101" t="n"/>
      <c r="EB13" s="101" t="n"/>
      <c r="EC13" s="101" t="n"/>
      <c r="ED13" s="101" t="n"/>
      <c r="EE13" s="101" t="n"/>
      <c r="EF13" s="101" t="n"/>
      <c r="EG13" s="101" t="n"/>
      <c r="EH13" s="101" t="n"/>
      <c r="EI13" s="101" t="n"/>
      <c r="EJ13" s="101" t="n"/>
    </row>
    <row r="14" customFormat="1" s="71">
      <c r="A14" s="113" t="inlineStr">
        <is>
          <t>Final NP Nucleic Acid Conc</t>
        </is>
      </c>
      <c r="B14" s="102" t="inlineStr">
        <is>
          <t>ug/mL</t>
        </is>
      </c>
      <c r="C14" s="102" t="n">
        <v>50</v>
      </c>
      <c r="D14" s="102" t="n">
        <v>50</v>
      </c>
      <c r="E14" s="102" t="n">
        <v>50</v>
      </c>
      <c r="F14" s="102" t="n">
        <v>50</v>
      </c>
      <c r="G14" s="102" t="n">
        <v>50</v>
      </c>
      <c r="H14" s="102" t="n">
        <v>50</v>
      </c>
      <c r="I14" s="102" t="n">
        <v>50</v>
      </c>
      <c r="J14" s="102" t="n">
        <v>50</v>
      </c>
      <c r="K14" s="102" t="n">
        <v>50</v>
      </c>
      <c r="L14" s="102" t="n">
        <v>50</v>
      </c>
      <c r="M14" s="102" t="n">
        <v>50</v>
      </c>
      <c r="N14" s="102" t="n">
        <v>50</v>
      </c>
      <c r="O14" s="102" t="n">
        <v>50</v>
      </c>
      <c r="P14" s="102" t="n">
        <v>50</v>
      </c>
      <c r="Q14" s="102" t="n">
        <v>50</v>
      </c>
      <c r="R14" s="102" t="n">
        <v>50</v>
      </c>
      <c r="S14" s="102" t="n">
        <v>50</v>
      </c>
      <c r="T14" s="102" t="n">
        <v>50</v>
      </c>
      <c r="U14" s="102" t="n">
        <v>50</v>
      </c>
      <c r="V14" s="102" t="n">
        <v>50</v>
      </c>
      <c r="W14" s="102" t="n">
        <v>50</v>
      </c>
      <c r="X14" s="102" t="n">
        <v>50</v>
      </c>
      <c r="Y14" s="102" t="n">
        <v>50</v>
      </c>
      <c r="Z14" s="102" t="n">
        <v>50</v>
      </c>
      <c r="AA14" s="102" t="n">
        <v>50</v>
      </c>
      <c r="AB14" s="102" t="n">
        <v>50</v>
      </c>
      <c r="AC14" s="102" t="n">
        <v>50</v>
      </c>
      <c r="AD14" s="102" t="n">
        <v>50</v>
      </c>
      <c r="AE14" s="102" t="n">
        <v>50</v>
      </c>
      <c r="AF14" s="102" t="n">
        <v>50</v>
      </c>
      <c r="AG14" s="102" t="n">
        <v>50</v>
      </c>
      <c r="AH14" s="102" t="n">
        <v>50</v>
      </c>
      <c r="AI14" s="102" t="n">
        <v>50</v>
      </c>
      <c r="AJ14" s="102" t="n">
        <v>50</v>
      </c>
      <c r="AK14" s="102" t="n">
        <v>50</v>
      </c>
      <c r="AL14" s="102" t="n">
        <v>50</v>
      </c>
      <c r="AM14" s="102" t="n">
        <v>50</v>
      </c>
      <c r="AN14" s="102" t="n">
        <v>50</v>
      </c>
      <c r="AO14" s="102" t="n">
        <v>50</v>
      </c>
      <c r="AP14" s="102" t="n">
        <v>50</v>
      </c>
      <c r="AQ14" s="102" t="n">
        <v>50</v>
      </c>
      <c r="AR14" s="102" t="n">
        <v>50</v>
      </c>
      <c r="AS14" s="102" t="n">
        <v>50</v>
      </c>
      <c r="AT14" s="102" t="n">
        <v>50</v>
      </c>
      <c r="AU14" s="102" t="n">
        <v>50</v>
      </c>
      <c r="AV14" s="102" t="n">
        <v>50</v>
      </c>
      <c r="AW14" s="102" t="n">
        <v>50</v>
      </c>
      <c r="AX14" s="102" t="n">
        <v>50</v>
      </c>
      <c r="AY14" s="102" t="n">
        <v>50</v>
      </c>
      <c r="AZ14" s="102" t="n">
        <v>50</v>
      </c>
      <c r="BA14" s="102" t="n">
        <v>50</v>
      </c>
      <c r="BB14" s="102" t="n">
        <v>50</v>
      </c>
      <c r="BC14" s="102" t="n">
        <v>50</v>
      </c>
      <c r="BD14" s="102" t="n">
        <v>50</v>
      </c>
      <c r="BE14" s="102" t="n">
        <v>50</v>
      </c>
      <c r="BF14" s="102" t="n">
        <v>50</v>
      </c>
      <c r="BG14" s="102" t="n">
        <v>50</v>
      </c>
      <c r="BH14" s="102" t="n">
        <v>50</v>
      </c>
      <c r="BI14" s="102" t="n">
        <v>50</v>
      </c>
      <c r="BJ14" s="102" t="n">
        <v>50</v>
      </c>
      <c r="BK14" s="102" t="n">
        <v>50</v>
      </c>
      <c r="BL14" s="102" t="n">
        <v>50</v>
      </c>
      <c r="BM14" s="102" t="n">
        <v>50</v>
      </c>
      <c r="BN14" s="102" t="n">
        <v>50</v>
      </c>
      <c r="BO14" s="102" t="n">
        <v>50</v>
      </c>
      <c r="BP14" s="102" t="n">
        <v>50</v>
      </c>
      <c r="BQ14" s="102" t="n">
        <v>50</v>
      </c>
      <c r="BR14" s="102" t="n">
        <v>50</v>
      </c>
      <c r="BS14" s="102" t="n">
        <v>50</v>
      </c>
      <c r="BT14" s="102" t="n">
        <v>50</v>
      </c>
      <c r="BU14" s="102" t="n">
        <v>50</v>
      </c>
      <c r="BV14" s="102" t="n">
        <v>50</v>
      </c>
      <c r="BW14" s="102" t="n">
        <v>50</v>
      </c>
      <c r="BX14" s="102" t="n">
        <v>50</v>
      </c>
      <c r="BY14" s="102" t="n">
        <v>50</v>
      </c>
      <c r="BZ14" s="102" t="n">
        <v>50</v>
      </c>
      <c r="CA14" s="102" t="n">
        <v>50</v>
      </c>
      <c r="CB14" s="102" t="n">
        <v>50</v>
      </c>
      <c r="CC14" s="102" t="n">
        <v>50</v>
      </c>
      <c r="CD14" s="102" t="n">
        <v>50</v>
      </c>
      <c r="CE14" s="102" t="n">
        <v>50</v>
      </c>
      <c r="CF14" s="102" t="n">
        <v>50</v>
      </c>
      <c r="CG14" s="102" t="n">
        <v>50</v>
      </c>
      <c r="CH14" s="102" t="n">
        <v>50</v>
      </c>
      <c r="CI14" s="102" t="n">
        <v>50</v>
      </c>
      <c r="CJ14" s="102" t="n">
        <v>50</v>
      </c>
      <c r="CK14" s="102" t="n">
        <v>50</v>
      </c>
      <c r="CL14" s="102" t="n">
        <v>50</v>
      </c>
      <c r="CM14" s="102" t="n">
        <v>50</v>
      </c>
      <c r="CN14" s="102" t="n">
        <v>50</v>
      </c>
      <c r="CO14" s="102" t="n">
        <v>50</v>
      </c>
      <c r="CP14" s="102" t="n">
        <v>50</v>
      </c>
      <c r="CQ14" s="102" t="n">
        <v>50</v>
      </c>
      <c r="CR14" s="102" t="n">
        <v>50</v>
      </c>
      <c r="CS14" s="102" t="n">
        <v>50</v>
      </c>
      <c r="CT14" s="102" t="n">
        <v>50</v>
      </c>
      <c r="CU14" s="102" t="n">
        <v>50</v>
      </c>
      <c r="CV14" s="102" t="n">
        <v>50</v>
      </c>
      <c r="CW14" s="102" t="n">
        <v>50</v>
      </c>
      <c r="CX14" s="102" t="n">
        <v>50</v>
      </c>
      <c r="CY14" s="102" t="n">
        <v>50</v>
      </c>
      <c r="CZ14" s="102" t="n">
        <v>50</v>
      </c>
      <c r="DA14" s="102" t="n">
        <v>50</v>
      </c>
      <c r="DB14" s="102" t="n">
        <v>50</v>
      </c>
      <c r="DC14" s="102" t="n">
        <v>50</v>
      </c>
      <c r="DD14" s="102" t="n">
        <v>50</v>
      </c>
      <c r="DE14" s="102" t="n">
        <v>50</v>
      </c>
      <c r="DF14" s="102" t="n">
        <v>50</v>
      </c>
      <c r="DG14" s="102" t="n">
        <v>50</v>
      </c>
      <c r="DH14" s="102" t="n">
        <v>50</v>
      </c>
      <c r="DI14" s="102" t="n">
        <v>50</v>
      </c>
      <c r="DJ14" s="102" t="n">
        <v>50</v>
      </c>
      <c r="DK14" s="102" t="n">
        <v>50</v>
      </c>
      <c r="DL14" s="102" t="n">
        <v>50</v>
      </c>
      <c r="DM14" s="102" t="n">
        <v>50</v>
      </c>
      <c r="DN14" s="102" t="n">
        <v>50</v>
      </c>
      <c r="DO14" s="102" t="n">
        <v>50</v>
      </c>
      <c r="DP14" s="102" t="n">
        <v>50</v>
      </c>
      <c r="DQ14" s="102" t="n">
        <v>50</v>
      </c>
      <c r="DR14" s="102" t="n">
        <v>50</v>
      </c>
      <c r="DS14" s="102" t="n">
        <v>50</v>
      </c>
      <c r="DT14" s="102" t="n">
        <v>50</v>
      </c>
      <c r="DU14" s="102" t="n">
        <v>50</v>
      </c>
      <c r="DV14" s="102" t="n">
        <v>50</v>
      </c>
      <c r="DW14" s="102" t="n">
        <v>50</v>
      </c>
      <c r="DX14" s="102" t="n">
        <v>50</v>
      </c>
      <c r="DY14" s="102" t="n">
        <v>50</v>
      </c>
      <c r="DZ14" s="102" t="n">
        <v>50</v>
      </c>
      <c r="EA14" s="102" t="n">
        <v>50</v>
      </c>
      <c r="EB14" s="102" t="n">
        <v>50</v>
      </c>
      <c r="EC14" s="102" t="n">
        <v>50</v>
      </c>
      <c r="ED14" s="102" t="n">
        <v>50</v>
      </c>
      <c r="EE14" s="102" t="n">
        <v>50</v>
      </c>
      <c r="EF14" s="102" t="n">
        <v>50</v>
      </c>
      <c r="EG14" s="102" t="n">
        <v>50</v>
      </c>
      <c r="EH14" s="102" t="n">
        <v>50</v>
      </c>
      <c r="EI14" s="102" t="n">
        <v>50</v>
      </c>
      <c r="EJ14" s="102" t="n">
        <v>50</v>
      </c>
    </row>
    <row r="15" ht="16" customFormat="1" customHeight="1" s="8" thickBot="1">
      <c r="A15" s="114" t="inlineStr">
        <is>
          <t>Total NP Volume</t>
        </is>
      </c>
      <c r="B15" s="103" t="inlineStr">
        <is>
          <t>ul</t>
        </is>
      </c>
      <c r="C15" s="103" t="n">
        <v>100</v>
      </c>
      <c r="D15" s="103" t="n">
        <v>100</v>
      </c>
      <c r="E15" s="103" t="n">
        <v>100</v>
      </c>
      <c r="F15" s="103" t="n">
        <v>100</v>
      </c>
      <c r="G15" s="103" t="n">
        <v>100</v>
      </c>
      <c r="H15" s="103" t="n">
        <v>100</v>
      </c>
      <c r="I15" s="103" t="n">
        <v>100</v>
      </c>
      <c r="J15" s="103" t="n">
        <v>100</v>
      </c>
      <c r="K15" s="103" t="n">
        <v>100</v>
      </c>
      <c r="L15" s="103" t="n">
        <v>100</v>
      </c>
      <c r="M15" s="103" t="n">
        <v>100</v>
      </c>
      <c r="N15" s="103" t="n">
        <v>100</v>
      </c>
      <c r="O15" s="103" t="n">
        <v>100</v>
      </c>
      <c r="P15" s="103" t="n">
        <v>100</v>
      </c>
      <c r="Q15" s="103" t="n">
        <v>100</v>
      </c>
      <c r="R15" s="103" t="n">
        <v>100</v>
      </c>
      <c r="S15" s="103" t="n">
        <v>100</v>
      </c>
      <c r="T15" s="103" t="n">
        <v>100</v>
      </c>
      <c r="U15" s="103" t="n">
        <v>100</v>
      </c>
      <c r="V15" s="103" t="n">
        <v>100</v>
      </c>
      <c r="W15" s="103" t="n">
        <v>100</v>
      </c>
      <c r="X15" s="103" t="n">
        <v>100</v>
      </c>
      <c r="Y15" s="103" t="n">
        <v>100</v>
      </c>
      <c r="Z15" s="103" t="n">
        <v>100</v>
      </c>
      <c r="AA15" s="103" t="n">
        <v>100</v>
      </c>
      <c r="AB15" s="103" t="n">
        <v>100</v>
      </c>
      <c r="AC15" s="103" t="n">
        <v>100</v>
      </c>
      <c r="AD15" s="103" t="n">
        <v>100</v>
      </c>
      <c r="AE15" s="103" t="n">
        <v>100</v>
      </c>
      <c r="AF15" s="103" t="n">
        <v>100</v>
      </c>
      <c r="AG15" s="103" t="n">
        <v>100</v>
      </c>
      <c r="AH15" s="103" t="n">
        <v>100</v>
      </c>
      <c r="AI15" s="103" t="n">
        <v>100</v>
      </c>
      <c r="AJ15" s="103" t="n">
        <v>100</v>
      </c>
      <c r="AK15" s="103" t="n">
        <v>100</v>
      </c>
      <c r="AL15" s="103" t="n">
        <v>100</v>
      </c>
      <c r="AM15" s="103" t="n">
        <v>100</v>
      </c>
      <c r="AN15" s="103" t="n">
        <v>100</v>
      </c>
      <c r="AO15" s="103" t="n">
        <v>100</v>
      </c>
      <c r="AP15" s="103" t="n">
        <v>100</v>
      </c>
      <c r="AQ15" s="103" t="n">
        <v>100</v>
      </c>
      <c r="AR15" s="103" t="n">
        <v>100</v>
      </c>
      <c r="AS15" s="103" t="n">
        <v>100</v>
      </c>
      <c r="AT15" s="103" t="n">
        <v>100</v>
      </c>
      <c r="AU15" s="103" t="n">
        <v>100</v>
      </c>
      <c r="AV15" s="103" t="n">
        <v>100</v>
      </c>
      <c r="AW15" s="103" t="n">
        <v>100</v>
      </c>
      <c r="AX15" s="103" t="n">
        <v>100</v>
      </c>
      <c r="AY15" s="103" t="n">
        <v>100</v>
      </c>
      <c r="AZ15" s="103" t="n">
        <v>100</v>
      </c>
      <c r="BA15" s="103" t="n">
        <v>100</v>
      </c>
      <c r="BB15" s="103" t="n">
        <v>100</v>
      </c>
      <c r="BC15" s="103" t="n">
        <v>100</v>
      </c>
      <c r="BD15" s="103" t="n">
        <v>100</v>
      </c>
      <c r="BE15" s="103" t="n">
        <v>100</v>
      </c>
      <c r="BF15" s="103" t="n">
        <v>100</v>
      </c>
      <c r="BG15" s="103" t="n">
        <v>100</v>
      </c>
      <c r="BH15" s="103" t="n">
        <v>100</v>
      </c>
      <c r="BI15" s="103" t="n">
        <v>100</v>
      </c>
      <c r="BJ15" s="103" t="n">
        <v>100</v>
      </c>
      <c r="BK15" s="103" t="n">
        <v>100</v>
      </c>
      <c r="BL15" s="103" t="n">
        <v>100</v>
      </c>
      <c r="BM15" s="103" t="n">
        <v>100</v>
      </c>
      <c r="BN15" s="103" t="n">
        <v>100</v>
      </c>
      <c r="BO15" s="103" t="n">
        <v>100</v>
      </c>
      <c r="BP15" s="103" t="n">
        <v>100</v>
      </c>
      <c r="BQ15" s="103" t="n">
        <v>100</v>
      </c>
      <c r="BR15" s="103" t="n">
        <v>100</v>
      </c>
      <c r="BS15" s="103" t="n">
        <v>100</v>
      </c>
      <c r="BT15" s="103" t="n">
        <v>100</v>
      </c>
      <c r="BU15" s="103" t="n">
        <v>100</v>
      </c>
      <c r="BV15" s="103" t="n">
        <v>100</v>
      </c>
      <c r="BW15" s="103" t="n">
        <v>100</v>
      </c>
      <c r="BX15" s="103" t="n">
        <v>100</v>
      </c>
      <c r="BY15" s="103" t="n">
        <v>100</v>
      </c>
      <c r="BZ15" s="103" t="n">
        <v>100</v>
      </c>
      <c r="CA15" s="103" t="n">
        <v>100</v>
      </c>
      <c r="CB15" s="103" t="n">
        <v>100</v>
      </c>
      <c r="CC15" s="103" t="n">
        <v>100</v>
      </c>
      <c r="CD15" s="103" t="n">
        <v>100</v>
      </c>
      <c r="CE15" s="103" t="n">
        <v>100</v>
      </c>
      <c r="CF15" s="103" t="n">
        <v>100</v>
      </c>
      <c r="CG15" s="103" t="n">
        <v>100</v>
      </c>
      <c r="CH15" s="103" t="n">
        <v>100</v>
      </c>
      <c r="CI15" s="103" t="n">
        <v>100</v>
      </c>
      <c r="CJ15" s="103" t="n">
        <v>100</v>
      </c>
      <c r="CK15" s="103" t="n">
        <v>100</v>
      </c>
      <c r="CL15" s="103" t="n">
        <v>100</v>
      </c>
      <c r="CM15" s="103" t="n">
        <v>100</v>
      </c>
      <c r="CN15" s="103" t="n">
        <v>100</v>
      </c>
      <c r="CO15" s="103" t="n">
        <v>100</v>
      </c>
      <c r="CP15" s="103" t="n">
        <v>100</v>
      </c>
      <c r="CQ15" s="103" t="n">
        <v>100</v>
      </c>
      <c r="CR15" s="103" t="n">
        <v>100</v>
      </c>
      <c r="CS15" s="103" t="n">
        <v>100</v>
      </c>
      <c r="CT15" s="103" t="n">
        <v>100</v>
      </c>
      <c r="CU15" s="103" t="n">
        <v>100</v>
      </c>
      <c r="CV15" s="103" t="n">
        <v>100</v>
      </c>
      <c r="CW15" s="103" t="n">
        <v>100</v>
      </c>
      <c r="CX15" s="103" t="n">
        <v>100</v>
      </c>
      <c r="CY15" s="103" t="n">
        <v>100</v>
      </c>
      <c r="CZ15" s="103" t="n">
        <v>100</v>
      </c>
      <c r="DA15" s="103" t="n">
        <v>100</v>
      </c>
      <c r="DB15" s="103" t="n">
        <v>100</v>
      </c>
      <c r="DC15" s="103" t="n">
        <v>100</v>
      </c>
      <c r="DD15" s="103" t="n">
        <v>100</v>
      </c>
      <c r="DE15" s="103" t="n">
        <v>100</v>
      </c>
      <c r="DF15" s="103" t="n">
        <v>100</v>
      </c>
      <c r="DG15" s="103" t="n">
        <v>100</v>
      </c>
      <c r="DH15" s="103" t="n">
        <v>100</v>
      </c>
      <c r="DI15" s="103" t="n">
        <v>100</v>
      </c>
      <c r="DJ15" s="103" t="n">
        <v>100</v>
      </c>
      <c r="DK15" s="103" t="n">
        <v>100</v>
      </c>
      <c r="DL15" s="103" t="n">
        <v>100</v>
      </c>
      <c r="DM15" s="103" t="n">
        <v>100</v>
      </c>
      <c r="DN15" s="103" t="n">
        <v>100</v>
      </c>
      <c r="DO15" s="103" t="n">
        <v>100</v>
      </c>
      <c r="DP15" s="103" t="n">
        <v>100</v>
      </c>
      <c r="DQ15" s="103" t="n">
        <v>100</v>
      </c>
      <c r="DR15" s="103" t="n">
        <v>100</v>
      </c>
      <c r="DS15" s="103" t="n">
        <v>100</v>
      </c>
      <c r="DT15" s="103" t="n">
        <v>100</v>
      </c>
      <c r="DU15" s="103" t="n">
        <v>100</v>
      </c>
      <c r="DV15" s="103" t="n">
        <v>100</v>
      </c>
      <c r="DW15" s="103" t="n">
        <v>100</v>
      </c>
      <c r="DX15" s="103" t="n">
        <v>100</v>
      </c>
      <c r="DY15" s="103" t="n">
        <v>100</v>
      </c>
      <c r="DZ15" s="103" t="n">
        <v>100</v>
      </c>
      <c r="EA15" s="103" t="n">
        <v>100</v>
      </c>
      <c r="EB15" s="103" t="n">
        <v>100</v>
      </c>
      <c r="EC15" s="103" t="n">
        <v>100</v>
      </c>
      <c r="ED15" s="103" t="n">
        <v>100</v>
      </c>
      <c r="EE15" s="103" t="n">
        <v>100</v>
      </c>
      <c r="EF15" s="103" t="n">
        <v>100</v>
      </c>
      <c r="EG15" s="103" t="n">
        <v>100</v>
      </c>
      <c r="EH15" s="103" t="n">
        <v>100</v>
      </c>
      <c r="EI15" s="103" t="n">
        <v>100</v>
      </c>
      <c r="EJ15" s="103" t="n">
        <v>100</v>
      </c>
    </row>
    <row r="16">
      <c r="G16" s="55" t="n"/>
      <c r="H16" s="55" t="n"/>
      <c r="J16" s="55" t="n"/>
      <c r="K16" s="55" t="n"/>
      <c r="M16" s="55" t="n"/>
      <c r="N16" s="55" t="n"/>
      <c r="P16" s="55" t="n"/>
      <c r="Q16" s="55" t="n"/>
      <c r="S16" s="55" t="n"/>
      <c r="T16" s="55" t="n"/>
      <c r="V16" s="55" t="n"/>
      <c r="W16" s="55" t="n"/>
      <c r="Y16" s="55" t="n"/>
      <c r="Z16" s="55" t="n"/>
      <c r="AA16" s="55" t="n"/>
      <c r="AC16" s="55" t="n"/>
      <c r="AD16" s="55" t="n"/>
      <c r="AF16" s="55" t="n"/>
      <c r="AG16" s="55" t="n"/>
      <c r="AI16" s="55" t="n"/>
      <c r="AJ16" s="55" t="n"/>
      <c r="AL16" s="55" t="n"/>
      <c r="AM16" s="55" t="n"/>
      <c r="AO16" s="55" t="n"/>
      <c r="AP16" s="55" t="n"/>
      <c r="AR16" s="55" t="n"/>
      <c r="AS16" s="55" t="n"/>
      <c r="AT16" s="55" t="n"/>
      <c r="AV16" s="55" t="n"/>
      <c r="AW16" s="55" t="n"/>
      <c r="AY16" s="55" t="n"/>
      <c r="AZ16" s="55" t="n"/>
      <c r="BB16" s="55" t="n"/>
      <c r="BC16" s="55" t="n"/>
      <c r="BE16" s="55" t="n"/>
      <c r="BF16" s="55" t="n"/>
      <c r="BH16" s="55" t="n"/>
      <c r="BI16" s="55" t="n"/>
      <c r="BK16" s="55" t="n"/>
      <c r="BL16" s="55" t="n"/>
      <c r="BM16" s="55" t="n"/>
      <c r="BO16" s="55" t="n"/>
      <c r="BP16" s="55" t="n"/>
      <c r="BR16" s="55" t="n"/>
      <c r="BS16" s="55" t="n"/>
      <c r="BU16" s="55" t="n"/>
      <c r="BV16" s="55" t="n"/>
      <c r="BX16" s="55" t="n"/>
      <c r="BY16" s="55" t="n"/>
      <c r="CA16" s="55" t="n"/>
      <c r="CB16" s="55" t="n"/>
      <c r="CD16" s="55" t="n"/>
      <c r="CE16" s="55" t="n"/>
      <c r="CF16" s="55" t="n"/>
      <c r="CH16" s="55" t="n"/>
      <c r="CI16" s="55" t="n"/>
      <c r="CK16" s="55" t="n"/>
      <c r="CL16" s="55" t="n"/>
      <c r="CN16" s="55" t="n"/>
      <c r="CO16" s="55" t="n"/>
      <c r="CQ16" s="55" t="n"/>
      <c r="CR16" s="55" t="n"/>
      <c r="CT16" s="55" t="n"/>
      <c r="CU16" s="55" t="n"/>
      <c r="CW16" s="55" t="n"/>
      <c r="CX16" s="55" t="n"/>
      <c r="CY16" s="55" t="n"/>
      <c r="DA16" s="55" t="n"/>
      <c r="DB16" s="55" t="n"/>
      <c r="DD16" s="55" t="n"/>
      <c r="DE16" s="55" t="n"/>
      <c r="DG16" s="55" t="n"/>
      <c r="DH16" s="55" t="n"/>
      <c r="DJ16" s="55" t="n"/>
      <c r="DK16" s="55" t="n"/>
      <c r="DM16" s="55" t="n"/>
      <c r="DN16" s="55" t="n"/>
      <c r="DP16" s="55" t="n"/>
      <c r="DQ16" s="55" t="n"/>
      <c r="DR16" s="55" t="n"/>
      <c r="DT16" s="55" t="n"/>
      <c r="DU16" s="55" t="n"/>
      <c r="DW16" s="55" t="n"/>
      <c r="DX16" s="55" t="n"/>
      <c r="DZ16" s="55" t="n"/>
      <c r="EA16" s="55" t="n"/>
      <c r="EC16" s="55" t="n"/>
      <c r="ED16" s="55" t="n"/>
      <c r="EF16" s="55" t="n"/>
      <c r="EG16" s="55" t="n"/>
      <c r="EI16" s="55" t="n"/>
      <c r="EJ16" s="55" t="n"/>
    </row>
    <row r="17">
      <c r="G17" s="55" t="n"/>
      <c r="H17" s="55" t="n"/>
      <c r="J17" s="55" t="n"/>
      <c r="K17" s="55" t="n"/>
      <c r="M17" s="55" t="n"/>
      <c r="N17" s="55" t="n"/>
      <c r="P17" s="55" t="n"/>
      <c r="Q17" s="55" t="n"/>
      <c r="S17" s="55" t="n"/>
      <c r="T17" s="55" t="n"/>
      <c r="V17" s="55" t="n"/>
      <c r="W17" s="55" t="n"/>
      <c r="Y17" s="55" t="n"/>
      <c r="Z17" s="55" t="n"/>
      <c r="AA17" s="55" t="n"/>
      <c r="AC17" s="55" t="n"/>
      <c r="AD17" s="55" t="n"/>
      <c r="AF17" s="55" t="n"/>
      <c r="AG17" s="55" t="n"/>
      <c r="AI17" s="55" t="n"/>
      <c r="AJ17" s="55" t="n"/>
      <c r="AL17" s="55" t="n"/>
      <c r="AM17" s="55" t="n"/>
      <c r="AO17" s="55" t="n"/>
      <c r="AP17" s="55" t="n"/>
      <c r="AR17" s="55" t="n"/>
      <c r="AS17" s="55" t="n"/>
      <c r="AT17" s="55" t="n"/>
      <c r="AV17" s="55" t="n"/>
      <c r="AW17" s="55" t="n"/>
      <c r="AY17" s="55" t="n"/>
      <c r="AZ17" s="55" t="n"/>
      <c r="BB17" s="55" t="n"/>
      <c r="BC17" s="55" t="n"/>
      <c r="BE17" s="55" t="n"/>
      <c r="BF17" s="55" t="n"/>
      <c r="BH17" s="55" t="n"/>
      <c r="BI17" s="55" t="n"/>
      <c r="BK17" s="55" t="n"/>
      <c r="BL17" s="55" t="n"/>
      <c r="BM17" s="55" t="n"/>
      <c r="BO17" s="55" t="n"/>
      <c r="BP17" s="55" t="n"/>
      <c r="BR17" s="55" t="n"/>
      <c r="BS17" s="55" t="n"/>
      <c r="BU17" s="55" t="n"/>
      <c r="BV17" s="55" t="n"/>
      <c r="BX17" s="55" t="n"/>
      <c r="BY17" s="55" t="n"/>
      <c r="CA17" s="55" t="n"/>
      <c r="CB17" s="55" t="n"/>
      <c r="CD17" s="55" t="n"/>
      <c r="CE17" s="55" t="n"/>
      <c r="CF17" s="55" t="n"/>
      <c r="CH17" s="55" t="n"/>
      <c r="CI17" s="55" t="n"/>
      <c r="CK17" s="55" t="n"/>
      <c r="CL17" s="55" t="n"/>
      <c r="CN17" s="55" t="n"/>
      <c r="CO17" s="55" t="n"/>
      <c r="CQ17" s="55" t="n"/>
      <c r="CR17" s="55" t="n"/>
      <c r="CT17" s="55" t="n"/>
      <c r="CU17" s="55" t="n"/>
      <c r="CW17" s="55" t="n"/>
      <c r="CX17" s="55" t="n"/>
      <c r="CY17" s="55" t="n"/>
      <c r="DA17" s="55" t="n"/>
      <c r="DB17" s="55" t="n"/>
      <c r="DD17" s="55" t="n"/>
      <c r="DE17" s="55" t="n"/>
      <c r="DG17" s="55" t="n"/>
      <c r="DH17" s="55" t="n"/>
      <c r="DJ17" s="55" t="n"/>
      <c r="DK17" s="55" t="n"/>
      <c r="DM17" s="55" t="n"/>
      <c r="DN17" s="55" t="n"/>
      <c r="DP17" s="55" t="n"/>
      <c r="DQ17" s="55" t="n"/>
      <c r="DR17" s="55" t="n"/>
      <c r="DT17" s="55" t="n"/>
      <c r="DU17" s="55" t="n"/>
      <c r="DW17" s="55" t="n"/>
      <c r="DX17" s="55" t="n"/>
      <c r="DZ17" s="55" t="n"/>
      <c r="EA17" s="55" t="n"/>
      <c r="EC17" s="55" t="n"/>
      <c r="ED17" s="55" t="n"/>
      <c r="EF17" s="55" t="n"/>
      <c r="EG17" s="55" t="n"/>
      <c r="EI17" s="55" t="n"/>
      <c r="EJ17" s="55" t="n"/>
    </row>
    <row r="18">
      <c r="A18" s="11" t="inlineStr">
        <is>
          <t>IL:HL ratio</t>
        </is>
      </c>
      <c r="C18" s="75">
        <f>(1-(C12/100))/(C12/100)</f>
        <v/>
      </c>
      <c r="D18" s="55">
        <f>(1-(D12/100))/(D12/100)</f>
        <v/>
      </c>
      <c r="E18" s="13">
        <f>(1-(E12/100))/(E12/100)</f>
        <v/>
      </c>
      <c r="F18" s="12">
        <f>(1-(F12/100))/(F12/100)</f>
        <v/>
      </c>
      <c r="G18" s="55">
        <f>(1-(G12/100))/(G12/100)</f>
        <v/>
      </c>
      <c r="H18" s="55">
        <f>(1-(H12/100))/(H12/100)</f>
        <v/>
      </c>
      <c r="I18" s="12">
        <f>(1-(I12/100))/(I12/100)</f>
        <v/>
      </c>
      <c r="J18" s="55">
        <f>(1-(J12/100))/(J12/100)</f>
        <v/>
      </c>
      <c r="K18" s="55">
        <f>(1-(K12/100))/(K12/100)</f>
        <v/>
      </c>
      <c r="L18" s="12">
        <f>(1-(L12/100))/(L12/100)</f>
        <v/>
      </c>
      <c r="M18" s="55">
        <f>(1-(M12/100))/(M12/100)</f>
        <v/>
      </c>
      <c r="N18" s="55">
        <f>(1-(N12/100))/(N12/100)</f>
        <v/>
      </c>
      <c r="O18" s="12">
        <f>(1-(O12/100))/(O12/100)</f>
        <v/>
      </c>
      <c r="P18" s="55">
        <f>(1-(P12/100))/(P12/100)</f>
        <v/>
      </c>
      <c r="Q18" s="55">
        <f>(1-(Q12/100))/(Q12/100)</f>
        <v/>
      </c>
      <c r="R18" s="12">
        <f>(1-(R12/100))/(R12/100)</f>
        <v/>
      </c>
      <c r="S18" s="55">
        <f>(1-(S12/100))/(S12/100)</f>
        <v/>
      </c>
      <c r="T18" s="55">
        <f>(1-(T12/100))/(T12/100)</f>
        <v/>
      </c>
      <c r="U18" s="12">
        <f>(1-(U12/100))/(U12/100)</f>
        <v/>
      </c>
      <c r="V18" s="55">
        <f>(1-(V12/100))/(V12/100)</f>
        <v/>
      </c>
      <c r="W18" s="55">
        <f>(1-(W12/100))/(W12/100)</f>
        <v/>
      </c>
      <c r="X18" s="12">
        <f>(1-(X12/100))/(X12/100)</f>
        <v/>
      </c>
      <c r="Y18" s="55">
        <f>(1-(Y12/100))/(Y12/100)</f>
        <v/>
      </c>
      <c r="Z18" s="55">
        <f>(1-(Z12/100))/(Z12/100)</f>
        <v/>
      </c>
      <c r="AA18" s="55">
        <f>(1-(AA12/100))/(AA12/100)</f>
        <v/>
      </c>
      <c r="AB18" s="12">
        <f>(1-(AB12/100))/(AB12/100)</f>
        <v/>
      </c>
      <c r="AC18" s="55">
        <f>(1-(AC12/100))/(AC12/100)</f>
        <v/>
      </c>
      <c r="AD18" s="55">
        <f>(1-(AD12/100))/(AD12/100)</f>
        <v/>
      </c>
      <c r="AE18" s="12">
        <f>(1-(AE12/100))/(AE12/100)</f>
        <v/>
      </c>
      <c r="AF18" s="55">
        <f>(1-(AF12/100))/(AF12/100)</f>
        <v/>
      </c>
      <c r="AG18" s="55">
        <f>(1-(AG12/100))/(AG12/100)</f>
        <v/>
      </c>
      <c r="AH18" s="12">
        <f>(1-(AH12/100))/(AH12/100)</f>
        <v/>
      </c>
      <c r="AI18" s="55">
        <f>(1-(AI12/100))/(AI12/100)</f>
        <v/>
      </c>
      <c r="AJ18" s="55">
        <f>(1-(AJ12/100))/(AJ12/100)</f>
        <v/>
      </c>
      <c r="AK18" s="12">
        <f>(1-(AK12/100))/(AK12/100)</f>
        <v/>
      </c>
      <c r="AL18" s="55">
        <f>(1-(AL12/100))/(AL12/100)</f>
        <v/>
      </c>
      <c r="AM18" s="55">
        <f>(1-(AM12/100))/(AM12/100)</f>
        <v/>
      </c>
      <c r="AN18" s="12">
        <f>(1-(AN12/100))/(AN12/100)</f>
        <v/>
      </c>
      <c r="AO18" s="55">
        <f>(1-(AO12/100))/(AO12/100)</f>
        <v/>
      </c>
      <c r="AP18" s="55">
        <f>(1-(AP12/100))/(AP12/100)</f>
        <v/>
      </c>
      <c r="AQ18" s="12">
        <f>(1-(AQ12/100))/(AQ12/100)</f>
        <v/>
      </c>
      <c r="AR18" s="55">
        <f>(1-(AR12/100))/(AR12/100)</f>
        <v/>
      </c>
      <c r="AS18" s="55">
        <f>(1-(AS12/100))/(AS12/100)</f>
        <v/>
      </c>
      <c r="AT18" s="55">
        <f>(1-(AT12/100))/(AT12/100)</f>
        <v/>
      </c>
      <c r="AU18" s="12">
        <f>(1-(AU12/100))/(AU12/100)</f>
        <v/>
      </c>
      <c r="AV18" s="55">
        <f>(1-(AV12/100))/(AV12/100)</f>
        <v/>
      </c>
      <c r="AW18" s="55">
        <f>(1-(AW12/100))/(AW12/100)</f>
        <v/>
      </c>
      <c r="AX18" s="12">
        <f>(1-(AX12/100))/(AX12/100)</f>
        <v/>
      </c>
      <c r="AY18" s="55">
        <f>(1-(AY12/100))/(AY12/100)</f>
        <v/>
      </c>
      <c r="AZ18" s="55">
        <f>(1-(AZ12/100))/(AZ12/100)</f>
        <v/>
      </c>
      <c r="BA18" s="12">
        <f>(1-(BA12/100))/(BA12/100)</f>
        <v/>
      </c>
      <c r="BB18" s="55">
        <f>(1-(BB12/100))/(BB12/100)</f>
        <v/>
      </c>
      <c r="BC18" s="55">
        <f>(1-(BC12/100))/(BC12/100)</f>
        <v/>
      </c>
      <c r="BD18" s="12">
        <f>(1-(BD12/100))/(BD12/100)</f>
        <v/>
      </c>
      <c r="BE18" s="55">
        <f>(1-(BE12/100))/(BE12/100)</f>
        <v/>
      </c>
      <c r="BF18" s="55">
        <f>(1-(BF12/100))/(BF12/100)</f>
        <v/>
      </c>
      <c r="BG18" s="12">
        <f>(1-(BG12/100))/(BG12/100)</f>
        <v/>
      </c>
      <c r="BH18" s="55">
        <f>(1-(BH12/100))/(BH12/100)</f>
        <v/>
      </c>
      <c r="BI18" s="55">
        <f>(1-(BI12/100))/(BI12/100)</f>
        <v/>
      </c>
      <c r="BJ18" s="12">
        <f>(1-(BJ12/100))/(BJ12/100)</f>
        <v/>
      </c>
      <c r="BK18" s="55">
        <f>(1-(BK12/100))/(BK12/100)</f>
        <v/>
      </c>
      <c r="BL18" s="55">
        <f>(1-(BL12/100))/(BL12/100)</f>
        <v/>
      </c>
      <c r="BM18" s="55">
        <f>(1-(BM12/100))/(BM12/100)</f>
        <v/>
      </c>
      <c r="BN18" s="12">
        <f>(1-(BN12/100))/(BN12/100)</f>
        <v/>
      </c>
      <c r="BO18" s="55">
        <f>(1-(BO12/100))/(BO12/100)</f>
        <v/>
      </c>
      <c r="BP18" s="55">
        <f>(1-(BP12/100))/(BP12/100)</f>
        <v/>
      </c>
      <c r="BQ18" s="12">
        <f>(1-(BQ12/100))/(BQ12/100)</f>
        <v/>
      </c>
      <c r="BR18" s="55">
        <f>(1-(BR12/100))/(BR12/100)</f>
        <v/>
      </c>
      <c r="BS18" s="55">
        <f>(1-(BS12/100))/(BS12/100)</f>
        <v/>
      </c>
      <c r="BT18" s="12">
        <f>(1-(BT12/100))/(BT12/100)</f>
        <v/>
      </c>
      <c r="BU18" s="55">
        <f>(1-(BU12/100))/(BU12/100)</f>
        <v/>
      </c>
      <c r="BV18" s="55">
        <f>(1-(BV12/100))/(BV12/100)</f>
        <v/>
      </c>
      <c r="BW18" s="12">
        <f>(1-(BW12/100))/(BW12/100)</f>
        <v/>
      </c>
      <c r="BX18" s="55">
        <f>(1-(BX12/100))/(BX12/100)</f>
        <v/>
      </c>
      <c r="BY18" s="55">
        <f>(1-(BY12/100))/(BY12/100)</f>
        <v/>
      </c>
      <c r="BZ18" s="12">
        <f>(1-(BZ12/100))/(BZ12/100)</f>
        <v/>
      </c>
      <c r="CA18" s="55">
        <f>(1-(CA12/100))/(CA12/100)</f>
        <v/>
      </c>
      <c r="CB18" s="55">
        <f>(1-(CB12/100))/(CB12/100)</f>
        <v/>
      </c>
      <c r="CC18" s="12">
        <f>(1-(CC12/100))/(CC12/100)</f>
        <v/>
      </c>
      <c r="CD18" s="55">
        <f>(1-(CD12/100))/(CD12/100)</f>
        <v/>
      </c>
      <c r="CE18" s="55">
        <f>(1-(CE12/100))/(CE12/100)</f>
        <v/>
      </c>
      <c r="CF18" s="55">
        <f>(1-(CF12/100))/(CF12/100)</f>
        <v/>
      </c>
      <c r="CG18" s="12">
        <f>(1-(CG12/100))/(CG12/100)</f>
        <v/>
      </c>
      <c r="CH18" s="55">
        <f>(1-(CH12/100))/(CH12/100)</f>
        <v/>
      </c>
      <c r="CI18" s="55">
        <f>(1-(CI12/100))/(CI12/100)</f>
        <v/>
      </c>
      <c r="CJ18" s="12">
        <f>(1-(CJ12/100))/(CJ12/100)</f>
        <v/>
      </c>
      <c r="CK18" s="55">
        <f>(1-(CK12/100))/(CK12/100)</f>
        <v/>
      </c>
      <c r="CL18" s="55">
        <f>(1-(CL12/100))/(CL12/100)</f>
        <v/>
      </c>
      <c r="CM18" s="12">
        <f>(1-(CM12/100))/(CM12/100)</f>
        <v/>
      </c>
      <c r="CN18" s="55">
        <f>(1-(CN12/100))/(CN12/100)</f>
        <v/>
      </c>
      <c r="CO18" s="55">
        <f>(1-(CO12/100))/(CO12/100)</f>
        <v/>
      </c>
      <c r="CP18" s="12">
        <f>(1-(CP12/100))/(CP12/100)</f>
        <v/>
      </c>
      <c r="CQ18" s="55">
        <f>(1-(CQ12/100))/(CQ12/100)</f>
        <v/>
      </c>
      <c r="CR18" s="55">
        <f>(1-(CR12/100))/(CR12/100)</f>
        <v/>
      </c>
      <c r="CS18" s="12">
        <f>(1-(CS12/100))/(CS12/100)</f>
        <v/>
      </c>
      <c r="CT18" s="55">
        <f>(1-(CT12/100))/(CT12/100)</f>
        <v/>
      </c>
      <c r="CU18" s="55">
        <f>(1-(CU12/100))/(CU12/100)</f>
        <v/>
      </c>
      <c r="CV18" s="12">
        <f>(1-(CV12/100))/(CV12/100)</f>
        <v/>
      </c>
      <c r="CW18" s="55">
        <f>(1-(CW12/100))/(CW12/100)</f>
        <v/>
      </c>
      <c r="CX18" s="55">
        <f>(1-(CX12/100))/(CX12/100)</f>
        <v/>
      </c>
      <c r="CY18" s="55">
        <f>(1-(CY12/100))/(CY12/100)</f>
        <v/>
      </c>
      <c r="CZ18" s="12">
        <f>(1-(CZ12/100))/(CZ12/100)</f>
        <v/>
      </c>
      <c r="DA18" s="55">
        <f>(1-(DA12/100))/(DA12/100)</f>
        <v/>
      </c>
      <c r="DB18" s="55">
        <f>(1-(DB12/100))/(DB12/100)</f>
        <v/>
      </c>
      <c r="DC18" s="12">
        <f>(1-(DC12/100))/(DC12/100)</f>
        <v/>
      </c>
      <c r="DD18" s="55">
        <f>(1-(DD12/100))/(DD12/100)</f>
        <v/>
      </c>
      <c r="DE18" s="55">
        <f>(1-(DE12/100))/(DE12/100)</f>
        <v/>
      </c>
      <c r="DF18" s="12">
        <f>(1-(DF12/100))/(DF12/100)</f>
        <v/>
      </c>
      <c r="DG18" s="55">
        <f>(1-(DG12/100))/(DG12/100)</f>
        <v/>
      </c>
      <c r="DH18" s="55">
        <f>(1-(DH12/100))/(DH12/100)</f>
        <v/>
      </c>
      <c r="DI18" s="12">
        <f>(1-(DI12/100))/(DI12/100)</f>
        <v/>
      </c>
      <c r="DJ18" s="55">
        <f>(1-(DJ12/100))/(DJ12/100)</f>
        <v/>
      </c>
      <c r="DK18" s="55">
        <f>(1-(DK12/100))/(DK12/100)</f>
        <v/>
      </c>
      <c r="DL18" s="12">
        <f>(1-(DL12/100))/(DL12/100)</f>
        <v/>
      </c>
      <c r="DM18" s="55">
        <f>(1-(DM12/100))/(DM12/100)</f>
        <v/>
      </c>
      <c r="DN18" s="55">
        <f>(1-(DN12/100))/(DN12/100)</f>
        <v/>
      </c>
      <c r="DO18" s="12">
        <f>(1-(DO12/100))/(DO12/100)</f>
        <v/>
      </c>
      <c r="DP18" s="55">
        <f>(1-(DP12/100))/(DP12/100)</f>
        <v/>
      </c>
      <c r="DQ18" s="55">
        <f>(1-(DQ12/100))/(DQ12/100)</f>
        <v/>
      </c>
      <c r="DR18" s="55">
        <f>(1-(DR12/100))/(DR12/100)</f>
        <v/>
      </c>
      <c r="DS18" s="12">
        <f>(1-(DS12/100))/(DS12/100)</f>
        <v/>
      </c>
      <c r="DT18" s="55">
        <f>(1-(DT12/100))/(DT12/100)</f>
        <v/>
      </c>
      <c r="DU18" s="55">
        <f>(1-(DU12/100))/(DU12/100)</f>
        <v/>
      </c>
      <c r="DV18" s="12">
        <f>(1-(DV12/100))/(DV12/100)</f>
        <v/>
      </c>
      <c r="DW18" s="55">
        <f>(1-(DW12/100))/(DW12/100)</f>
        <v/>
      </c>
      <c r="DX18" s="55">
        <f>(1-(DX12/100))/(DX12/100)</f>
        <v/>
      </c>
      <c r="DY18" s="12">
        <f>(1-(DY12/100))/(DY12/100)</f>
        <v/>
      </c>
      <c r="DZ18" s="55">
        <f>(1-(DZ12/100))/(DZ12/100)</f>
        <v/>
      </c>
      <c r="EA18" s="55">
        <f>(1-(EA12/100))/(EA12/100)</f>
        <v/>
      </c>
      <c r="EB18" s="12">
        <f>(1-(EB12/100))/(EB12/100)</f>
        <v/>
      </c>
      <c r="EC18" s="55">
        <f>(1-(EC12/100))/(EC12/100)</f>
        <v/>
      </c>
      <c r="ED18" s="55">
        <f>(1-(ED12/100))/(ED12/100)</f>
        <v/>
      </c>
      <c r="EE18" s="12">
        <f>(1-(EE12/100))/(EE12/100)</f>
        <v/>
      </c>
      <c r="EF18" s="55">
        <f>(1-(EF12/100))/(EF12/100)</f>
        <v/>
      </c>
      <c r="EG18" s="55">
        <f>(1-(EG12/100))/(EG12/100)</f>
        <v/>
      </c>
      <c r="EH18" s="12">
        <f>(1-(EH12/100))/(EH12/100)</f>
        <v/>
      </c>
      <c r="EI18" s="55">
        <f>(1-(EI12/100))/(EI12/100)</f>
        <v/>
      </c>
      <c r="EJ18" s="55">
        <f>(1-(EJ12/100))/(EJ12/100)</f>
        <v/>
      </c>
    </row>
    <row r="19">
      <c r="A19" s="11" t="inlineStr">
        <is>
          <t>Chol:PEG ratio</t>
        </is>
      </c>
      <c r="C19" s="75">
        <f>(1-(C13/100))/(C13/100)</f>
        <v/>
      </c>
      <c r="D19" s="55">
        <f>(1-(D13/100))/(D13/100)</f>
        <v/>
      </c>
      <c r="E19" s="13">
        <f>(1-(E13/100))/(E13/100)</f>
        <v/>
      </c>
      <c r="F19" s="12">
        <f>(1-(F13/100))/(F13/100)</f>
        <v/>
      </c>
      <c r="G19" s="55">
        <f>(1-(G13/100))/(G13/100)</f>
        <v/>
      </c>
      <c r="H19" s="55">
        <f>(1-(H13/100))/(H13/100)</f>
        <v/>
      </c>
      <c r="I19" s="12">
        <f>(1-(I13/100))/(I13/100)</f>
        <v/>
      </c>
      <c r="J19" s="55">
        <f>(1-(J13/100))/(J13/100)</f>
        <v/>
      </c>
      <c r="K19" s="55">
        <f>(1-(K13/100))/(K13/100)</f>
        <v/>
      </c>
      <c r="L19" s="12">
        <f>(1-(L13/100))/(L13/100)</f>
        <v/>
      </c>
      <c r="M19" s="55">
        <f>(1-(M13/100))/(M13/100)</f>
        <v/>
      </c>
      <c r="N19" s="55">
        <f>(1-(N13/100))/(N13/100)</f>
        <v/>
      </c>
      <c r="O19" s="12">
        <f>(1-(O13/100))/(O13/100)</f>
        <v/>
      </c>
      <c r="P19" s="55">
        <f>(1-(P13/100))/(P13/100)</f>
        <v/>
      </c>
      <c r="Q19" s="55">
        <f>(1-(Q13/100))/(Q13/100)</f>
        <v/>
      </c>
      <c r="R19" s="12">
        <f>(1-(R13/100))/(R13/100)</f>
        <v/>
      </c>
      <c r="S19" s="55">
        <f>(1-(S13/100))/(S13/100)</f>
        <v/>
      </c>
      <c r="T19" s="55">
        <f>(1-(T13/100))/(T13/100)</f>
        <v/>
      </c>
      <c r="U19" s="12">
        <f>(1-(U13/100))/(U13/100)</f>
        <v/>
      </c>
      <c r="V19" s="55">
        <f>(1-(V13/100))/(V13/100)</f>
        <v/>
      </c>
      <c r="W19" s="55">
        <f>(1-(W13/100))/(W13/100)</f>
        <v/>
      </c>
      <c r="X19" s="12">
        <f>(1-(X13/100))/(X13/100)</f>
        <v/>
      </c>
      <c r="Y19" s="55">
        <f>(1-(Y13/100))/(Y13/100)</f>
        <v/>
      </c>
      <c r="Z19" s="55">
        <f>(1-(Z13/100))/(Z13/100)</f>
        <v/>
      </c>
      <c r="AA19" s="55">
        <f>(1-(AA13/100))/(AA13/100)</f>
        <v/>
      </c>
      <c r="AB19" s="12">
        <f>(1-(AB13/100))/(AB13/100)</f>
        <v/>
      </c>
      <c r="AC19" s="55">
        <f>(1-(AC13/100))/(AC13/100)</f>
        <v/>
      </c>
      <c r="AD19" s="55">
        <f>(1-(AD13/100))/(AD13/100)</f>
        <v/>
      </c>
      <c r="AE19" s="12">
        <f>(1-(AE13/100))/(AE13/100)</f>
        <v/>
      </c>
      <c r="AF19" s="55">
        <f>(1-(AF13/100))/(AF13/100)</f>
        <v/>
      </c>
      <c r="AG19" s="55">
        <f>(1-(AG13/100))/(AG13/100)</f>
        <v/>
      </c>
      <c r="AH19" s="12">
        <f>(1-(AH13/100))/(AH13/100)</f>
        <v/>
      </c>
      <c r="AI19" s="55">
        <f>(1-(AI13/100))/(AI13/100)</f>
        <v/>
      </c>
      <c r="AJ19" s="55">
        <f>(1-(AJ13/100))/(AJ13/100)</f>
        <v/>
      </c>
      <c r="AK19" s="12">
        <f>(1-(AK13/100))/(AK13/100)</f>
        <v/>
      </c>
      <c r="AL19" s="55">
        <f>(1-(AL13/100))/(AL13/100)</f>
        <v/>
      </c>
      <c r="AM19" s="55">
        <f>(1-(AM13/100))/(AM13/100)</f>
        <v/>
      </c>
      <c r="AN19" s="12">
        <f>(1-(AN13/100))/(AN13/100)</f>
        <v/>
      </c>
      <c r="AO19" s="55">
        <f>(1-(AO13/100))/(AO13/100)</f>
        <v/>
      </c>
      <c r="AP19" s="55">
        <f>(1-(AP13/100))/(AP13/100)</f>
        <v/>
      </c>
      <c r="AQ19" s="12">
        <f>(1-(AQ13/100))/(AQ13/100)</f>
        <v/>
      </c>
      <c r="AR19" s="55">
        <f>(1-(AR13/100))/(AR13/100)</f>
        <v/>
      </c>
      <c r="AS19" s="55">
        <f>(1-(AS13/100))/(AS13/100)</f>
        <v/>
      </c>
      <c r="AT19" s="55">
        <f>(1-(AT13/100))/(AT13/100)</f>
        <v/>
      </c>
      <c r="AU19" s="12">
        <f>(1-(AU13/100))/(AU13/100)</f>
        <v/>
      </c>
      <c r="AV19" s="55">
        <f>(1-(AV13/100))/(AV13/100)</f>
        <v/>
      </c>
      <c r="AW19" s="55">
        <f>(1-(AW13/100))/(AW13/100)</f>
        <v/>
      </c>
      <c r="AX19" s="12">
        <f>(1-(AX13/100))/(AX13/100)</f>
        <v/>
      </c>
      <c r="AY19" s="55">
        <f>(1-(AY13/100))/(AY13/100)</f>
        <v/>
      </c>
      <c r="AZ19" s="55">
        <f>(1-(AZ13/100))/(AZ13/100)</f>
        <v/>
      </c>
      <c r="BA19" s="12">
        <f>(1-(BA13/100))/(BA13/100)</f>
        <v/>
      </c>
      <c r="BB19" s="55">
        <f>(1-(BB13/100))/(BB13/100)</f>
        <v/>
      </c>
      <c r="BC19" s="55">
        <f>(1-(BC13/100))/(BC13/100)</f>
        <v/>
      </c>
      <c r="BD19" s="12">
        <f>(1-(BD13/100))/(BD13/100)</f>
        <v/>
      </c>
      <c r="BE19" s="55">
        <f>(1-(BE13/100))/(BE13/100)</f>
        <v/>
      </c>
      <c r="BF19" s="55">
        <f>(1-(BF13/100))/(BF13/100)</f>
        <v/>
      </c>
      <c r="BG19" s="12">
        <f>(1-(BG13/100))/(BG13/100)</f>
        <v/>
      </c>
      <c r="BH19" s="55">
        <f>(1-(BH13/100))/(BH13/100)</f>
        <v/>
      </c>
      <c r="BI19" s="55">
        <f>(1-(BI13/100))/(BI13/100)</f>
        <v/>
      </c>
      <c r="BJ19" s="12">
        <f>(1-(BJ13/100))/(BJ13/100)</f>
        <v/>
      </c>
      <c r="BK19" s="55">
        <f>(1-(BK13/100))/(BK13/100)</f>
        <v/>
      </c>
      <c r="BL19" s="55">
        <f>(1-(BL13/100))/(BL13/100)</f>
        <v/>
      </c>
      <c r="BM19" s="55">
        <f>(1-(BM13/100))/(BM13/100)</f>
        <v/>
      </c>
      <c r="BN19" s="12">
        <f>(1-(BN13/100))/(BN13/100)</f>
        <v/>
      </c>
      <c r="BO19" s="55">
        <f>(1-(BO13/100))/(BO13/100)</f>
        <v/>
      </c>
      <c r="BP19" s="55">
        <f>(1-(BP13/100))/(BP13/100)</f>
        <v/>
      </c>
      <c r="BQ19" s="12">
        <f>(1-(BQ13/100))/(BQ13/100)</f>
        <v/>
      </c>
      <c r="BR19" s="55">
        <f>(1-(BR13/100))/(BR13/100)</f>
        <v/>
      </c>
      <c r="BS19" s="55">
        <f>(1-(BS13/100))/(BS13/100)</f>
        <v/>
      </c>
      <c r="BT19" s="12">
        <f>(1-(BT13/100))/(BT13/100)</f>
        <v/>
      </c>
      <c r="BU19" s="55">
        <f>(1-(BU13/100))/(BU13/100)</f>
        <v/>
      </c>
      <c r="BV19" s="55">
        <f>(1-(BV13/100))/(BV13/100)</f>
        <v/>
      </c>
      <c r="BW19" s="12">
        <f>(1-(BW13/100))/(BW13/100)</f>
        <v/>
      </c>
      <c r="BX19" s="55">
        <f>(1-(BX13/100))/(BX13/100)</f>
        <v/>
      </c>
      <c r="BY19" s="55">
        <f>(1-(BY13/100))/(BY13/100)</f>
        <v/>
      </c>
      <c r="BZ19" s="12">
        <f>(1-(BZ13/100))/(BZ13/100)</f>
        <v/>
      </c>
      <c r="CA19" s="55">
        <f>(1-(CA13/100))/(CA13/100)</f>
        <v/>
      </c>
      <c r="CB19" s="55">
        <f>(1-(CB13/100))/(CB13/100)</f>
        <v/>
      </c>
      <c r="CC19" s="12">
        <f>(1-(CC13/100))/(CC13/100)</f>
        <v/>
      </c>
      <c r="CD19" s="55">
        <f>(1-(CD13/100))/(CD13/100)</f>
        <v/>
      </c>
      <c r="CE19" s="55">
        <f>(1-(CE13/100))/(CE13/100)</f>
        <v/>
      </c>
      <c r="CF19" s="55">
        <f>(1-(CF13/100))/(CF13/100)</f>
        <v/>
      </c>
      <c r="CG19" s="12">
        <f>(1-(CG13/100))/(CG13/100)</f>
        <v/>
      </c>
      <c r="CH19" s="55">
        <f>(1-(CH13/100))/(CH13/100)</f>
        <v/>
      </c>
      <c r="CI19" s="55">
        <f>(1-(CI13/100))/(CI13/100)</f>
        <v/>
      </c>
      <c r="CJ19" s="12">
        <f>(1-(CJ13/100))/(CJ13/100)</f>
        <v/>
      </c>
      <c r="CK19" s="55">
        <f>(1-(CK13/100))/(CK13/100)</f>
        <v/>
      </c>
      <c r="CL19" s="55">
        <f>(1-(CL13/100))/(CL13/100)</f>
        <v/>
      </c>
      <c r="CM19" s="12">
        <f>(1-(CM13/100))/(CM13/100)</f>
        <v/>
      </c>
      <c r="CN19" s="55">
        <f>(1-(CN13/100))/(CN13/100)</f>
        <v/>
      </c>
      <c r="CO19" s="55">
        <f>(1-(CO13/100))/(CO13/100)</f>
        <v/>
      </c>
      <c r="CP19" s="12">
        <f>(1-(CP13/100))/(CP13/100)</f>
        <v/>
      </c>
      <c r="CQ19" s="55">
        <f>(1-(CQ13/100))/(CQ13/100)</f>
        <v/>
      </c>
      <c r="CR19" s="55">
        <f>(1-(CR13/100))/(CR13/100)</f>
        <v/>
      </c>
      <c r="CS19" s="12">
        <f>(1-(CS13/100))/(CS13/100)</f>
        <v/>
      </c>
      <c r="CT19" s="55">
        <f>(1-(CT13/100))/(CT13/100)</f>
        <v/>
      </c>
      <c r="CU19" s="55">
        <f>(1-(CU13/100))/(CU13/100)</f>
        <v/>
      </c>
      <c r="CV19" s="12">
        <f>(1-(CV13/100))/(CV13/100)</f>
        <v/>
      </c>
      <c r="CW19" s="55">
        <f>(1-(CW13/100))/(CW13/100)</f>
        <v/>
      </c>
      <c r="CX19" s="55">
        <f>(1-(CX13/100))/(CX13/100)</f>
        <v/>
      </c>
      <c r="CY19" s="55">
        <f>(1-(CY13/100))/(CY13/100)</f>
        <v/>
      </c>
      <c r="CZ19" s="12">
        <f>(1-(CZ13/100))/(CZ13/100)</f>
        <v/>
      </c>
      <c r="DA19" s="55">
        <f>(1-(DA13/100))/(DA13/100)</f>
        <v/>
      </c>
      <c r="DB19" s="55">
        <f>(1-(DB13/100))/(DB13/100)</f>
        <v/>
      </c>
      <c r="DC19" s="12">
        <f>(1-(DC13/100))/(DC13/100)</f>
        <v/>
      </c>
      <c r="DD19" s="55">
        <f>(1-(DD13/100))/(DD13/100)</f>
        <v/>
      </c>
      <c r="DE19" s="55">
        <f>(1-(DE13/100))/(DE13/100)</f>
        <v/>
      </c>
      <c r="DF19" s="12">
        <f>(1-(DF13/100))/(DF13/100)</f>
        <v/>
      </c>
      <c r="DG19" s="55">
        <f>(1-(DG13/100))/(DG13/100)</f>
        <v/>
      </c>
      <c r="DH19" s="55">
        <f>(1-(DH13/100))/(DH13/100)</f>
        <v/>
      </c>
      <c r="DI19" s="12">
        <f>(1-(DI13/100))/(DI13/100)</f>
        <v/>
      </c>
      <c r="DJ19" s="55">
        <f>(1-(DJ13/100))/(DJ13/100)</f>
        <v/>
      </c>
      <c r="DK19" s="55">
        <f>(1-(DK13/100))/(DK13/100)</f>
        <v/>
      </c>
      <c r="DL19" s="12">
        <f>(1-(DL13/100))/(DL13/100)</f>
        <v/>
      </c>
      <c r="DM19" s="55">
        <f>(1-(DM13/100))/(DM13/100)</f>
        <v/>
      </c>
      <c r="DN19" s="55">
        <f>(1-(DN13/100))/(DN13/100)</f>
        <v/>
      </c>
      <c r="DO19" s="12">
        <f>(1-(DO13/100))/(DO13/100)</f>
        <v/>
      </c>
      <c r="DP19" s="55">
        <f>(1-(DP13/100))/(DP13/100)</f>
        <v/>
      </c>
      <c r="DQ19" s="55">
        <f>(1-(DQ13/100))/(DQ13/100)</f>
        <v/>
      </c>
      <c r="DR19" s="55">
        <f>(1-(DR13/100))/(DR13/100)</f>
        <v/>
      </c>
      <c r="DS19" s="12">
        <f>(1-(DS13/100))/(DS13/100)</f>
        <v/>
      </c>
      <c r="DT19" s="55">
        <f>(1-(DT13/100))/(DT13/100)</f>
        <v/>
      </c>
      <c r="DU19" s="55">
        <f>(1-(DU13/100))/(DU13/100)</f>
        <v/>
      </c>
      <c r="DV19" s="12">
        <f>(1-(DV13/100))/(DV13/100)</f>
        <v/>
      </c>
      <c r="DW19" s="55">
        <f>(1-(DW13/100))/(DW13/100)</f>
        <v/>
      </c>
      <c r="DX19" s="55">
        <f>(1-(DX13/100))/(DX13/100)</f>
        <v/>
      </c>
      <c r="DY19" s="12">
        <f>(1-(DY13/100))/(DY13/100)</f>
        <v/>
      </c>
      <c r="DZ19" s="55">
        <f>(1-(DZ13/100))/(DZ13/100)</f>
        <v/>
      </c>
      <c r="EA19" s="55">
        <f>(1-(EA13/100))/(EA13/100)</f>
        <v/>
      </c>
      <c r="EB19" s="12">
        <f>(1-(EB13/100))/(EB13/100)</f>
        <v/>
      </c>
      <c r="EC19" s="55">
        <f>(1-(EC13/100))/(EC13/100)</f>
        <v/>
      </c>
      <c r="ED19" s="55">
        <f>(1-(ED13/100))/(ED13/100)</f>
        <v/>
      </c>
      <c r="EE19" s="12">
        <f>(1-(EE13/100))/(EE13/100)</f>
        <v/>
      </c>
      <c r="EF19" s="55">
        <f>(1-(EF13/100))/(EF13/100)</f>
        <v/>
      </c>
      <c r="EG19" s="55">
        <f>(1-(EG13/100))/(EG13/100)</f>
        <v/>
      </c>
      <c r="EH19" s="12">
        <f>(1-(EH13/100))/(EH13/100)</f>
        <v/>
      </c>
      <c r="EI19" s="55">
        <f>(1-(EI13/100))/(EI13/100)</f>
        <v/>
      </c>
      <c r="EJ19" s="55">
        <f>(1-(EJ13/100))/(EJ13/100)</f>
        <v/>
      </c>
    </row>
    <row r="20">
      <c r="G20" s="55" t="n"/>
      <c r="H20" s="55" t="n"/>
      <c r="J20" s="55" t="n"/>
      <c r="K20" s="55" t="n"/>
      <c r="M20" s="55" t="n"/>
      <c r="N20" s="55" t="n"/>
      <c r="P20" s="55" t="n"/>
      <c r="Q20" s="55" t="n"/>
      <c r="S20" s="55" t="n"/>
      <c r="T20" s="55" t="n"/>
      <c r="V20" s="55" t="n"/>
      <c r="W20" s="55" t="n"/>
      <c r="Y20" s="55" t="n"/>
      <c r="Z20" s="55" t="n"/>
      <c r="AA20" s="55" t="n"/>
      <c r="AC20" s="55" t="n"/>
      <c r="AD20" s="55" t="n"/>
      <c r="AF20" s="55" t="n"/>
      <c r="AG20" s="55" t="n"/>
      <c r="AI20" s="55" t="n"/>
      <c r="AJ20" s="55" t="n"/>
      <c r="AL20" s="55" t="n"/>
      <c r="AM20" s="55" t="n"/>
      <c r="AO20" s="55" t="n"/>
      <c r="AP20" s="55" t="n"/>
      <c r="AR20" s="55" t="n"/>
      <c r="AS20" s="55" t="n"/>
      <c r="AT20" s="55" t="n"/>
      <c r="AV20" s="55" t="n"/>
      <c r="AW20" s="55" t="n"/>
      <c r="AY20" s="55" t="n"/>
      <c r="AZ20" s="55" t="n"/>
      <c r="BB20" s="55" t="n"/>
      <c r="BC20" s="55" t="n"/>
      <c r="BE20" s="55" t="n"/>
      <c r="BF20" s="55" t="n"/>
      <c r="BH20" s="55" t="n"/>
      <c r="BI20" s="55" t="n"/>
      <c r="BK20" s="55" t="n"/>
      <c r="BL20" s="55" t="n"/>
      <c r="BM20" s="55" t="n"/>
      <c r="BO20" s="55" t="n"/>
      <c r="BP20" s="55" t="n"/>
      <c r="BR20" s="55" t="n"/>
      <c r="BS20" s="55" t="n"/>
      <c r="BU20" s="55" t="n"/>
      <c r="BV20" s="55" t="n"/>
      <c r="BX20" s="55" t="n"/>
      <c r="BY20" s="55" t="n"/>
      <c r="CA20" s="55" t="n"/>
      <c r="CB20" s="55" t="n"/>
      <c r="CD20" s="55" t="n"/>
      <c r="CE20" s="55" t="n"/>
      <c r="CF20" s="55" t="n"/>
      <c r="CH20" s="55" t="n"/>
      <c r="CI20" s="55" t="n"/>
      <c r="CK20" s="55" t="n"/>
      <c r="CL20" s="55" t="n"/>
      <c r="CN20" s="55" t="n"/>
      <c r="CO20" s="55" t="n"/>
      <c r="CQ20" s="55" t="n"/>
      <c r="CR20" s="55" t="n"/>
      <c r="CT20" s="55" t="n"/>
      <c r="CU20" s="55" t="n"/>
      <c r="CW20" s="55" t="n"/>
      <c r="CX20" s="55" t="n"/>
      <c r="CY20" s="55" t="n"/>
      <c r="DA20" s="55" t="n"/>
      <c r="DB20" s="55" t="n"/>
      <c r="DD20" s="55" t="n"/>
      <c r="DE20" s="55" t="n"/>
      <c r="DG20" s="55" t="n"/>
      <c r="DH20" s="55" t="n"/>
      <c r="DJ20" s="55" t="n"/>
      <c r="DK20" s="55" t="n"/>
      <c r="DM20" s="55" t="n"/>
      <c r="DN20" s="55" t="n"/>
      <c r="DP20" s="55" t="n"/>
      <c r="DQ20" s="55" t="n"/>
      <c r="DR20" s="55" t="n"/>
      <c r="DT20" s="55" t="n"/>
      <c r="DU20" s="55" t="n"/>
      <c r="DW20" s="55" t="n"/>
      <c r="DX20" s="55" t="n"/>
      <c r="DZ20" s="55" t="n"/>
      <c r="EA20" s="55" t="n"/>
      <c r="EC20" s="55" t="n"/>
      <c r="ED20" s="55" t="n"/>
      <c r="EF20" s="55" t="n"/>
      <c r="EG20" s="55" t="n"/>
      <c r="EI20" s="55" t="n"/>
      <c r="EJ20" s="55" t="n"/>
    </row>
    <row r="21">
      <c r="A21" s="29" t="inlineStr">
        <is>
          <t>Chemical Properties</t>
        </is>
      </c>
      <c r="B21" s="91" t="n"/>
      <c r="C21" s="78" t="n"/>
      <c r="D21" s="58" t="n"/>
      <c r="E21" s="1" t="n"/>
      <c r="F21" s="15" t="n"/>
      <c r="G21" s="58" t="n"/>
      <c r="H21" s="58" t="n"/>
      <c r="I21" s="15" t="n"/>
      <c r="J21" s="58" t="n"/>
      <c r="K21" s="58" t="n"/>
      <c r="L21" s="15" t="n"/>
      <c r="M21" s="58" t="n"/>
      <c r="N21" s="58" t="n"/>
      <c r="O21" s="15" t="n"/>
      <c r="P21" s="58" t="n"/>
      <c r="Q21" s="58" t="n"/>
      <c r="R21" s="15" t="n"/>
      <c r="S21" s="58" t="n"/>
      <c r="T21" s="58" t="n"/>
      <c r="U21" s="15" t="n"/>
      <c r="V21" s="58" t="n"/>
      <c r="W21" s="58" t="n"/>
      <c r="X21" s="15" t="n"/>
      <c r="Y21" s="58" t="n"/>
      <c r="Z21" s="58" t="n"/>
      <c r="AA21" s="58" t="n"/>
      <c r="AB21" s="15" t="n"/>
      <c r="AC21" s="58" t="n"/>
      <c r="AD21" s="58" t="n"/>
      <c r="AE21" s="15" t="n"/>
      <c r="AF21" s="58" t="n"/>
      <c r="AG21" s="58" t="n"/>
      <c r="AH21" s="15" t="n"/>
      <c r="AI21" s="58" t="n"/>
      <c r="AJ21" s="58" t="n"/>
      <c r="AK21" s="15" t="n"/>
      <c r="AL21" s="58" t="n"/>
      <c r="AM21" s="58" t="n"/>
      <c r="AN21" s="15" t="n"/>
      <c r="AO21" s="58" t="n"/>
      <c r="AP21" s="58" t="n"/>
      <c r="AQ21" s="15" t="n"/>
      <c r="AR21" s="58" t="n"/>
      <c r="AS21" s="58" t="n"/>
      <c r="AT21" s="58" t="n"/>
      <c r="AU21" s="15" t="n"/>
      <c r="AV21" s="58" t="n"/>
      <c r="AW21" s="58" t="n"/>
      <c r="AX21" s="15" t="n"/>
      <c r="AY21" s="58" t="n"/>
      <c r="AZ21" s="58" t="n"/>
      <c r="BA21" s="15" t="n"/>
      <c r="BB21" s="58" t="n"/>
      <c r="BC21" s="58" t="n"/>
      <c r="BD21" s="15" t="n"/>
      <c r="BE21" s="58" t="n"/>
      <c r="BF21" s="58" t="n"/>
      <c r="BG21" s="15" t="n"/>
      <c r="BH21" s="58" t="n"/>
      <c r="BI21" s="58" t="n"/>
      <c r="BJ21" s="15" t="n"/>
      <c r="BK21" s="58" t="n"/>
      <c r="BL21" s="58" t="n"/>
      <c r="BM21" s="58" t="n"/>
      <c r="BN21" s="15" t="n"/>
      <c r="BO21" s="58" t="n"/>
      <c r="BP21" s="58" t="n"/>
      <c r="BQ21" s="15" t="n"/>
      <c r="BR21" s="58" t="n"/>
      <c r="BS21" s="58" t="n"/>
      <c r="BT21" s="15" t="n"/>
      <c r="BU21" s="58" t="n"/>
      <c r="BV21" s="58" t="n"/>
      <c r="BW21" s="15" t="n"/>
      <c r="BX21" s="58" t="n"/>
      <c r="BY21" s="58" t="n"/>
      <c r="BZ21" s="15" t="n"/>
      <c r="CA21" s="58" t="n"/>
      <c r="CB21" s="58" t="n"/>
      <c r="CC21" s="15" t="n"/>
      <c r="CD21" s="58" t="n"/>
      <c r="CE21" s="58" t="n"/>
      <c r="CF21" s="58" t="n"/>
      <c r="CG21" s="15" t="n"/>
      <c r="CH21" s="58" t="n"/>
      <c r="CI21" s="58" t="n"/>
      <c r="CJ21" s="15" t="n"/>
      <c r="CK21" s="58" t="n"/>
      <c r="CL21" s="58" t="n"/>
      <c r="CM21" s="15" t="n"/>
      <c r="CN21" s="58" t="n"/>
      <c r="CO21" s="58" t="n"/>
      <c r="CP21" s="15" t="n"/>
      <c r="CQ21" s="58" t="n"/>
      <c r="CR21" s="58" t="n"/>
      <c r="CS21" s="15" t="n"/>
      <c r="CT21" s="58" t="n"/>
      <c r="CU21" s="58" t="n"/>
      <c r="CV21" s="15" t="n"/>
      <c r="CW21" s="58" t="n"/>
      <c r="CX21" s="58" t="n"/>
      <c r="CY21" s="58" t="n"/>
      <c r="CZ21" s="15" t="n"/>
      <c r="DA21" s="58" t="n"/>
      <c r="DB21" s="58" t="n"/>
      <c r="DC21" s="15" t="n"/>
      <c r="DD21" s="58" t="n"/>
      <c r="DE21" s="58" t="n"/>
      <c r="DF21" s="15" t="n"/>
      <c r="DG21" s="58" t="n"/>
      <c r="DH21" s="58" t="n"/>
      <c r="DI21" s="15" t="n"/>
      <c r="DJ21" s="58" t="n"/>
      <c r="DK21" s="58" t="n"/>
      <c r="DL21" s="15" t="n"/>
      <c r="DM21" s="58" t="n"/>
      <c r="DN21" s="58" t="n"/>
      <c r="DO21" s="15" t="n"/>
      <c r="DP21" s="58" t="n"/>
      <c r="DQ21" s="58" t="n"/>
      <c r="DR21" s="58" t="n"/>
      <c r="DS21" s="15" t="n"/>
      <c r="DT21" s="58" t="n"/>
      <c r="DU21" s="58" t="n"/>
      <c r="DV21" s="15" t="n"/>
      <c r="DW21" s="58" t="n"/>
      <c r="DX21" s="58" t="n"/>
      <c r="DY21" s="15" t="n"/>
      <c r="DZ21" s="58" t="n"/>
      <c r="EA21" s="58" t="n"/>
      <c r="EB21" s="15" t="n"/>
      <c r="EC21" s="58" t="n"/>
      <c r="ED21" s="58" t="n"/>
      <c r="EE21" s="15" t="n"/>
      <c r="EF21" s="58" t="n"/>
      <c r="EG21" s="58" t="n"/>
      <c r="EH21" s="15" t="n"/>
      <c r="EI21" s="58" t="n"/>
      <c r="EJ21" s="58" t="n"/>
    </row>
    <row r="22">
      <c r="A22" t="inlineStr">
        <is>
          <t>Ionizable Lipid Mol Weight</t>
        </is>
      </c>
      <c r="B22" s="15" t="inlineStr">
        <is>
          <t>g/mol</t>
        </is>
      </c>
      <c r="C22" s="78">
        <f>VLOOKUP(C6,'Lipid_Params '!$A:$C,2,FALSE)</f>
        <v/>
      </c>
      <c r="D22" s="58">
        <f>VLOOKUP(D6,'Lipid_Params '!$A:$C,2,FALSE)</f>
        <v/>
      </c>
      <c r="E22" s="1">
        <f>VLOOKUP(E6,'Lipid_Params '!$A:$C,2,FALSE)</f>
        <v/>
      </c>
      <c r="F22" s="15">
        <f>VLOOKUP(F6,'Lipid_Params '!$A:$C,2,FALSE)</f>
        <v/>
      </c>
      <c r="G22" s="58">
        <f>VLOOKUP(G6,'Lipid_Params '!$A:$C,2,FALSE)</f>
        <v/>
      </c>
      <c r="H22" s="58">
        <f>VLOOKUP(H6,'Lipid_Params '!$A:$C,2,FALSE)</f>
        <v/>
      </c>
      <c r="I22" s="15">
        <f>VLOOKUP(I6,'Lipid_Params '!$A:$C,2,FALSE)</f>
        <v/>
      </c>
      <c r="J22" s="58">
        <f>VLOOKUP(J6,'Lipid_Params '!$A:$C,2,FALSE)</f>
        <v/>
      </c>
      <c r="K22" s="58">
        <f>VLOOKUP(K6,'Lipid_Params '!$A:$C,2,FALSE)</f>
        <v/>
      </c>
      <c r="L22" s="15">
        <f>VLOOKUP(L6,'Lipid_Params '!$A:$C,2,FALSE)</f>
        <v/>
      </c>
      <c r="M22" s="58">
        <f>VLOOKUP(M6,'Lipid_Params '!$A:$C,2,FALSE)</f>
        <v/>
      </c>
      <c r="N22" s="58">
        <f>VLOOKUP(N6,'Lipid_Params '!$A:$C,2,FALSE)</f>
        <v/>
      </c>
      <c r="O22" s="15">
        <f>VLOOKUP(O6,'Lipid_Params '!$A:$C,2,FALSE)</f>
        <v/>
      </c>
      <c r="P22" s="58">
        <f>VLOOKUP(P6,'Lipid_Params '!$A:$C,2,FALSE)</f>
        <v/>
      </c>
      <c r="Q22" s="58">
        <f>VLOOKUP(Q6,'Lipid_Params '!$A:$C,2,FALSE)</f>
        <v/>
      </c>
      <c r="R22" s="15">
        <f>VLOOKUP(R6,'Lipid_Params '!$A:$C,2,FALSE)</f>
        <v/>
      </c>
      <c r="S22" s="58">
        <f>VLOOKUP(S6,'Lipid_Params '!$A:$C,2,FALSE)</f>
        <v/>
      </c>
      <c r="T22" s="58">
        <f>VLOOKUP(T6,'Lipid_Params '!$A:$C,2,FALSE)</f>
        <v/>
      </c>
      <c r="U22" s="15">
        <f>VLOOKUP(U6,'Lipid_Params '!$A:$C,2,FALSE)</f>
        <v/>
      </c>
      <c r="V22" s="58">
        <f>VLOOKUP(V6,'Lipid_Params '!$A:$C,2,FALSE)</f>
        <v/>
      </c>
      <c r="W22" s="58">
        <f>VLOOKUP(W6,'Lipid_Params '!$A:$C,2,FALSE)</f>
        <v/>
      </c>
      <c r="X22" s="15">
        <f>VLOOKUP(X6,'Lipid_Params '!$A:$C,2,FALSE)</f>
        <v/>
      </c>
      <c r="Y22" s="58">
        <f>VLOOKUP(Y6,'Lipid_Params '!$A:$C,2,FALSE)</f>
        <v/>
      </c>
      <c r="Z22" s="58">
        <f>VLOOKUP(Z6,'Lipid_Params '!$A:$C,2,FALSE)</f>
        <v/>
      </c>
      <c r="AA22" s="58">
        <f>VLOOKUP(AA6,'Lipid_Params '!$A:$C,2,FALSE)</f>
        <v/>
      </c>
      <c r="AB22" s="15">
        <f>VLOOKUP(AB6,'Lipid_Params '!$A:$C,2,FALSE)</f>
        <v/>
      </c>
      <c r="AC22" s="58">
        <f>VLOOKUP(AC6,'Lipid_Params '!$A:$C,2,FALSE)</f>
        <v/>
      </c>
      <c r="AD22" s="58">
        <f>VLOOKUP(AD6,'Lipid_Params '!$A:$C,2,FALSE)</f>
        <v/>
      </c>
      <c r="AE22" s="15">
        <f>VLOOKUP(AE6,'Lipid_Params '!$A:$C,2,FALSE)</f>
        <v/>
      </c>
      <c r="AF22" s="58">
        <f>VLOOKUP(AF6,'Lipid_Params '!$A:$C,2,FALSE)</f>
        <v/>
      </c>
      <c r="AG22" s="58">
        <f>VLOOKUP(AG6,'Lipid_Params '!$A:$C,2,FALSE)</f>
        <v/>
      </c>
      <c r="AH22" s="15">
        <f>VLOOKUP(AH6,'Lipid_Params '!$A:$C,2,FALSE)</f>
        <v/>
      </c>
      <c r="AI22" s="58">
        <f>VLOOKUP(AI6,'Lipid_Params '!$A:$C,2,FALSE)</f>
        <v/>
      </c>
      <c r="AJ22" s="58">
        <f>VLOOKUP(AJ6,'Lipid_Params '!$A:$C,2,FALSE)</f>
        <v/>
      </c>
      <c r="AK22" s="15">
        <f>VLOOKUP(AK6,'Lipid_Params '!$A:$C,2,FALSE)</f>
        <v/>
      </c>
      <c r="AL22" s="58">
        <f>VLOOKUP(AL6,'Lipid_Params '!$A:$C,2,FALSE)</f>
        <v/>
      </c>
      <c r="AM22" s="58">
        <f>VLOOKUP(AM6,'Lipid_Params '!$A:$C,2,FALSE)</f>
        <v/>
      </c>
      <c r="AN22" s="15">
        <f>VLOOKUP(AN6,'Lipid_Params '!$A:$C,2,FALSE)</f>
        <v/>
      </c>
      <c r="AO22" s="58">
        <f>VLOOKUP(AO6,'Lipid_Params '!$A:$C,2,FALSE)</f>
        <v/>
      </c>
      <c r="AP22" s="58">
        <f>VLOOKUP(AP6,'Lipid_Params '!$A:$C,2,FALSE)</f>
        <v/>
      </c>
      <c r="AQ22" s="15">
        <f>VLOOKUP(AQ6,'Lipid_Params '!$A:$C,2,FALSE)</f>
        <v/>
      </c>
      <c r="AR22" s="58">
        <f>VLOOKUP(AR6,'Lipid_Params '!$A:$C,2,FALSE)</f>
        <v/>
      </c>
      <c r="AS22" s="58">
        <f>VLOOKUP(AS6,'Lipid_Params '!$A:$C,2,FALSE)</f>
        <v/>
      </c>
      <c r="AT22" s="58">
        <f>VLOOKUP(AT6,'Lipid_Params '!$A:$C,2,FALSE)</f>
        <v/>
      </c>
      <c r="AU22" s="15">
        <f>VLOOKUP(AU6,'Lipid_Params '!$A:$C,2,FALSE)</f>
        <v/>
      </c>
      <c r="AV22" s="58">
        <f>VLOOKUP(AV6,'Lipid_Params '!$A:$C,2,FALSE)</f>
        <v/>
      </c>
      <c r="AW22" s="58">
        <f>VLOOKUP(AW6,'Lipid_Params '!$A:$C,2,FALSE)</f>
        <v/>
      </c>
      <c r="AX22" s="15">
        <f>VLOOKUP(AX6,'Lipid_Params '!$A:$C,2,FALSE)</f>
        <v/>
      </c>
      <c r="AY22" s="58">
        <f>VLOOKUP(AY6,'Lipid_Params '!$A:$C,2,FALSE)</f>
        <v/>
      </c>
      <c r="AZ22" s="58">
        <f>VLOOKUP(AZ6,'Lipid_Params '!$A:$C,2,FALSE)</f>
        <v/>
      </c>
      <c r="BA22" s="15">
        <f>VLOOKUP(BA6,'Lipid_Params '!$A:$C,2,FALSE)</f>
        <v/>
      </c>
      <c r="BB22" s="58">
        <f>VLOOKUP(BB6,'Lipid_Params '!$A:$C,2,FALSE)</f>
        <v/>
      </c>
      <c r="BC22" s="58">
        <f>VLOOKUP(BC6,'Lipid_Params '!$A:$C,2,FALSE)</f>
        <v/>
      </c>
      <c r="BD22" s="15">
        <f>VLOOKUP(BD6,'Lipid_Params '!$A:$C,2,FALSE)</f>
        <v/>
      </c>
      <c r="BE22" s="58">
        <f>VLOOKUP(BE6,'Lipid_Params '!$A:$C,2,FALSE)</f>
        <v/>
      </c>
      <c r="BF22" s="58">
        <f>VLOOKUP(BF6,'Lipid_Params '!$A:$C,2,FALSE)</f>
        <v/>
      </c>
      <c r="BG22" s="15">
        <f>VLOOKUP(BG6,'Lipid_Params '!$A:$C,2,FALSE)</f>
        <v/>
      </c>
      <c r="BH22" s="58">
        <f>VLOOKUP(BH6,'Lipid_Params '!$A:$C,2,FALSE)</f>
        <v/>
      </c>
      <c r="BI22" s="58">
        <f>VLOOKUP(BI6,'Lipid_Params '!$A:$C,2,FALSE)</f>
        <v/>
      </c>
      <c r="BJ22" s="15">
        <f>VLOOKUP(BJ6,'Lipid_Params '!$A:$C,2,FALSE)</f>
        <v/>
      </c>
      <c r="BK22" s="58">
        <f>VLOOKUP(BK6,'Lipid_Params '!$A:$C,2,FALSE)</f>
        <v/>
      </c>
      <c r="BL22" s="58">
        <f>VLOOKUP(BL6,'Lipid_Params '!$A:$C,2,FALSE)</f>
        <v/>
      </c>
      <c r="BM22" s="58">
        <f>VLOOKUP(BM6,'Lipid_Params '!$A:$C,2,FALSE)</f>
        <v/>
      </c>
      <c r="BN22" s="15">
        <f>VLOOKUP(BN6,'Lipid_Params '!$A:$C,2,FALSE)</f>
        <v/>
      </c>
      <c r="BO22" s="58">
        <f>VLOOKUP(BO6,'Lipid_Params '!$A:$C,2,FALSE)</f>
        <v/>
      </c>
      <c r="BP22" s="58">
        <f>VLOOKUP(BP6,'Lipid_Params '!$A:$C,2,FALSE)</f>
        <v/>
      </c>
      <c r="BQ22" s="15">
        <f>VLOOKUP(BQ6,'Lipid_Params '!$A:$C,2,FALSE)</f>
        <v/>
      </c>
      <c r="BR22" s="58">
        <f>VLOOKUP(BR6,'Lipid_Params '!$A:$C,2,FALSE)</f>
        <v/>
      </c>
      <c r="BS22" s="58">
        <f>VLOOKUP(BS6,'Lipid_Params '!$A:$C,2,FALSE)</f>
        <v/>
      </c>
      <c r="BT22" s="15">
        <f>VLOOKUP(BT6,'Lipid_Params '!$A:$C,2,FALSE)</f>
        <v/>
      </c>
      <c r="BU22" s="58">
        <f>VLOOKUP(BU6,'Lipid_Params '!$A:$C,2,FALSE)</f>
        <v/>
      </c>
      <c r="BV22" s="58">
        <f>VLOOKUP(BV6,'Lipid_Params '!$A:$C,2,FALSE)</f>
        <v/>
      </c>
      <c r="BW22" s="15">
        <f>VLOOKUP(BW6,'Lipid_Params '!$A:$C,2,FALSE)</f>
        <v/>
      </c>
      <c r="BX22" s="58">
        <f>VLOOKUP(BX6,'Lipid_Params '!$A:$C,2,FALSE)</f>
        <v/>
      </c>
      <c r="BY22" s="58">
        <f>VLOOKUP(BY6,'Lipid_Params '!$A:$C,2,FALSE)</f>
        <v/>
      </c>
      <c r="BZ22" s="15">
        <f>VLOOKUP(BZ6,'Lipid_Params '!$A:$C,2,FALSE)</f>
        <v/>
      </c>
      <c r="CA22" s="58">
        <f>VLOOKUP(CA6,'Lipid_Params '!$A:$C,2,FALSE)</f>
        <v/>
      </c>
      <c r="CB22" s="58">
        <f>VLOOKUP(CB6,'Lipid_Params '!$A:$C,2,FALSE)</f>
        <v/>
      </c>
      <c r="CC22" s="15">
        <f>VLOOKUP(CC6,'Lipid_Params '!$A:$C,2,FALSE)</f>
        <v/>
      </c>
      <c r="CD22" s="58">
        <f>VLOOKUP(CD6,'Lipid_Params '!$A:$C,2,FALSE)</f>
        <v/>
      </c>
      <c r="CE22" s="58">
        <f>VLOOKUP(CE6,'Lipid_Params '!$A:$C,2,FALSE)</f>
        <v/>
      </c>
      <c r="CF22" s="58">
        <f>VLOOKUP(CF6,'Lipid_Params '!$A:$C,2,FALSE)</f>
        <v/>
      </c>
      <c r="CG22" s="15">
        <f>VLOOKUP(CG6,'Lipid_Params '!$A:$C,2,FALSE)</f>
        <v/>
      </c>
      <c r="CH22" s="58">
        <f>VLOOKUP(CH6,'Lipid_Params '!$A:$C,2,FALSE)</f>
        <v/>
      </c>
      <c r="CI22" s="58">
        <f>VLOOKUP(CI6,'Lipid_Params '!$A:$C,2,FALSE)</f>
        <v/>
      </c>
      <c r="CJ22" s="15">
        <f>VLOOKUP(CJ6,'Lipid_Params '!$A:$C,2,FALSE)</f>
        <v/>
      </c>
      <c r="CK22" s="58">
        <f>VLOOKUP(CK6,'Lipid_Params '!$A:$C,2,FALSE)</f>
        <v/>
      </c>
      <c r="CL22" s="58">
        <f>VLOOKUP(CL6,'Lipid_Params '!$A:$C,2,FALSE)</f>
        <v/>
      </c>
      <c r="CM22" s="15">
        <f>VLOOKUP(CM6,'Lipid_Params '!$A:$C,2,FALSE)</f>
        <v/>
      </c>
      <c r="CN22" s="58">
        <f>VLOOKUP(CN6,'Lipid_Params '!$A:$C,2,FALSE)</f>
        <v/>
      </c>
      <c r="CO22" s="58">
        <f>VLOOKUP(CO6,'Lipid_Params '!$A:$C,2,FALSE)</f>
        <v/>
      </c>
      <c r="CP22" s="15">
        <f>VLOOKUP(CP6,'Lipid_Params '!$A:$C,2,FALSE)</f>
        <v/>
      </c>
      <c r="CQ22" s="58">
        <f>VLOOKUP(CQ6,'Lipid_Params '!$A:$C,2,FALSE)</f>
        <v/>
      </c>
      <c r="CR22" s="58">
        <f>VLOOKUP(CR6,'Lipid_Params '!$A:$C,2,FALSE)</f>
        <v/>
      </c>
      <c r="CS22" s="15">
        <f>VLOOKUP(CS6,'Lipid_Params '!$A:$C,2,FALSE)</f>
        <v/>
      </c>
      <c r="CT22" s="58">
        <f>VLOOKUP(CT6,'Lipid_Params '!$A:$C,2,FALSE)</f>
        <v/>
      </c>
      <c r="CU22" s="58">
        <f>VLOOKUP(CU6,'Lipid_Params '!$A:$C,2,FALSE)</f>
        <v/>
      </c>
      <c r="CV22" s="15">
        <f>VLOOKUP(CV6,'Lipid_Params '!$A:$C,2,FALSE)</f>
        <v/>
      </c>
      <c r="CW22" s="58">
        <f>VLOOKUP(CW6,'Lipid_Params '!$A:$C,2,FALSE)</f>
        <v/>
      </c>
      <c r="CX22" s="58">
        <f>VLOOKUP(CX6,'Lipid_Params '!$A:$C,2,FALSE)</f>
        <v/>
      </c>
      <c r="CY22" s="58">
        <f>VLOOKUP(CY6,'Lipid_Params '!$A:$C,2,FALSE)</f>
        <v/>
      </c>
      <c r="CZ22" s="15">
        <f>VLOOKUP(CZ6,'Lipid_Params '!$A:$C,2,FALSE)</f>
        <v/>
      </c>
      <c r="DA22" s="58">
        <f>VLOOKUP(DA6,'Lipid_Params '!$A:$C,2,FALSE)</f>
        <v/>
      </c>
      <c r="DB22" s="58">
        <f>VLOOKUP(DB6,'Lipid_Params '!$A:$C,2,FALSE)</f>
        <v/>
      </c>
      <c r="DC22" s="15">
        <f>VLOOKUP(DC6,'Lipid_Params '!$A:$C,2,FALSE)</f>
        <v/>
      </c>
      <c r="DD22" s="58">
        <f>VLOOKUP(DD6,'Lipid_Params '!$A:$C,2,FALSE)</f>
        <v/>
      </c>
      <c r="DE22" s="58">
        <f>VLOOKUP(DE6,'Lipid_Params '!$A:$C,2,FALSE)</f>
        <v/>
      </c>
      <c r="DF22" s="15">
        <f>VLOOKUP(DF6,'Lipid_Params '!$A:$C,2,FALSE)</f>
        <v/>
      </c>
      <c r="DG22" s="58">
        <f>VLOOKUP(DG6,'Lipid_Params '!$A:$C,2,FALSE)</f>
        <v/>
      </c>
      <c r="DH22" s="58">
        <f>VLOOKUP(DH6,'Lipid_Params '!$A:$C,2,FALSE)</f>
        <v/>
      </c>
      <c r="DI22" s="15">
        <f>VLOOKUP(DI6,'Lipid_Params '!$A:$C,2,FALSE)</f>
        <v/>
      </c>
      <c r="DJ22" s="58">
        <f>VLOOKUP(DJ6,'Lipid_Params '!$A:$C,2,FALSE)</f>
        <v/>
      </c>
      <c r="DK22" s="58">
        <f>VLOOKUP(DK6,'Lipid_Params '!$A:$C,2,FALSE)</f>
        <v/>
      </c>
      <c r="DL22" s="15">
        <f>VLOOKUP(DL6,'Lipid_Params '!$A:$C,2,FALSE)</f>
        <v/>
      </c>
      <c r="DM22" s="58">
        <f>VLOOKUP(DM6,'Lipid_Params '!$A:$C,2,FALSE)</f>
        <v/>
      </c>
      <c r="DN22" s="58">
        <f>VLOOKUP(DN6,'Lipid_Params '!$A:$C,2,FALSE)</f>
        <v/>
      </c>
      <c r="DO22" s="15">
        <f>VLOOKUP(DO6,'Lipid_Params '!$A:$C,2,FALSE)</f>
        <v/>
      </c>
      <c r="DP22" s="58">
        <f>VLOOKUP(DP6,'Lipid_Params '!$A:$C,2,FALSE)</f>
        <v/>
      </c>
      <c r="DQ22" s="58">
        <f>VLOOKUP(DQ6,'Lipid_Params '!$A:$C,2,FALSE)</f>
        <v/>
      </c>
      <c r="DR22" s="58">
        <f>VLOOKUP(DR6,'Lipid_Params '!$A:$C,2,FALSE)</f>
        <v/>
      </c>
      <c r="DS22" s="15">
        <f>VLOOKUP(DS6,'Lipid_Params '!$A:$C,2,FALSE)</f>
        <v/>
      </c>
      <c r="DT22" s="58">
        <f>VLOOKUP(DT6,'Lipid_Params '!$A:$C,2,FALSE)</f>
        <v/>
      </c>
      <c r="DU22" s="58">
        <f>VLOOKUP(DU6,'Lipid_Params '!$A:$C,2,FALSE)</f>
        <v/>
      </c>
      <c r="DV22" s="15">
        <f>VLOOKUP(DV6,'Lipid_Params '!$A:$C,2,FALSE)</f>
        <v/>
      </c>
      <c r="DW22" s="58">
        <f>VLOOKUP(DW6,'Lipid_Params '!$A:$C,2,FALSE)</f>
        <v/>
      </c>
      <c r="DX22" s="58">
        <f>VLOOKUP(DX6,'Lipid_Params '!$A:$C,2,FALSE)</f>
        <v/>
      </c>
      <c r="DY22" s="15">
        <f>VLOOKUP(DY6,'Lipid_Params '!$A:$C,2,FALSE)</f>
        <v/>
      </c>
      <c r="DZ22" s="58">
        <f>VLOOKUP(DZ6,'Lipid_Params '!$A:$C,2,FALSE)</f>
        <v/>
      </c>
      <c r="EA22" s="58">
        <f>VLOOKUP(EA6,'Lipid_Params '!$A:$C,2,FALSE)</f>
        <v/>
      </c>
      <c r="EB22" s="15">
        <f>VLOOKUP(EB6,'Lipid_Params '!$A:$C,2,FALSE)</f>
        <v/>
      </c>
      <c r="EC22" s="58">
        <f>VLOOKUP(EC6,'Lipid_Params '!$A:$C,2,FALSE)</f>
        <v/>
      </c>
      <c r="ED22" s="58">
        <f>VLOOKUP(ED6,'Lipid_Params '!$A:$C,2,FALSE)</f>
        <v/>
      </c>
      <c r="EE22" s="15">
        <f>VLOOKUP(EE6,'Lipid_Params '!$A:$C,2,FALSE)</f>
        <v/>
      </c>
      <c r="EF22" s="58">
        <f>VLOOKUP(EF6,'Lipid_Params '!$A:$C,2,FALSE)</f>
        <v/>
      </c>
      <c r="EG22" s="58">
        <f>VLOOKUP(EG6,'Lipid_Params '!$A:$C,2,FALSE)</f>
        <v/>
      </c>
      <c r="EH22" s="15">
        <f>VLOOKUP(EH6,'Lipid_Params '!$A:$C,2,FALSE)</f>
        <v/>
      </c>
      <c r="EI22" s="58">
        <f>VLOOKUP(EI6,'Lipid_Params '!$A:$C,2,FALSE)</f>
        <v/>
      </c>
      <c r="EJ22" s="58">
        <f>VLOOKUP(EJ6,'Lipid_Params '!$A:$C,2,FALSE)</f>
        <v/>
      </c>
    </row>
    <row r="23">
      <c r="A23" t="inlineStr">
        <is>
          <t>Helper Lipid Mol Weight</t>
        </is>
      </c>
      <c r="B23" s="15" t="inlineStr">
        <is>
          <t>g/mol</t>
        </is>
      </c>
      <c r="C23" s="78">
        <f>VLOOKUP(C7,'Lipid_Params '!$A:$C,2,FALSE)</f>
        <v/>
      </c>
      <c r="D23" s="58">
        <f>VLOOKUP(D7,'Lipid_Params '!$A:$C,2,FALSE)</f>
        <v/>
      </c>
      <c r="E23" s="1">
        <f>VLOOKUP(E7,'Lipid_Params '!$A:$C,2,FALSE)</f>
        <v/>
      </c>
      <c r="F23" s="15">
        <f>VLOOKUP(F7,'Lipid_Params '!$A:$C,2,FALSE)</f>
        <v/>
      </c>
      <c r="G23" s="58">
        <f>VLOOKUP(G7,'Lipid_Params '!$A:$C,2,FALSE)</f>
        <v/>
      </c>
      <c r="H23" s="58">
        <f>VLOOKUP(H7,'Lipid_Params '!$A:$C,2,FALSE)</f>
        <v/>
      </c>
      <c r="I23" s="15">
        <f>VLOOKUP(I7,'Lipid_Params '!$A:$C,2,FALSE)</f>
        <v/>
      </c>
      <c r="J23" s="58">
        <f>VLOOKUP(J7,'Lipid_Params '!$A:$C,2,FALSE)</f>
        <v/>
      </c>
      <c r="K23" s="58">
        <f>VLOOKUP(K7,'Lipid_Params '!$A:$C,2,FALSE)</f>
        <v/>
      </c>
      <c r="L23" s="15">
        <f>VLOOKUP(L7,'Lipid_Params '!$A:$C,2,FALSE)</f>
        <v/>
      </c>
      <c r="M23" s="58">
        <f>VLOOKUP(M7,'Lipid_Params '!$A:$C,2,FALSE)</f>
        <v/>
      </c>
      <c r="N23" s="58">
        <f>VLOOKUP(N7,'Lipid_Params '!$A:$C,2,FALSE)</f>
        <v/>
      </c>
      <c r="O23" s="15">
        <f>VLOOKUP(O7,'Lipid_Params '!$A:$C,2,FALSE)</f>
        <v/>
      </c>
      <c r="P23" s="58">
        <f>VLOOKUP(P7,'Lipid_Params '!$A:$C,2,FALSE)</f>
        <v/>
      </c>
      <c r="Q23" s="58">
        <f>VLOOKUP(Q7,'Lipid_Params '!$A:$C,2,FALSE)</f>
        <v/>
      </c>
      <c r="R23" s="15">
        <f>VLOOKUP(R7,'Lipid_Params '!$A:$C,2,FALSE)</f>
        <v/>
      </c>
      <c r="S23" s="58">
        <f>VLOOKUP(S7,'Lipid_Params '!$A:$C,2,FALSE)</f>
        <v/>
      </c>
      <c r="T23" s="58">
        <f>VLOOKUP(T7,'Lipid_Params '!$A:$C,2,FALSE)</f>
        <v/>
      </c>
      <c r="U23" s="15">
        <f>VLOOKUP(U7,'Lipid_Params '!$A:$C,2,FALSE)</f>
        <v/>
      </c>
      <c r="V23" s="58">
        <f>VLOOKUP(V7,'Lipid_Params '!$A:$C,2,FALSE)</f>
        <v/>
      </c>
      <c r="W23" s="58">
        <f>VLOOKUP(W7,'Lipid_Params '!$A:$C,2,FALSE)</f>
        <v/>
      </c>
      <c r="X23" s="15">
        <f>VLOOKUP(X7,'Lipid_Params '!$A:$C,2,FALSE)</f>
        <v/>
      </c>
      <c r="Y23" s="58">
        <f>VLOOKUP(Y7,'Lipid_Params '!$A:$C,2,FALSE)</f>
        <v/>
      </c>
      <c r="Z23" s="58">
        <f>VLOOKUP(Z7,'Lipid_Params '!$A:$C,2,FALSE)</f>
        <v/>
      </c>
      <c r="AA23" s="58">
        <f>VLOOKUP(AA7,'Lipid_Params '!$A:$C,2,FALSE)</f>
        <v/>
      </c>
      <c r="AB23" s="15">
        <f>VLOOKUP(AB7,'Lipid_Params '!$A:$C,2,FALSE)</f>
        <v/>
      </c>
      <c r="AC23" s="58">
        <f>VLOOKUP(AC7,'Lipid_Params '!$A:$C,2,FALSE)</f>
        <v/>
      </c>
      <c r="AD23" s="58">
        <f>VLOOKUP(AD7,'Lipid_Params '!$A:$C,2,FALSE)</f>
        <v/>
      </c>
      <c r="AE23" s="15">
        <f>VLOOKUP(AE7,'Lipid_Params '!$A:$C,2,FALSE)</f>
        <v/>
      </c>
      <c r="AF23" s="58">
        <f>VLOOKUP(AF7,'Lipid_Params '!$A:$C,2,FALSE)</f>
        <v/>
      </c>
      <c r="AG23" s="58">
        <f>VLOOKUP(AG7,'Lipid_Params '!$A:$C,2,FALSE)</f>
        <v/>
      </c>
      <c r="AH23" s="15">
        <f>VLOOKUP(AH7,'Lipid_Params '!$A:$C,2,FALSE)</f>
        <v/>
      </c>
      <c r="AI23" s="58">
        <f>VLOOKUP(AI7,'Lipid_Params '!$A:$C,2,FALSE)</f>
        <v/>
      </c>
      <c r="AJ23" s="58">
        <f>VLOOKUP(AJ7,'Lipid_Params '!$A:$C,2,FALSE)</f>
        <v/>
      </c>
      <c r="AK23" s="15">
        <f>VLOOKUP(AK7,'Lipid_Params '!$A:$C,2,FALSE)</f>
        <v/>
      </c>
      <c r="AL23" s="58">
        <f>VLOOKUP(AL7,'Lipid_Params '!$A:$C,2,FALSE)</f>
        <v/>
      </c>
      <c r="AM23" s="58">
        <f>VLOOKUP(AM7,'Lipid_Params '!$A:$C,2,FALSE)</f>
        <v/>
      </c>
      <c r="AN23" s="15">
        <f>VLOOKUP(AN7,'Lipid_Params '!$A:$C,2,FALSE)</f>
        <v/>
      </c>
      <c r="AO23" s="58">
        <f>VLOOKUP(AO7,'Lipid_Params '!$A:$C,2,FALSE)</f>
        <v/>
      </c>
      <c r="AP23" s="58">
        <f>VLOOKUP(AP7,'Lipid_Params '!$A:$C,2,FALSE)</f>
        <v/>
      </c>
      <c r="AQ23" s="15">
        <f>VLOOKUP(AQ7,'Lipid_Params '!$A:$C,2,FALSE)</f>
        <v/>
      </c>
      <c r="AR23" s="58">
        <f>VLOOKUP(AR7,'Lipid_Params '!$A:$C,2,FALSE)</f>
        <v/>
      </c>
      <c r="AS23" s="58">
        <f>VLOOKUP(AS7,'Lipid_Params '!$A:$C,2,FALSE)</f>
        <v/>
      </c>
      <c r="AT23" s="58">
        <f>VLOOKUP(AT7,'Lipid_Params '!$A:$C,2,FALSE)</f>
        <v/>
      </c>
      <c r="AU23" s="15">
        <f>VLOOKUP(AU7,'Lipid_Params '!$A:$C,2,FALSE)</f>
        <v/>
      </c>
      <c r="AV23" s="58">
        <f>VLOOKUP(AV7,'Lipid_Params '!$A:$C,2,FALSE)</f>
        <v/>
      </c>
      <c r="AW23" s="58">
        <f>VLOOKUP(AW7,'Lipid_Params '!$A:$C,2,FALSE)</f>
        <v/>
      </c>
      <c r="AX23" s="15">
        <f>VLOOKUP(AX7,'Lipid_Params '!$A:$C,2,FALSE)</f>
        <v/>
      </c>
      <c r="AY23" s="58">
        <f>VLOOKUP(AY7,'Lipid_Params '!$A:$C,2,FALSE)</f>
        <v/>
      </c>
      <c r="AZ23" s="58">
        <f>VLOOKUP(AZ7,'Lipid_Params '!$A:$C,2,FALSE)</f>
        <v/>
      </c>
      <c r="BA23" s="15">
        <f>VLOOKUP(BA7,'Lipid_Params '!$A:$C,2,FALSE)</f>
        <v/>
      </c>
      <c r="BB23" s="58">
        <f>VLOOKUP(BB7,'Lipid_Params '!$A:$C,2,FALSE)</f>
        <v/>
      </c>
      <c r="BC23" s="58">
        <f>VLOOKUP(BC7,'Lipid_Params '!$A:$C,2,FALSE)</f>
        <v/>
      </c>
      <c r="BD23" s="15">
        <f>VLOOKUP(BD7,'Lipid_Params '!$A:$C,2,FALSE)</f>
        <v/>
      </c>
      <c r="BE23" s="58">
        <f>VLOOKUP(BE7,'Lipid_Params '!$A:$C,2,FALSE)</f>
        <v/>
      </c>
      <c r="BF23" s="58">
        <f>VLOOKUP(BF7,'Lipid_Params '!$A:$C,2,FALSE)</f>
        <v/>
      </c>
      <c r="BG23" s="15">
        <f>VLOOKUP(BG7,'Lipid_Params '!$A:$C,2,FALSE)</f>
        <v/>
      </c>
      <c r="BH23" s="58">
        <f>VLOOKUP(BH7,'Lipid_Params '!$A:$C,2,FALSE)</f>
        <v/>
      </c>
      <c r="BI23" s="58">
        <f>VLOOKUP(BI7,'Lipid_Params '!$A:$C,2,FALSE)</f>
        <v/>
      </c>
      <c r="BJ23" s="15">
        <f>VLOOKUP(BJ7,'Lipid_Params '!$A:$C,2,FALSE)</f>
        <v/>
      </c>
      <c r="BK23" s="58">
        <f>VLOOKUP(BK7,'Lipid_Params '!$A:$C,2,FALSE)</f>
        <v/>
      </c>
      <c r="BL23" s="58">
        <f>VLOOKUP(BL7,'Lipid_Params '!$A:$C,2,FALSE)</f>
        <v/>
      </c>
      <c r="BM23" s="58">
        <f>VLOOKUP(BM7,'Lipid_Params '!$A:$C,2,FALSE)</f>
        <v/>
      </c>
      <c r="BN23" s="15">
        <f>VLOOKUP(BN7,'Lipid_Params '!$A:$C,2,FALSE)</f>
        <v/>
      </c>
      <c r="BO23" s="58">
        <f>VLOOKUP(BO7,'Lipid_Params '!$A:$C,2,FALSE)</f>
        <v/>
      </c>
      <c r="BP23" s="58">
        <f>VLOOKUP(BP7,'Lipid_Params '!$A:$C,2,FALSE)</f>
        <v/>
      </c>
      <c r="BQ23" s="15">
        <f>VLOOKUP(BQ7,'Lipid_Params '!$A:$C,2,FALSE)</f>
        <v/>
      </c>
      <c r="BR23" s="58">
        <f>VLOOKUP(BR7,'Lipid_Params '!$A:$C,2,FALSE)</f>
        <v/>
      </c>
      <c r="BS23" s="58">
        <f>VLOOKUP(BS7,'Lipid_Params '!$A:$C,2,FALSE)</f>
        <v/>
      </c>
      <c r="BT23" s="15">
        <f>VLOOKUP(BT7,'Lipid_Params '!$A:$C,2,FALSE)</f>
        <v/>
      </c>
      <c r="BU23" s="58">
        <f>VLOOKUP(BU7,'Lipid_Params '!$A:$C,2,FALSE)</f>
        <v/>
      </c>
      <c r="BV23" s="58">
        <f>VLOOKUP(BV7,'Lipid_Params '!$A:$C,2,FALSE)</f>
        <v/>
      </c>
      <c r="BW23" s="15">
        <f>VLOOKUP(BW7,'Lipid_Params '!$A:$C,2,FALSE)</f>
        <v/>
      </c>
      <c r="BX23" s="58">
        <f>VLOOKUP(BX7,'Lipid_Params '!$A:$C,2,FALSE)</f>
        <v/>
      </c>
      <c r="BY23" s="58">
        <f>VLOOKUP(BY7,'Lipid_Params '!$A:$C,2,FALSE)</f>
        <v/>
      </c>
      <c r="BZ23" s="15">
        <f>VLOOKUP(BZ7,'Lipid_Params '!$A:$C,2,FALSE)</f>
        <v/>
      </c>
      <c r="CA23" s="58">
        <f>VLOOKUP(CA7,'Lipid_Params '!$A:$C,2,FALSE)</f>
        <v/>
      </c>
      <c r="CB23" s="58">
        <f>VLOOKUP(CB7,'Lipid_Params '!$A:$C,2,FALSE)</f>
        <v/>
      </c>
      <c r="CC23" s="15">
        <f>VLOOKUP(CC7,'Lipid_Params '!$A:$C,2,FALSE)</f>
        <v/>
      </c>
      <c r="CD23" s="58">
        <f>VLOOKUP(CD7,'Lipid_Params '!$A:$C,2,FALSE)</f>
        <v/>
      </c>
      <c r="CE23" s="58">
        <f>VLOOKUP(CE7,'Lipid_Params '!$A:$C,2,FALSE)</f>
        <v/>
      </c>
      <c r="CF23" s="58">
        <f>VLOOKUP(CF7,'Lipid_Params '!$A:$C,2,FALSE)</f>
        <v/>
      </c>
      <c r="CG23" s="15">
        <f>VLOOKUP(CG7,'Lipid_Params '!$A:$C,2,FALSE)</f>
        <v/>
      </c>
      <c r="CH23" s="58">
        <f>VLOOKUP(CH7,'Lipid_Params '!$A:$C,2,FALSE)</f>
        <v/>
      </c>
      <c r="CI23" s="58">
        <f>VLOOKUP(CI7,'Lipid_Params '!$A:$C,2,FALSE)</f>
        <v/>
      </c>
      <c r="CJ23" s="15">
        <f>VLOOKUP(CJ7,'Lipid_Params '!$A:$C,2,FALSE)</f>
        <v/>
      </c>
      <c r="CK23" s="58">
        <f>VLOOKUP(CK7,'Lipid_Params '!$A:$C,2,FALSE)</f>
        <v/>
      </c>
      <c r="CL23" s="58">
        <f>VLOOKUP(CL7,'Lipid_Params '!$A:$C,2,FALSE)</f>
        <v/>
      </c>
      <c r="CM23" s="15">
        <f>VLOOKUP(CM7,'Lipid_Params '!$A:$C,2,FALSE)</f>
        <v/>
      </c>
      <c r="CN23" s="58">
        <f>VLOOKUP(CN7,'Lipid_Params '!$A:$C,2,FALSE)</f>
        <v/>
      </c>
      <c r="CO23" s="58">
        <f>VLOOKUP(CO7,'Lipid_Params '!$A:$C,2,FALSE)</f>
        <v/>
      </c>
      <c r="CP23" s="15">
        <f>VLOOKUP(CP7,'Lipid_Params '!$A:$C,2,FALSE)</f>
        <v/>
      </c>
      <c r="CQ23" s="58">
        <f>VLOOKUP(CQ7,'Lipid_Params '!$A:$C,2,FALSE)</f>
        <v/>
      </c>
      <c r="CR23" s="58">
        <f>VLOOKUP(CR7,'Lipid_Params '!$A:$C,2,FALSE)</f>
        <v/>
      </c>
      <c r="CS23" s="15">
        <f>VLOOKUP(CS7,'Lipid_Params '!$A:$C,2,FALSE)</f>
        <v/>
      </c>
      <c r="CT23" s="58">
        <f>VLOOKUP(CT7,'Lipid_Params '!$A:$C,2,FALSE)</f>
        <v/>
      </c>
      <c r="CU23" s="58">
        <f>VLOOKUP(CU7,'Lipid_Params '!$A:$C,2,FALSE)</f>
        <v/>
      </c>
      <c r="CV23" s="15">
        <f>VLOOKUP(CV7,'Lipid_Params '!$A:$C,2,FALSE)</f>
        <v/>
      </c>
      <c r="CW23" s="58">
        <f>VLOOKUP(CW7,'Lipid_Params '!$A:$C,2,FALSE)</f>
        <v/>
      </c>
      <c r="CX23" s="58">
        <f>VLOOKUP(CX7,'Lipid_Params '!$A:$C,2,FALSE)</f>
        <v/>
      </c>
      <c r="CY23" s="58">
        <f>VLOOKUP(CY7,'Lipid_Params '!$A:$C,2,FALSE)</f>
        <v/>
      </c>
      <c r="CZ23" s="15">
        <f>VLOOKUP(CZ7,'Lipid_Params '!$A:$C,2,FALSE)</f>
        <v/>
      </c>
      <c r="DA23" s="58">
        <f>VLOOKUP(DA7,'Lipid_Params '!$A:$C,2,FALSE)</f>
        <v/>
      </c>
      <c r="DB23" s="58">
        <f>VLOOKUP(DB7,'Lipid_Params '!$A:$C,2,FALSE)</f>
        <v/>
      </c>
      <c r="DC23" s="15">
        <f>VLOOKUP(DC7,'Lipid_Params '!$A:$C,2,FALSE)</f>
        <v/>
      </c>
      <c r="DD23" s="58">
        <f>VLOOKUP(DD7,'Lipid_Params '!$A:$C,2,FALSE)</f>
        <v/>
      </c>
      <c r="DE23" s="58">
        <f>VLOOKUP(DE7,'Lipid_Params '!$A:$C,2,FALSE)</f>
        <v/>
      </c>
      <c r="DF23" s="15">
        <f>VLOOKUP(DF7,'Lipid_Params '!$A:$C,2,FALSE)</f>
        <v/>
      </c>
      <c r="DG23" s="58">
        <f>VLOOKUP(DG7,'Lipid_Params '!$A:$C,2,FALSE)</f>
        <v/>
      </c>
      <c r="DH23" s="58">
        <f>VLOOKUP(DH7,'Lipid_Params '!$A:$C,2,FALSE)</f>
        <v/>
      </c>
      <c r="DI23" s="15">
        <f>VLOOKUP(DI7,'Lipid_Params '!$A:$C,2,FALSE)</f>
        <v/>
      </c>
      <c r="DJ23" s="58">
        <f>VLOOKUP(DJ7,'Lipid_Params '!$A:$C,2,FALSE)</f>
        <v/>
      </c>
      <c r="DK23" s="58">
        <f>VLOOKUP(DK7,'Lipid_Params '!$A:$C,2,FALSE)</f>
        <v/>
      </c>
      <c r="DL23" s="15">
        <f>VLOOKUP(DL7,'Lipid_Params '!$A:$C,2,FALSE)</f>
        <v/>
      </c>
      <c r="DM23" s="58">
        <f>VLOOKUP(DM7,'Lipid_Params '!$A:$C,2,FALSE)</f>
        <v/>
      </c>
      <c r="DN23" s="58">
        <f>VLOOKUP(DN7,'Lipid_Params '!$A:$C,2,FALSE)</f>
        <v/>
      </c>
      <c r="DO23" s="15">
        <f>VLOOKUP(DO7,'Lipid_Params '!$A:$C,2,FALSE)</f>
        <v/>
      </c>
      <c r="DP23" s="58">
        <f>VLOOKUP(DP7,'Lipid_Params '!$A:$C,2,FALSE)</f>
        <v/>
      </c>
      <c r="DQ23" s="58">
        <f>VLOOKUP(DQ7,'Lipid_Params '!$A:$C,2,FALSE)</f>
        <v/>
      </c>
      <c r="DR23" s="58">
        <f>VLOOKUP(DR7,'Lipid_Params '!$A:$C,2,FALSE)</f>
        <v/>
      </c>
      <c r="DS23" s="15">
        <f>VLOOKUP(DS7,'Lipid_Params '!$A:$C,2,FALSE)</f>
        <v/>
      </c>
      <c r="DT23" s="58">
        <f>VLOOKUP(DT7,'Lipid_Params '!$A:$C,2,FALSE)</f>
        <v/>
      </c>
      <c r="DU23" s="58">
        <f>VLOOKUP(DU7,'Lipid_Params '!$A:$C,2,FALSE)</f>
        <v/>
      </c>
      <c r="DV23" s="15">
        <f>VLOOKUP(DV7,'Lipid_Params '!$A:$C,2,FALSE)</f>
        <v/>
      </c>
      <c r="DW23" s="58">
        <f>VLOOKUP(DW7,'Lipid_Params '!$A:$C,2,FALSE)</f>
        <v/>
      </c>
      <c r="DX23" s="58">
        <f>VLOOKUP(DX7,'Lipid_Params '!$A:$C,2,FALSE)</f>
        <v/>
      </c>
      <c r="DY23" s="15">
        <f>VLOOKUP(DY7,'Lipid_Params '!$A:$C,2,FALSE)</f>
        <v/>
      </c>
      <c r="DZ23" s="58">
        <f>VLOOKUP(DZ7,'Lipid_Params '!$A:$C,2,FALSE)</f>
        <v/>
      </c>
      <c r="EA23" s="58">
        <f>VLOOKUP(EA7,'Lipid_Params '!$A:$C,2,FALSE)</f>
        <v/>
      </c>
      <c r="EB23" s="15">
        <f>VLOOKUP(EB7,'Lipid_Params '!$A:$C,2,FALSE)</f>
        <v/>
      </c>
      <c r="EC23" s="58">
        <f>VLOOKUP(EC7,'Lipid_Params '!$A:$C,2,FALSE)</f>
        <v/>
      </c>
      <c r="ED23" s="58">
        <f>VLOOKUP(ED7,'Lipid_Params '!$A:$C,2,FALSE)</f>
        <v/>
      </c>
      <c r="EE23" s="15">
        <f>VLOOKUP(EE7,'Lipid_Params '!$A:$C,2,FALSE)</f>
        <v/>
      </c>
      <c r="EF23" s="58">
        <f>VLOOKUP(EF7,'Lipid_Params '!$A:$C,2,FALSE)</f>
        <v/>
      </c>
      <c r="EG23" s="58">
        <f>VLOOKUP(EG7,'Lipid_Params '!$A:$C,2,FALSE)</f>
        <v/>
      </c>
      <c r="EH23" s="15">
        <f>VLOOKUP(EH7,'Lipid_Params '!$A:$C,2,FALSE)</f>
        <v/>
      </c>
      <c r="EI23" s="58">
        <f>VLOOKUP(EI7,'Lipid_Params '!$A:$C,2,FALSE)</f>
        <v/>
      </c>
      <c r="EJ23" s="58">
        <f>VLOOKUP(EJ7,'Lipid_Params '!$A:$C,2,FALSE)</f>
        <v/>
      </c>
    </row>
    <row r="24">
      <c r="A24" t="inlineStr">
        <is>
          <t>Cholesterol Mol Weight</t>
        </is>
      </c>
      <c r="B24" s="15" t="inlineStr">
        <is>
          <t>g/mol</t>
        </is>
      </c>
      <c r="C24" s="78">
        <f>VLOOKUP(C8,'Lipid_Params '!$A:$C,2,FALSE)</f>
        <v/>
      </c>
      <c r="D24" s="58">
        <f>VLOOKUP(D8,'Lipid_Params '!$A:$C,2,FALSE)</f>
        <v/>
      </c>
      <c r="E24" s="1">
        <f>VLOOKUP(E8,'Lipid_Params '!$A:$C,2,FALSE)</f>
        <v/>
      </c>
      <c r="F24" s="15">
        <f>VLOOKUP(F8,'Lipid_Params '!$A:$C,2,FALSE)</f>
        <v/>
      </c>
      <c r="G24" s="58">
        <f>VLOOKUP(G8,'Lipid_Params '!$A:$C,2,FALSE)</f>
        <v/>
      </c>
      <c r="H24" s="58">
        <f>VLOOKUP(H8,'Lipid_Params '!$A:$C,2,FALSE)</f>
        <v/>
      </c>
      <c r="I24" s="15">
        <f>VLOOKUP(I8,'Lipid_Params '!$A:$C,2,FALSE)</f>
        <v/>
      </c>
      <c r="J24" s="58">
        <f>VLOOKUP(J8,'Lipid_Params '!$A:$C,2,FALSE)</f>
        <v/>
      </c>
      <c r="K24" s="58">
        <f>VLOOKUP(K8,'Lipid_Params '!$A:$C,2,FALSE)</f>
        <v/>
      </c>
      <c r="L24" s="15">
        <f>VLOOKUP(L8,'Lipid_Params '!$A:$C,2,FALSE)</f>
        <v/>
      </c>
      <c r="M24" s="58">
        <f>VLOOKUP(M8,'Lipid_Params '!$A:$C,2,FALSE)</f>
        <v/>
      </c>
      <c r="N24" s="58">
        <f>VLOOKUP(N8,'Lipid_Params '!$A:$C,2,FALSE)</f>
        <v/>
      </c>
      <c r="O24" s="15">
        <f>VLOOKUP(O8,'Lipid_Params '!$A:$C,2,FALSE)</f>
        <v/>
      </c>
      <c r="P24" s="58">
        <f>VLOOKUP(P8,'Lipid_Params '!$A:$C,2,FALSE)</f>
        <v/>
      </c>
      <c r="Q24" s="58">
        <f>VLOOKUP(Q8,'Lipid_Params '!$A:$C,2,FALSE)</f>
        <v/>
      </c>
      <c r="R24" s="15">
        <f>VLOOKUP(R8,'Lipid_Params '!$A:$C,2,FALSE)</f>
        <v/>
      </c>
      <c r="S24" s="58">
        <f>VLOOKUP(S8,'Lipid_Params '!$A:$C,2,FALSE)</f>
        <v/>
      </c>
      <c r="T24" s="58">
        <f>VLOOKUP(T8,'Lipid_Params '!$A:$C,2,FALSE)</f>
        <v/>
      </c>
      <c r="U24" s="15">
        <f>VLOOKUP(U8,'Lipid_Params '!$A:$C,2,FALSE)</f>
        <v/>
      </c>
      <c r="V24" s="58">
        <f>VLOOKUP(V8,'Lipid_Params '!$A:$C,2,FALSE)</f>
        <v/>
      </c>
      <c r="W24" s="58">
        <f>VLOOKUP(W8,'Lipid_Params '!$A:$C,2,FALSE)</f>
        <v/>
      </c>
      <c r="X24" s="15">
        <f>VLOOKUP(X8,'Lipid_Params '!$A:$C,2,FALSE)</f>
        <v/>
      </c>
      <c r="Y24" s="58">
        <f>VLOOKUP(Y8,'Lipid_Params '!$A:$C,2,FALSE)</f>
        <v/>
      </c>
      <c r="Z24" s="58">
        <f>VLOOKUP(Z8,'Lipid_Params '!$A:$C,2,FALSE)</f>
        <v/>
      </c>
      <c r="AA24" s="58">
        <f>VLOOKUP(AA8,'Lipid_Params '!$A:$C,2,FALSE)</f>
        <v/>
      </c>
      <c r="AB24" s="15">
        <f>VLOOKUP(AB8,'Lipid_Params '!$A:$C,2,FALSE)</f>
        <v/>
      </c>
      <c r="AC24" s="58">
        <f>VLOOKUP(AC8,'Lipid_Params '!$A:$C,2,FALSE)</f>
        <v/>
      </c>
      <c r="AD24" s="58">
        <f>VLOOKUP(AD8,'Lipid_Params '!$A:$C,2,FALSE)</f>
        <v/>
      </c>
      <c r="AE24" s="15">
        <f>VLOOKUP(AE8,'Lipid_Params '!$A:$C,2,FALSE)</f>
        <v/>
      </c>
      <c r="AF24" s="58">
        <f>VLOOKUP(AF8,'Lipid_Params '!$A:$C,2,FALSE)</f>
        <v/>
      </c>
      <c r="AG24" s="58">
        <f>VLOOKUP(AG8,'Lipid_Params '!$A:$C,2,FALSE)</f>
        <v/>
      </c>
      <c r="AH24" s="15">
        <f>VLOOKUP(AH8,'Lipid_Params '!$A:$C,2,FALSE)</f>
        <v/>
      </c>
      <c r="AI24" s="58">
        <f>VLOOKUP(AI8,'Lipid_Params '!$A:$C,2,FALSE)</f>
        <v/>
      </c>
      <c r="AJ24" s="58">
        <f>VLOOKUP(AJ8,'Lipid_Params '!$A:$C,2,FALSE)</f>
        <v/>
      </c>
      <c r="AK24" s="15">
        <f>VLOOKUP(AK8,'Lipid_Params '!$A:$C,2,FALSE)</f>
        <v/>
      </c>
      <c r="AL24" s="58">
        <f>VLOOKUP(AL8,'Lipid_Params '!$A:$C,2,FALSE)</f>
        <v/>
      </c>
      <c r="AM24" s="58">
        <f>VLOOKUP(AM8,'Lipid_Params '!$A:$C,2,FALSE)</f>
        <v/>
      </c>
      <c r="AN24" s="15">
        <f>VLOOKUP(AN8,'Lipid_Params '!$A:$C,2,FALSE)</f>
        <v/>
      </c>
      <c r="AO24" s="58">
        <f>VLOOKUP(AO8,'Lipid_Params '!$A:$C,2,FALSE)</f>
        <v/>
      </c>
      <c r="AP24" s="58">
        <f>VLOOKUP(AP8,'Lipid_Params '!$A:$C,2,FALSE)</f>
        <v/>
      </c>
      <c r="AQ24" s="15">
        <f>VLOOKUP(AQ8,'Lipid_Params '!$A:$C,2,FALSE)</f>
        <v/>
      </c>
      <c r="AR24" s="58">
        <f>VLOOKUP(AR8,'Lipid_Params '!$A:$C,2,FALSE)</f>
        <v/>
      </c>
      <c r="AS24" s="58">
        <f>VLOOKUP(AS8,'Lipid_Params '!$A:$C,2,FALSE)</f>
        <v/>
      </c>
      <c r="AT24" s="58">
        <f>VLOOKUP(AT8,'Lipid_Params '!$A:$C,2,FALSE)</f>
        <v/>
      </c>
      <c r="AU24" s="15">
        <f>VLOOKUP(AU8,'Lipid_Params '!$A:$C,2,FALSE)</f>
        <v/>
      </c>
      <c r="AV24" s="58">
        <f>VLOOKUP(AV8,'Lipid_Params '!$A:$C,2,FALSE)</f>
        <v/>
      </c>
      <c r="AW24" s="58">
        <f>VLOOKUP(AW8,'Lipid_Params '!$A:$C,2,FALSE)</f>
        <v/>
      </c>
      <c r="AX24" s="15">
        <f>VLOOKUP(AX8,'Lipid_Params '!$A:$C,2,FALSE)</f>
        <v/>
      </c>
      <c r="AY24" s="58">
        <f>VLOOKUP(AY8,'Lipid_Params '!$A:$C,2,FALSE)</f>
        <v/>
      </c>
      <c r="AZ24" s="58">
        <f>VLOOKUP(AZ8,'Lipid_Params '!$A:$C,2,FALSE)</f>
        <v/>
      </c>
      <c r="BA24" s="15">
        <f>VLOOKUP(BA8,'Lipid_Params '!$A:$C,2,FALSE)</f>
        <v/>
      </c>
      <c r="BB24" s="58">
        <f>VLOOKUP(BB8,'Lipid_Params '!$A:$C,2,FALSE)</f>
        <v/>
      </c>
      <c r="BC24" s="58">
        <f>VLOOKUP(BC8,'Lipid_Params '!$A:$C,2,FALSE)</f>
        <v/>
      </c>
      <c r="BD24" s="15">
        <f>VLOOKUP(BD8,'Lipid_Params '!$A:$C,2,FALSE)</f>
        <v/>
      </c>
      <c r="BE24" s="58">
        <f>VLOOKUP(BE8,'Lipid_Params '!$A:$C,2,FALSE)</f>
        <v/>
      </c>
      <c r="BF24" s="58">
        <f>VLOOKUP(BF8,'Lipid_Params '!$A:$C,2,FALSE)</f>
        <v/>
      </c>
      <c r="BG24" s="15">
        <f>VLOOKUP(BG8,'Lipid_Params '!$A:$C,2,FALSE)</f>
        <v/>
      </c>
      <c r="BH24" s="58">
        <f>VLOOKUP(BH8,'Lipid_Params '!$A:$C,2,FALSE)</f>
        <v/>
      </c>
      <c r="BI24" s="58">
        <f>VLOOKUP(BI8,'Lipid_Params '!$A:$C,2,FALSE)</f>
        <v/>
      </c>
      <c r="BJ24" s="15">
        <f>VLOOKUP(BJ8,'Lipid_Params '!$A:$C,2,FALSE)</f>
        <v/>
      </c>
      <c r="BK24" s="58">
        <f>VLOOKUP(BK8,'Lipid_Params '!$A:$C,2,FALSE)</f>
        <v/>
      </c>
      <c r="BL24" s="58">
        <f>VLOOKUP(BL8,'Lipid_Params '!$A:$C,2,FALSE)</f>
        <v/>
      </c>
      <c r="BM24" s="58">
        <f>VLOOKUP(BM8,'Lipid_Params '!$A:$C,2,FALSE)</f>
        <v/>
      </c>
      <c r="BN24" s="15">
        <f>VLOOKUP(BN8,'Lipid_Params '!$A:$C,2,FALSE)</f>
        <v/>
      </c>
      <c r="BO24" s="58">
        <f>VLOOKUP(BO8,'Lipid_Params '!$A:$C,2,FALSE)</f>
        <v/>
      </c>
      <c r="BP24" s="58">
        <f>VLOOKUP(BP8,'Lipid_Params '!$A:$C,2,FALSE)</f>
        <v/>
      </c>
      <c r="BQ24" s="15">
        <f>VLOOKUP(BQ8,'Lipid_Params '!$A:$C,2,FALSE)</f>
        <v/>
      </c>
      <c r="BR24" s="58">
        <f>VLOOKUP(BR8,'Lipid_Params '!$A:$C,2,FALSE)</f>
        <v/>
      </c>
      <c r="BS24" s="58">
        <f>VLOOKUP(BS8,'Lipid_Params '!$A:$C,2,FALSE)</f>
        <v/>
      </c>
      <c r="BT24" s="15">
        <f>VLOOKUP(BT8,'Lipid_Params '!$A:$C,2,FALSE)</f>
        <v/>
      </c>
      <c r="BU24" s="58">
        <f>VLOOKUP(BU8,'Lipid_Params '!$A:$C,2,FALSE)</f>
        <v/>
      </c>
      <c r="BV24" s="58">
        <f>VLOOKUP(BV8,'Lipid_Params '!$A:$C,2,FALSE)</f>
        <v/>
      </c>
      <c r="BW24" s="15">
        <f>VLOOKUP(BW8,'Lipid_Params '!$A:$C,2,FALSE)</f>
        <v/>
      </c>
      <c r="BX24" s="58">
        <f>VLOOKUP(BX8,'Lipid_Params '!$A:$C,2,FALSE)</f>
        <v/>
      </c>
      <c r="BY24" s="58">
        <f>VLOOKUP(BY8,'Lipid_Params '!$A:$C,2,FALSE)</f>
        <v/>
      </c>
      <c r="BZ24" s="15">
        <f>VLOOKUP(BZ8,'Lipid_Params '!$A:$C,2,FALSE)</f>
        <v/>
      </c>
      <c r="CA24" s="58">
        <f>VLOOKUP(CA8,'Lipid_Params '!$A:$C,2,FALSE)</f>
        <v/>
      </c>
      <c r="CB24" s="58">
        <f>VLOOKUP(CB8,'Lipid_Params '!$A:$C,2,FALSE)</f>
        <v/>
      </c>
      <c r="CC24" s="15">
        <f>VLOOKUP(CC8,'Lipid_Params '!$A:$C,2,FALSE)</f>
        <v/>
      </c>
      <c r="CD24" s="58">
        <f>VLOOKUP(CD8,'Lipid_Params '!$A:$C,2,FALSE)</f>
        <v/>
      </c>
      <c r="CE24" s="58">
        <f>VLOOKUP(CE8,'Lipid_Params '!$A:$C,2,FALSE)</f>
        <v/>
      </c>
      <c r="CF24" s="58">
        <f>VLOOKUP(CF8,'Lipid_Params '!$A:$C,2,FALSE)</f>
        <v/>
      </c>
      <c r="CG24" s="15">
        <f>VLOOKUP(CG8,'Lipid_Params '!$A:$C,2,FALSE)</f>
        <v/>
      </c>
      <c r="CH24" s="58">
        <f>VLOOKUP(CH8,'Lipid_Params '!$A:$C,2,FALSE)</f>
        <v/>
      </c>
      <c r="CI24" s="58">
        <f>VLOOKUP(CI8,'Lipid_Params '!$A:$C,2,FALSE)</f>
        <v/>
      </c>
      <c r="CJ24" s="15">
        <f>VLOOKUP(CJ8,'Lipid_Params '!$A:$C,2,FALSE)</f>
        <v/>
      </c>
      <c r="CK24" s="58">
        <f>VLOOKUP(CK8,'Lipid_Params '!$A:$C,2,FALSE)</f>
        <v/>
      </c>
      <c r="CL24" s="58">
        <f>VLOOKUP(CL8,'Lipid_Params '!$A:$C,2,FALSE)</f>
        <v/>
      </c>
      <c r="CM24" s="15">
        <f>VLOOKUP(CM8,'Lipid_Params '!$A:$C,2,FALSE)</f>
        <v/>
      </c>
      <c r="CN24" s="58">
        <f>VLOOKUP(CN8,'Lipid_Params '!$A:$C,2,FALSE)</f>
        <v/>
      </c>
      <c r="CO24" s="58">
        <f>VLOOKUP(CO8,'Lipid_Params '!$A:$C,2,FALSE)</f>
        <v/>
      </c>
      <c r="CP24" s="15">
        <f>VLOOKUP(CP8,'Lipid_Params '!$A:$C,2,FALSE)</f>
        <v/>
      </c>
      <c r="CQ24" s="58">
        <f>VLOOKUP(CQ8,'Lipid_Params '!$A:$C,2,FALSE)</f>
        <v/>
      </c>
      <c r="CR24" s="58">
        <f>VLOOKUP(CR8,'Lipid_Params '!$A:$C,2,FALSE)</f>
        <v/>
      </c>
      <c r="CS24" s="15">
        <f>VLOOKUP(CS8,'Lipid_Params '!$A:$C,2,FALSE)</f>
        <v/>
      </c>
      <c r="CT24" s="58">
        <f>VLOOKUP(CT8,'Lipid_Params '!$A:$C,2,FALSE)</f>
        <v/>
      </c>
      <c r="CU24" s="58">
        <f>VLOOKUP(CU8,'Lipid_Params '!$A:$C,2,FALSE)</f>
        <v/>
      </c>
      <c r="CV24" s="15">
        <f>VLOOKUP(CV8,'Lipid_Params '!$A:$C,2,FALSE)</f>
        <v/>
      </c>
      <c r="CW24" s="58">
        <f>VLOOKUP(CW8,'Lipid_Params '!$A:$C,2,FALSE)</f>
        <v/>
      </c>
      <c r="CX24" s="58">
        <f>VLOOKUP(CX8,'Lipid_Params '!$A:$C,2,FALSE)</f>
        <v/>
      </c>
      <c r="CY24" s="58">
        <f>VLOOKUP(CY8,'Lipid_Params '!$A:$C,2,FALSE)</f>
        <v/>
      </c>
      <c r="CZ24" s="15">
        <f>VLOOKUP(CZ8,'Lipid_Params '!$A:$C,2,FALSE)</f>
        <v/>
      </c>
      <c r="DA24" s="58">
        <f>VLOOKUP(DA8,'Lipid_Params '!$A:$C,2,FALSE)</f>
        <v/>
      </c>
      <c r="DB24" s="58">
        <f>VLOOKUP(DB8,'Lipid_Params '!$A:$C,2,FALSE)</f>
        <v/>
      </c>
      <c r="DC24" s="15">
        <f>VLOOKUP(DC8,'Lipid_Params '!$A:$C,2,FALSE)</f>
        <v/>
      </c>
      <c r="DD24" s="58">
        <f>VLOOKUP(DD8,'Lipid_Params '!$A:$C,2,FALSE)</f>
        <v/>
      </c>
      <c r="DE24" s="58">
        <f>VLOOKUP(DE8,'Lipid_Params '!$A:$C,2,FALSE)</f>
        <v/>
      </c>
      <c r="DF24" s="15">
        <f>VLOOKUP(DF8,'Lipid_Params '!$A:$C,2,FALSE)</f>
        <v/>
      </c>
      <c r="DG24" s="58">
        <f>VLOOKUP(DG8,'Lipid_Params '!$A:$C,2,FALSE)</f>
        <v/>
      </c>
      <c r="DH24" s="58">
        <f>VLOOKUP(DH8,'Lipid_Params '!$A:$C,2,FALSE)</f>
        <v/>
      </c>
      <c r="DI24" s="15">
        <f>VLOOKUP(DI8,'Lipid_Params '!$A:$C,2,FALSE)</f>
        <v/>
      </c>
      <c r="DJ24" s="58">
        <f>VLOOKUP(DJ8,'Lipid_Params '!$A:$C,2,FALSE)</f>
        <v/>
      </c>
      <c r="DK24" s="58">
        <f>VLOOKUP(DK8,'Lipid_Params '!$A:$C,2,FALSE)</f>
        <v/>
      </c>
      <c r="DL24" s="15">
        <f>VLOOKUP(DL8,'Lipid_Params '!$A:$C,2,FALSE)</f>
        <v/>
      </c>
      <c r="DM24" s="58">
        <f>VLOOKUP(DM8,'Lipid_Params '!$A:$C,2,FALSE)</f>
        <v/>
      </c>
      <c r="DN24" s="58">
        <f>VLOOKUP(DN8,'Lipid_Params '!$A:$C,2,FALSE)</f>
        <v/>
      </c>
      <c r="DO24" s="15">
        <f>VLOOKUP(DO8,'Lipid_Params '!$A:$C,2,FALSE)</f>
        <v/>
      </c>
      <c r="DP24" s="58">
        <f>VLOOKUP(DP8,'Lipid_Params '!$A:$C,2,FALSE)</f>
        <v/>
      </c>
      <c r="DQ24" s="58">
        <f>VLOOKUP(DQ8,'Lipid_Params '!$A:$C,2,FALSE)</f>
        <v/>
      </c>
      <c r="DR24" s="58">
        <f>VLOOKUP(DR8,'Lipid_Params '!$A:$C,2,FALSE)</f>
        <v/>
      </c>
      <c r="DS24" s="15">
        <f>VLOOKUP(DS8,'Lipid_Params '!$A:$C,2,FALSE)</f>
        <v/>
      </c>
      <c r="DT24" s="58">
        <f>VLOOKUP(DT8,'Lipid_Params '!$A:$C,2,FALSE)</f>
        <v/>
      </c>
      <c r="DU24" s="58">
        <f>VLOOKUP(DU8,'Lipid_Params '!$A:$C,2,FALSE)</f>
        <v/>
      </c>
      <c r="DV24" s="15">
        <f>VLOOKUP(DV8,'Lipid_Params '!$A:$C,2,FALSE)</f>
        <v/>
      </c>
      <c r="DW24" s="58">
        <f>VLOOKUP(DW8,'Lipid_Params '!$A:$C,2,FALSE)</f>
        <v/>
      </c>
      <c r="DX24" s="58">
        <f>VLOOKUP(DX8,'Lipid_Params '!$A:$C,2,FALSE)</f>
        <v/>
      </c>
      <c r="DY24" s="15">
        <f>VLOOKUP(DY8,'Lipid_Params '!$A:$C,2,FALSE)</f>
        <v/>
      </c>
      <c r="DZ24" s="58">
        <f>VLOOKUP(DZ8,'Lipid_Params '!$A:$C,2,FALSE)</f>
        <v/>
      </c>
      <c r="EA24" s="58">
        <f>VLOOKUP(EA8,'Lipid_Params '!$A:$C,2,FALSE)</f>
        <v/>
      </c>
      <c r="EB24" s="15">
        <f>VLOOKUP(EB8,'Lipid_Params '!$A:$C,2,FALSE)</f>
        <v/>
      </c>
      <c r="EC24" s="58">
        <f>VLOOKUP(EC8,'Lipid_Params '!$A:$C,2,FALSE)</f>
        <v/>
      </c>
      <c r="ED24" s="58">
        <f>VLOOKUP(ED8,'Lipid_Params '!$A:$C,2,FALSE)</f>
        <v/>
      </c>
      <c r="EE24" s="15">
        <f>VLOOKUP(EE8,'Lipid_Params '!$A:$C,2,FALSE)</f>
        <v/>
      </c>
      <c r="EF24" s="58">
        <f>VLOOKUP(EF8,'Lipid_Params '!$A:$C,2,FALSE)</f>
        <v/>
      </c>
      <c r="EG24" s="58">
        <f>VLOOKUP(EG8,'Lipid_Params '!$A:$C,2,FALSE)</f>
        <v/>
      </c>
      <c r="EH24" s="15">
        <f>VLOOKUP(EH8,'Lipid_Params '!$A:$C,2,FALSE)</f>
        <v/>
      </c>
      <c r="EI24" s="58">
        <f>VLOOKUP(EI8,'Lipid_Params '!$A:$C,2,FALSE)</f>
        <v/>
      </c>
      <c r="EJ24" s="58">
        <f>VLOOKUP(EJ8,'Lipid_Params '!$A:$C,2,FALSE)</f>
        <v/>
      </c>
    </row>
    <row r="25">
      <c r="A25" t="inlineStr">
        <is>
          <t>DMG-PEG Mol Weight</t>
        </is>
      </c>
      <c r="B25" s="15" t="inlineStr">
        <is>
          <t>g/mol</t>
        </is>
      </c>
      <c r="C25" s="78">
        <f>VLOOKUP(C9,'Lipid_Params '!$A:$C,2,FALSE)</f>
        <v/>
      </c>
      <c r="D25" s="58">
        <f>VLOOKUP(D9,'Lipid_Params '!$A:$C,2,FALSE)</f>
        <v/>
      </c>
      <c r="E25" s="1">
        <f>VLOOKUP(E9,'Lipid_Params '!$A:$C,2,FALSE)</f>
        <v/>
      </c>
      <c r="F25" s="15">
        <f>VLOOKUP(F9,'Lipid_Params '!$A:$C,2,FALSE)</f>
        <v/>
      </c>
      <c r="G25" s="58">
        <f>VLOOKUP(G9,'Lipid_Params '!$A:$C,2,FALSE)</f>
        <v/>
      </c>
      <c r="H25" s="58">
        <f>VLOOKUP(H9,'Lipid_Params '!$A:$C,2,FALSE)</f>
        <v/>
      </c>
      <c r="I25" s="15">
        <f>VLOOKUP(I9,'Lipid_Params '!$A:$C,2,FALSE)</f>
        <v/>
      </c>
      <c r="J25" s="58">
        <f>VLOOKUP(J9,'Lipid_Params '!$A:$C,2,FALSE)</f>
        <v/>
      </c>
      <c r="K25" s="58">
        <f>VLOOKUP(K9,'Lipid_Params '!$A:$C,2,FALSE)</f>
        <v/>
      </c>
      <c r="L25" s="15">
        <f>VLOOKUP(L9,'Lipid_Params '!$A:$C,2,FALSE)</f>
        <v/>
      </c>
      <c r="M25" s="58">
        <f>VLOOKUP(M9,'Lipid_Params '!$A:$C,2,FALSE)</f>
        <v/>
      </c>
      <c r="N25" s="58">
        <f>VLOOKUP(N9,'Lipid_Params '!$A:$C,2,FALSE)</f>
        <v/>
      </c>
      <c r="O25" s="15">
        <f>VLOOKUP(O9,'Lipid_Params '!$A:$C,2,FALSE)</f>
        <v/>
      </c>
      <c r="P25" s="58">
        <f>VLOOKUP(P9,'Lipid_Params '!$A:$C,2,FALSE)</f>
        <v/>
      </c>
      <c r="Q25" s="58">
        <f>VLOOKUP(Q9,'Lipid_Params '!$A:$C,2,FALSE)</f>
        <v/>
      </c>
      <c r="R25" s="15">
        <f>VLOOKUP(R9,'Lipid_Params '!$A:$C,2,FALSE)</f>
        <v/>
      </c>
      <c r="S25" s="58">
        <f>VLOOKUP(S9,'Lipid_Params '!$A:$C,2,FALSE)</f>
        <v/>
      </c>
      <c r="T25" s="58">
        <f>VLOOKUP(T9,'Lipid_Params '!$A:$C,2,FALSE)</f>
        <v/>
      </c>
      <c r="U25" s="15">
        <f>VLOOKUP(U9,'Lipid_Params '!$A:$C,2,FALSE)</f>
        <v/>
      </c>
      <c r="V25" s="58">
        <f>VLOOKUP(V9,'Lipid_Params '!$A:$C,2,FALSE)</f>
        <v/>
      </c>
      <c r="W25" s="58">
        <f>VLOOKUP(W9,'Lipid_Params '!$A:$C,2,FALSE)</f>
        <v/>
      </c>
      <c r="X25" s="15">
        <f>VLOOKUP(X9,'Lipid_Params '!$A:$C,2,FALSE)</f>
        <v/>
      </c>
      <c r="Y25" s="58">
        <f>VLOOKUP(Y9,'Lipid_Params '!$A:$C,2,FALSE)</f>
        <v/>
      </c>
      <c r="Z25" s="58">
        <f>VLOOKUP(Z9,'Lipid_Params '!$A:$C,2,FALSE)</f>
        <v/>
      </c>
      <c r="AA25" s="58">
        <f>VLOOKUP(AA9,'Lipid_Params '!$A:$C,2,FALSE)</f>
        <v/>
      </c>
      <c r="AB25" s="15">
        <f>VLOOKUP(AB9,'Lipid_Params '!$A:$C,2,FALSE)</f>
        <v/>
      </c>
      <c r="AC25" s="58">
        <f>VLOOKUP(AC9,'Lipid_Params '!$A:$C,2,FALSE)</f>
        <v/>
      </c>
      <c r="AD25" s="58">
        <f>VLOOKUP(AD9,'Lipid_Params '!$A:$C,2,FALSE)</f>
        <v/>
      </c>
      <c r="AE25" s="15">
        <f>VLOOKUP(AE9,'Lipid_Params '!$A:$C,2,FALSE)</f>
        <v/>
      </c>
      <c r="AF25" s="58">
        <f>VLOOKUP(AF9,'Lipid_Params '!$A:$C,2,FALSE)</f>
        <v/>
      </c>
      <c r="AG25" s="58">
        <f>VLOOKUP(AG9,'Lipid_Params '!$A:$C,2,FALSE)</f>
        <v/>
      </c>
      <c r="AH25" s="15">
        <f>VLOOKUP(AH9,'Lipid_Params '!$A:$C,2,FALSE)</f>
        <v/>
      </c>
      <c r="AI25" s="58">
        <f>VLOOKUP(AI9,'Lipid_Params '!$A:$C,2,FALSE)</f>
        <v/>
      </c>
      <c r="AJ25" s="58">
        <f>VLOOKUP(AJ9,'Lipid_Params '!$A:$C,2,FALSE)</f>
        <v/>
      </c>
      <c r="AK25" s="15">
        <f>VLOOKUP(AK9,'Lipid_Params '!$A:$C,2,FALSE)</f>
        <v/>
      </c>
      <c r="AL25" s="58">
        <f>VLOOKUP(AL9,'Lipid_Params '!$A:$C,2,FALSE)</f>
        <v/>
      </c>
      <c r="AM25" s="58">
        <f>VLOOKUP(AM9,'Lipid_Params '!$A:$C,2,FALSE)</f>
        <v/>
      </c>
      <c r="AN25" s="15">
        <f>VLOOKUP(AN9,'Lipid_Params '!$A:$C,2,FALSE)</f>
        <v/>
      </c>
      <c r="AO25" s="58">
        <f>VLOOKUP(AO9,'Lipid_Params '!$A:$C,2,FALSE)</f>
        <v/>
      </c>
      <c r="AP25" s="58">
        <f>VLOOKUP(AP9,'Lipid_Params '!$A:$C,2,FALSE)</f>
        <v/>
      </c>
      <c r="AQ25" s="15">
        <f>VLOOKUP(AQ9,'Lipid_Params '!$A:$C,2,FALSE)</f>
        <v/>
      </c>
      <c r="AR25" s="58">
        <f>VLOOKUP(AR9,'Lipid_Params '!$A:$C,2,FALSE)</f>
        <v/>
      </c>
      <c r="AS25" s="58">
        <f>VLOOKUP(AS9,'Lipid_Params '!$A:$C,2,FALSE)</f>
        <v/>
      </c>
      <c r="AT25" s="58">
        <f>VLOOKUP(AT9,'Lipid_Params '!$A:$C,2,FALSE)</f>
        <v/>
      </c>
      <c r="AU25" s="15">
        <f>VLOOKUP(AU9,'Lipid_Params '!$A:$C,2,FALSE)</f>
        <v/>
      </c>
      <c r="AV25" s="58">
        <f>VLOOKUP(AV9,'Lipid_Params '!$A:$C,2,FALSE)</f>
        <v/>
      </c>
      <c r="AW25" s="58">
        <f>VLOOKUP(AW9,'Lipid_Params '!$A:$C,2,FALSE)</f>
        <v/>
      </c>
      <c r="AX25" s="15">
        <f>VLOOKUP(AX9,'Lipid_Params '!$A:$C,2,FALSE)</f>
        <v/>
      </c>
      <c r="AY25" s="58">
        <f>VLOOKUP(AY9,'Lipid_Params '!$A:$C,2,FALSE)</f>
        <v/>
      </c>
      <c r="AZ25" s="58">
        <f>VLOOKUP(AZ9,'Lipid_Params '!$A:$C,2,FALSE)</f>
        <v/>
      </c>
      <c r="BA25" s="15">
        <f>VLOOKUP(BA9,'Lipid_Params '!$A:$C,2,FALSE)</f>
        <v/>
      </c>
      <c r="BB25" s="58">
        <f>VLOOKUP(BB9,'Lipid_Params '!$A:$C,2,FALSE)</f>
        <v/>
      </c>
      <c r="BC25" s="58">
        <f>VLOOKUP(BC9,'Lipid_Params '!$A:$C,2,FALSE)</f>
        <v/>
      </c>
      <c r="BD25" s="15">
        <f>VLOOKUP(BD9,'Lipid_Params '!$A:$C,2,FALSE)</f>
        <v/>
      </c>
      <c r="BE25" s="58">
        <f>VLOOKUP(BE9,'Lipid_Params '!$A:$C,2,FALSE)</f>
        <v/>
      </c>
      <c r="BF25" s="58">
        <f>VLOOKUP(BF9,'Lipid_Params '!$A:$C,2,FALSE)</f>
        <v/>
      </c>
      <c r="BG25" s="15">
        <f>VLOOKUP(BG9,'Lipid_Params '!$A:$C,2,FALSE)</f>
        <v/>
      </c>
      <c r="BH25" s="58">
        <f>VLOOKUP(BH9,'Lipid_Params '!$A:$C,2,FALSE)</f>
        <v/>
      </c>
      <c r="BI25" s="58">
        <f>VLOOKUP(BI9,'Lipid_Params '!$A:$C,2,FALSE)</f>
        <v/>
      </c>
      <c r="BJ25" s="15">
        <f>VLOOKUP(BJ9,'Lipid_Params '!$A:$C,2,FALSE)</f>
        <v/>
      </c>
      <c r="BK25" s="58">
        <f>VLOOKUP(BK9,'Lipid_Params '!$A:$C,2,FALSE)</f>
        <v/>
      </c>
      <c r="BL25" s="58">
        <f>VLOOKUP(BL9,'Lipid_Params '!$A:$C,2,FALSE)</f>
        <v/>
      </c>
      <c r="BM25" s="58">
        <f>VLOOKUP(BM9,'Lipid_Params '!$A:$C,2,FALSE)</f>
        <v/>
      </c>
      <c r="BN25" s="15">
        <f>VLOOKUP(BN9,'Lipid_Params '!$A:$C,2,FALSE)</f>
        <v/>
      </c>
      <c r="BO25" s="58">
        <f>VLOOKUP(BO9,'Lipid_Params '!$A:$C,2,FALSE)</f>
        <v/>
      </c>
      <c r="BP25" s="58">
        <f>VLOOKUP(BP9,'Lipid_Params '!$A:$C,2,FALSE)</f>
        <v/>
      </c>
      <c r="BQ25" s="15">
        <f>VLOOKUP(BQ9,'Lipid_Params '!$A:$C,2,FALSE)</f>
        <v/>
      </c>
      <c r="BR25" s="58">
        <f>VLOOKUP(BR9,'Lipid_Params '!$A:$C,2,FALSE)</f>
        <v/>
      </c>
      <c r="BS25" s="58">
        <f>VLOOKUP(BS9,'Lipid_Params '!$A:$C,2,FALSE)</f>
        <v/>
      </c>
      <c r="BT25" s="15">
        <f>VLOOKUP(BT9,'Lipid_Params '!$A:$C,2,FALSE)</f>
        <v/>
      </c>
      <c r="BU25" s="58">
        <f>VLOOKUP(BU9,'Lipid_Params '!$A:$C,2,FALSE)</f>
        <v/>
      </c>
      <c r="BV25" s="58">
        <f>VLOOKUP(BV9,'Lipid_Params '!$A:$C,2,FALSE)</f>
        <v/>
      </c>
      <c r="BW25" s="15">
        <f>VLOOKUP(BW9,'Lipid_Params '!$A:$C,2,FALSE)</f>
        <v/>
      </c>
      <c r="BX25" s="58">
        <f>VLOOKUP(BX9,'Lipid_Params '!$A:$C,2,FALSE)</f>
        <v/>
      </c>
      <c r="BY25" s="58">
        <f>VLOOKUP(BY9,'Lipid_Params '!$A:$C,2,FALSE)</f>
        <v/>
      </c>
      <c r="BZ25" s="15">
        <f>VLOOKUP(BZ9,'Lipid_Params '!$A:$C,2,FALSE)</f>
        <v/>
      </c>
      <c r="CA25" s="58">
        <f>VLOOKUP(CA9,'Lipid_Params '!$A:$C,2,FALSE)</f>
        <v/>
      </c>
      <c r="CB25" s="58">
        <f>VLOOKUP(CB9,'Lipid_Params '!$A:$C,2,FALSE)</f>
        <v/>
      </c>
      <c r="CC25" s="15">
        <f>VLOOKUP(CC9,'Lipid_Params '!$A:$C,2,FALSE)</f>
        <v/>
      </c>
      <c r="CD25" s="58">
        <f>VLOOKUP(CD9,'Lipid_Params '!$A:$C,2,FALSE)</f>
        <v/>
      </c>
      <c r="CE25" s="58">
        <f>VLOOKUP(CE9,'Lipid_Params '!$A:$C,2,FALSE)</f>
        <v/>
      </c>
      <c r="CF25" s="58">
        <f>VLOOKUP(CF9,'Lipid_Params '!$A:$C,2,FALSE)</f>
        <v/>
      </c>
      <c r="CG25" s="15">
        <f>VLOOKUP(CG9,'Lipid_Params '!$A:$C,2,FALSE)</f>
        <v/>
      </c>
      <c r="CH25" s="58">
        <f>VLOOKUP(CH9,'Lipid_Params '!$A:$C,2,FALSE)</f>
        <v/>
      </c>
      <c r="CI25" s="58">
        <f>VLOOKUP(CI9,'Lipid_Params '!$A:$C,2,FALSE)</f>
        <v/>
      </c>
      <c r="CJ25" s="15">
        <f>VLOOKUP(CJ9,'Lipid_Params '!$A:$C,2,FALSE)</f>
        <v/>
      </c>
      <c r="CK25" s="58">
        <f>VLOOKUP(CK9,'Lipid_Params '!$A:$C,2,FALSE)</f>
        <v/>
      </c>
      <c r="CL25" s="58">
        <f>VLOOKUP(CL9,'Lipid_Params '!$A:$C,2,FALSE)</f>
        <v/>
      </c>
      <c r="CM25" s="15">
        <f>VLOOKUP(CM9,'Lipid_Params '!$A:$C,2,FALSE)</f>
        <v/>
      </c>
      <c r="CN25" s="58">
        <f>VLOOKUP(CN9,'Lipid_Params '!$A:$C,2,FALSE)</f>
        <v/>
      </c>
      <c r="CO25" s="58">
        <f>VLOOKUP(CO9,'Lipid_Params '!$A:$C,2,FALSE)</f>
        <v/>
      </c>
      <c r="CP25" s="15">
        <f>VLOOKUP(CP9,'Lipid_Params '!$A:$C,2,FALSE)</f>
        <v/>
      </c>
      <c r="CQ25" s="58">
        <f>VLOOKUP(CQ9,'Lipid_Params '!$A:$C,2,FALSE)</f>
        <v/>
      </c>
      <c r="CR25" s="58">
        <f>VLOOKUP(CR9,'Lipid_Params '!$A:$C,2,FALSE)</f>
        <v/>
      </c>
      <c r="CS25" s="15">
        <f>VLOOKUP(CS9,'Lipid_Params '!$A:$C,2,FALSE)</f>
        <v/>
      </c>
      <c r="CT25" s="58">
        <f>VLOOKUP(CT9,'Lipid_Params '!$A:$C,2,FALSE)</f>
        <v/>
      </c>
      <c r="CU25" s="58">
        <f>VLOOKUP(CU9,'Lipid_Params '!$A:$C,2,FALSE)</f>
        <v/>
      </c>
      <c r="CV25" s="15">
        <f>VLOOKUP(CV9,'Lipid_Params '!$A:$C,2,FALSE)</f>
        <v/>
      </c>
      <c r="CW25" s="58">
        <f>VLOOKUP(CW9,'Lipid_Params '!$A:$C,2,FALSE)</f>
        <v/>
      </c>
      <c r="CX25" s="58">
        <f>VLOOKUP(CX9,'Lipid_Params '!$A:$C,2,FALSE)</f>
        <v/>
      </c>
      <c r="CY25" s="58">
        <f>VLOOKUP(CY9,'Lipid_Params '!$A:$C,2,FALSE)</f>
        <v/>
      </c>
      <c r="CZ25" s="15">
        <f>VLOOKUP(CZ9,'Lipid_Params '!$A:$C,2,FALSE)</f>
        <v/>
      </c>
      <c r="DA25" s="58">
        <f>VLOOKUP(DA9,'Lipid_Params '!$A:$C,2,FALSE)</f>
        <v/>
      </c>
      <c r="DB25" s="58">
        <f>VLOOKUP(DB9,'Lipid_Params '!$A:$C,2,FALSE)</f>
        <v/>
      </c>
      <c r="DC25" s="15">
        <f>VLOOKUP(DC9,'Lipid_Params '!$A:$C,2,FALSE)</f>
        <v/>
      </c>
      <c r="DD25" s="58">
        <f>VLOOKUP(DD9,'Lipid_Params '!$A:$C,2,FALSE)</f>
        <v/>
      </c>
      <c r="DE25" s="58">
        <f>VLOOKUP(DE9,'Lipid_Params '!$A:$C,2,FALSE)</f>
        <v/>
      </c>
      <c r="DF25" s="15">
        <f>VLOOKUP(DF9,'Lipid_Params '!$A:$C,2,FALSE)</f>
        <v/>
      </c>
      <c r="DG25" s="58">
        <f>VLOOKUP(DG9,'Lipid_Params '!$A:$C,2,FALSE)</f>
        <v/>
      </c>
      <c r="DH25" s="58">
        <f>VLOOKUP(DH9,'Lipid_Params '!$A:$C,2,FALSE)</f>
        <v/>
      </c>
      <c r="DI25" s="15">
        <f>VLOOKUP(DI9,'Lipid_Params '!$A:$C,2,FALSE)</f>
        <v/>
      </c>
      <c r="DJ25" s="58">
        <f>VLOOKUP(DJ9,'Lipid_Params '!$A:$C,2,FALSE)</f>
        <v/>
      </c>
      <c r="DK25" s="58">
        <f>VLOOKUP(DK9,'Lipid_Params '!$A:$C,2,FALSE)</f>
        <v/>
      </c>
      <c r="DL25" s="15">
        <f>VLOOKUP(DL9,'Lipid_Params '!$A:$C,2,FALSE)</f>
        <v/>
      </c>
      <c r="DM25" s="58">
        <f>VLOOKUP(DM9,'Lipid_Params '!$A:$C,2,FALSE)</f>
        <v/>
      </c>
      <c r="DN25" s="58">
        <f>VLOOKUP(DN9,'Lipid_Params '!$A:$C,2,FALSE)</f>
        <v/>
      </c>
      <c r="DO25" s="15">
        <f>VLOOKUP(DO9,'Lipid_Params '!$A:$C,2,FALSE)</f>
        <v/>
      </c>
      <c r="DP25" s="58">
        <f>VLOOKUP(DP9,'Lipid_Params '!$A:$C,2,FALSE)</f>
        <v/>
      </c>
      <c r="DQ25" s="58">
        <f>VLOOKUP(DQ9,'Lipid_Params '!$A:$C,2,FALSE)</f>
        <v/>
      </c>
      <c r="DR25" s="58">
        <f>VLOOKUP(DR9,'Lipid_Params '!$A:$C,2,FALSE)</f>
        <v/>
      </c>
      <c r="DS25" s="15">
        <f>VLOOKUP(DS9,'Lipid_Params '!$A:$C,2,FALSE)</f>
        <v/>
      </c>
      <c r="DT25" s="58">
        <f>VLOOKUP(DT9,'Lipid_Params '!$A:$C,2,FALSE)</f>
        <v/>
      </c>
      <c r="DU25" s="58">
        <f>VLOOKUP(DU9,'Lipid_Params '!$A:$C,2,FALSE)</f>
        <v/>
      </c>
      <c r="DV25" s="15">
        <f>VLOOKUP(DV9,'Lipid_Params '!$A:$C,2,FALSE)</f>
        <v/>
      </c>
      <c r="DW25" s="58">
        <f>VLOOKUP(DW9,'Lipid_Params '!$A:$C,2,FALSE)</f>
        <v/>
      </c>
      <c r="DX25" s="58">
        <f>VLOOKUP(DX9,'Lipid_Params '!$A:$C,2,FALSE)</f>
        <v/>
      </c>
      <c r="DY25" s="15">
        <f>VLOOKUP(DY9,'Lipid_Params '!$A:$C,2,FALSE)</f>
        <v/>
      </c>
      <c r="DZ25" s="58">
        <f>VLOOKUP(DZ9,'Lipid_Params '!$A:$C,2,FALSE)</f>
        <v/>
      </c>
      <c r="EA25" s="58">
        <f>VLOOKUP(EA9,'Lipid_Params '!$A:$C,2,FALSE)</f>
        <v/>
      </c>
      <c r="EB25" s="15">
        <f>VLOOKUP(EB9,'Lipid_Params '!$A:$C,2,FALSE)</f>
        <v/>
      </c>
      <c r="EC25" s="58">
        <f>VLOOKUP(EC9,'Lipid_Params '!$A:$C,2,FALSE)</f>
        <v/>
      </c>
      <c r="ED25" s="58">
        <f>VLOOKUP(ED9,'Lipid_Params '!$A:$C,2,FALSE)</f>
        <v/>
      </c>
      <c r="EE25" s="15">
        <f>VLOOKUP(EE9,'Lipid_Params '!$A:$C,2,FALSE)</f>
        <v/>
      </c>
      <c r="EF25" s="58">
        <f>VLOOKUP(EF9,'Lipid_Params '!$A:$C,2,FALSE)</f>
        <v/>
      </c>
      <c r="EG25" s="58">
        <f>VLOOKUP(EG9,'Lipid_Params '!$A:$C,2,FALSE)</f>
        <v/>
      </c>
      <c r="EH25" s="15">
        <f>VLOOKUP(EH9,'Lipid_Params '!$A:$C,2,FALSE)</f>
        <v/>
      </c>
      <c r="EI25" s="58">
        <f>VLOOKUP(EI9,'Lipid_Params '!$A:$C,2,FALSE)</f>
        <v/>
      </c>
      <c r="EJ25" s="58">
        <f>VLOOKUP(EJ9,'Lipid_Params '!$A:$C,2,FALSE)</f>
        <v/>
      </c>
    </row>
    <row r="26">
      <c r="A26" t="inlineStr">
        <is>
          <t>Estimated # Phosphates in nucleic acids (used in NP ratio calculation)</t>
        </is>
      </c>
      <c r="B26" s="15" t="inlineStr">
        <is>
          <t>nmol/ug</t>
        </is>
      </c>
      <c r="C26" s="78" t="n">
        <v>3</v>
      </c>
      <c r="D26" s="58" t="n">
        <v>3</v>
      </c>
      <c r="E26" s="1" t="n">
        <v>3</v>
      </c>
      <c r="F26" s="15" t="n">
        <v>3</v>
      </c>
      <c r="G26" s="58" t="n">
        <v>3</v>
      </c>
      <c r="H26" s="58" t="n">
        <v>3</v>
      </c>
      <c r="I26" s="15" t="n">
        <v>3</v>
      </c>
      <c r="J26" s="58" t="n">
        <v>3</v>
      </c>
      <c r="K26" s="58" t="n">
        <v>3</v>
      </c>
      <c r="L26" s="15" t="n">
        <v>3</v>
      </c>
      <c r="M26" s="58" t="n">
        <v>3</v>
      </c>
      <c r="N26" s="58" t="n">
        <v>3</v>
      </c>
      <c r="O26" s="15" t="n">
        <v>3</v>
      </c>
      <c r="P26" s="58" t="n">
        <v>3</v>
      </c>
      <c r="Q26" s="58" t="n">
        <v>3</v>
      </c>
      <c r="R26" s="15" t="n">
        <v>3</v>
      </c>
      <c r="S26" s="58" t="n">
        <v>3</v>
      </c>
      <c r="T26" s="58" t="n">
        <v>3</v>
      </c>
      <c r="U26" s="15" t="n">
        <v>3</v>
      </c>
      <c r="V26" s="58" t="n">
        <v>3</v>
      </c>
      <c r="W26" s="58" t="n">
        <v>3</v>
      </c>
      <c r="X26" s="15" t="n">
        <v>3</v>
      </c>
      <c r="Y26" s="58" t="n">
        <v>3</v>
      </c>
      <c r="Z26" s="58" t="n">
        <v>3</v>
      </c>
      <c r="AA26" s="58" t="n">
        <v>3</v>
      </c>
      <c r="AB26" s="15" t="n">
        <v>3</v>
      </c>
      <c r="AC26" s="58" t="n">
        <v>3</v>
      </c>
      <c r="AD26" s="58" t="n">
        <v>3</v>
      </c>
      <c r="AE26" s="15" t="n">
        <v>3</v>
      </c>
      <c r="AF26" s="58" t="n">
        <v>3</v>
      </c>
      <c r="AG26" s="58" t="n">
        <v>3</v>
      </c>
      <c r="AH26" s="15" t="n">
        <v>3</v>
      </c>
      <c r="AI26" s="58" t="n">
        <v>3</v>
      </c>
      <c r="AJ26" s="58" t="n">
        <v>3</v>
      </c>
      <c r="AK26" s="15" t="n">
        <v>3</v>
      </c>
      <c r="AL26" s="58" t="n">
        <v>3</v>
      </c>
      <c r="AM26" s="58" t="n">
        <v>3</v>
      </c>
      <c r="AN26" s="15" t="n">
        <v>3</v>
      </c>
      <c r="AO26" s="58" t="n">
        <v>3</v>
      </c>
      <c r="AP26" s="58" t="n">
        <v>3</v>
      </c>
      <c r="AQ26" s="15" t="n">
        <v>3</v>
      </c>
      <c r="AR26" s="58" t="n">
        <v>3</v>
      </c>
      <c r="AS26" s="58" t="n">
        <v>3</v>
      </c>
      <c r="AT26" s="58" t="n">
        <v>3</v>
      </c>
      <c r="AU26" s="15" t="n">
        <v>3</v>
      </c>
      <c r="AV26" s="58" t="n">
        <v>3</v>
      </c>
      <c r="AW26" s="58" t="n">
        <v>3</v>
      </c>
      <c r="AX26" s="15" t="n">
        <v>3</v>
      </c>
      <c r="AY26" s="58" t="n">
        <v>3</v>
      </c>
      <c r="AZ26" s="58" t="n">
        <v>3</v>
      </c>
      <c r="BA26" s="15" t="n">
        <v>3</v>
      </c>
      <c r="BB26" s="58" t="n">
        <v>3</v>
      </c>
      <c r="BC26" s="58" t="n">
        <v>3</v>
      </c>
      <c r="BD26" s="15" t="n">
        <v>3</v>
      </c>
      <c r="BE26" s="58" t="n">
        <v>3</v>
      </c>
      <c r="BF26" s="58" t="n">
        <v>3</v>
      </c>
      <c r="BG26" s="15" t="n">
        <v>3</v>
      </c>
      <c r="BH26" s="58" t="n">
        <v>3</v>
      </c>
      <c r="BI26" s="58" t="n">
        <v>3</v>
      </c>
      <c r="BJ26" s="15" t="n">
        <v>3</v>
      </c>
      <c r="BK26" s="58" t="n">
        <v>3</v>
      </c>
      <c r="BL26" s="58" t="n">
        <v>3</v>
      </c>
      <c r="BM26" s="58" t="n">
        <v>3</v>
      </c>
      <c r="BN26" s="15" t="n">
        <v>3</v>
      </c>
      <c r="BO26" s="58" t="n">
        <v>3</v>
      </c>
      <c r="BP26" s="58" t="n">
        <v>3</v>
      </c>
      <c r="BQ26" s="15" t="n">
        <v>3</v>
      </c>
      <c r="BR26" s="58" t="n">
        <v>3</v>
      </c>
      <c r="BS26" s="58" t="n">
        <v>3</v>
      </c>
      <c r="BT26" s="15" t="n">
        <v>3</v>
      </c>
      <c r="BU26" s="58" t="n">
        <v>3</v>
      </c>
      <c r="BV26" s="58" t="n">
        <v>3</v>
      </c>
      <c r="BW26" s="15" t="n">
        <v>3</v>
      </c>
      <c r="BX26" s="58" t="n">
        <v>3</v>
      </c>
      <c r="BY26" s="58" t="n">
        <v>3</v>
      </c>
      <c r="BZ26" s="15" t="n">
        <v>3</v>
      </c>
      <c r="CA26" s="58" t="n">
        <v>3</v>
      </c>
      <c r="CB26" s="58" t="n">
        <v>3</v>
      </c>
      <c r="CC26" s="15" t="n">
        <v>3</v>
      </c>
      <c r="CD26" s="58" t="n">
        <v>3</v>
      </c>
      <c r="CE26" s="58" t="n">
        <v>3</v>
      </c>
      <c r="CF26" s="58" t="n">
        <v>3</v>
      </c>
      <c r="CG26" s="15" t="n">
        <v>3</v>
      </c>
      <c r="CH26" s="58" t="n">
        <v>3</v>
      </c>
      <c r="CI26" s="58" t="n">
        <v>3</v>
      </c>
      <c r="CJ26" s="15" t="n">
        <v>3</v>
      </c>
      <c r="CK26" s="58" t="n">
        <v>3</v>
      </c>
      <c r="CL26" s="58" t="n">
        <v>3</v>
      </c>
      <c r="CM26" s="15" t="n">
        <v>3</v>
      </c>
      <c r="CN26" s="58" t="n">
        <v>3</v>
      </c>
      <c r="CO26" s="58" t="n">
        <v>3</v>
      </c>
      <c r="CP26" s="15" t="n">
        <v>3</v>
      </c>
      <c r="CQ26" s="58" t="n">
        <v>3</v>
      </c>
      <c r="CR26" s="58" t="n">
        <v>3</v>
      </c>
      <c r="CS26" s="15" t="n">
        <v>3</v>
      </c>
      <c r="CT26" s="58" t="n">
        <v>3</v>
      </c>
      <c r="CU26" s="58" t="n">
        <v>3</v>
      </c>
      <c r="CV26" s="15" t="n">
        <v>3</v>
      </c>
      <c r="CW26" s="58" t="n">
        <v>3</v>
      </c>
      <c r="CX26" s="58" t="n">
        <v>3</v>
      </c>
      <c r="CY26" s="58" t="n">
        <v>3</v>
      </c>
      <c r="CZ26" s="15" t="n">
        <v>3</v>
      </c>
      <c r="DA26" s="58" t="n">
        <v>3</v>
      </c>
      <c r="DB26" s="58" t="n">
        <v>3</v>
      </c>
      <c r="DC26" s="15" t="n">
        <v>3</v>
      </c>
      <c r="DD26" s="58" t="n">
        <v>3</v>
      </c>
      <c r="DE26" s="58" t="n">
        <v>3</v>
      </c>
      <c r="DF26" s="15" t="n">
        <v>3</v>
      </c>
      <c r="DG26" s="58" t="n">
        <v>3</v>
      </c>
      <c r="DH26" s="58" t="n">
        <v>3</v>
      </c>
      <c r="DI26" s="15" t="n">
        <v>3</v>
      </c>
      <c r="DJ26" s="58" t="n">
        <v>3</v>
      </c>
      <c r="DK26" s="58" t="n">
        <v>3</v>
      </c>
      <c r="DL26" s="15" t="n">
        <v>3</v>
      </c>
      <c r="DM26" s="58" t="n">
        <v>3</v>
      </c>
      <c r="DN26" s="58" t="n">
        <v>3</v>
      </c>
      <c r="DO26" s="15" t="n">
        <v>3</v>
      </c>
      <c r="DP26" s="58" t="n">
        <v>3</v>
      </c>
      <c r="DQ26" s="58" t="n">
        <v>3</v>
      </c>
      <c r="DR26" s="58" t="n">
        <v>3</v>
      </c>
      <c r="DS26" s="15" t="n">
        <v>3</v>
      </c>
      <c r="DT26" s="58" t="n">
        <v>3</v>
      </c>
      <c r="DU26" s="58" t="n">
        <v>3</v>
      </c>
      <c r="DV26" s="15" t="n">
        <v>3</v>
      </c>
      <c r="DW26" s="58" t="n">
        <v>3</v>
      </c>
      <c r="DX26" s="58" t="n">
        <v>3</v>
      </c>
      <c r="DY26" s="15" t="n">
        <v>3</v>
      </c>
      <c r="DZ26" s="58" t="n">
        <v>3</v>
      </c>
      <c r="EA26" s="58" t="n">
        <v>3</v>
      </c>
      <c r="EB26" s="15" t="n">
        <v>3</v>
      </c>
      <c r="EC26" s="58" t="n">
        <v>3</v>
      </c>
      <c r="ED26" s="58" t="n">
        <v>3</v>
      </c>
      <c r="EE26" s="15" t="n">
        <v>3</v>
      </c>
      <c r="EF26" s="58" t="n">
        <v>3</v>
      </c>
      <c r="EG26" s="58" t="n">
        <v>3</v>
      </c>
      <c r="EH26" s="15" t="n">
        <v>3</v>
      </c>
      <c r="EI26" s="58" t="n">
        <v>3</v>
      </c>
      <c r="EJ26" s="58" t="n">
        <v>3</v>
      </c>
    </row>
    <row r="27">
      <c r="A27" t="inlineStr">
        <is>
          <t>Postive N per ionizable lipid (used in NP ratio calculation)</t>
        </is>
      </c>
      <c r="B27" s="15" t="inlineStr">
        <is>
          <t>mol/mol</t>
        </is>
      </c>
      <c r="C27" s="78">
        <f>VLOOKUP(C6,'Lipid_Params '!$A:$C,3,FALSE)</f>
        <v/>
      </c>
      <c r="D27" s="58">
        <f>VLOOKUP(D6,'Lipid_Params '!$A:$C,3,FALSE)</f>
        <v/>
      </c>
      <c r="E27" s="1">
        <f>VLOOKUP(E6,'Lipid_Params '!$A:$C,3,FALSE)</f>
        <v/>
      </c>
      <c r="F27" s="15">
        <f>VLOOKUP(F6,'Lipid_Params '!$A:$C,3,FALSE)</f>
        <v/>
      </c>
      <c r="G27" s="58">
        <f>VLOOKUP(G6,'Lipid_Params '!$A:$C,3,FALSE)</f>
        <v/>
      </c>
      <c r="H27" s="58">
        <f>VLOOKUP(H6,'Lipid_Params '!$A:$C,3,FALSE)</f>
        <v/>
      </c>
      <c r="I27" s="15">
        <f>VLOOKUP(I6,'Lipid_Params '!$A:$C,3,FALSE)</f>
        <v/>
      </c>
      <c r="J27" s="58">
        <f>VLOOKUP(J6,'Lipid_Params '!$A:$C,3,FALSE)</f>
        <v/>
      </c>
      <c r="K27" s="58">
        <f>VLOOKUP(K6,'Lipid_Params '!$A:$C,3,FALSE)</f>
        <v/>
      </c>
      <c r="L27" s="15">
        <f>VLOOKUP(L6,'Lipid_Params '!$A:$C,3,FALSE)</f>
        <v/>
      </c>
      <c r="M27" s="58">
        <f>VLOOKUP(M6,'Lipid_Params '!$A:$C,3,FALSE)</f>
        <v/>
      </c>
      <c r="N27" s="58">
        <f>VLOOKUP(N6,'Lipid_Params '!$A:$C,3,FALSE)</f>
        <v/>
      </c>
      <c r="O27" s="15">
        <f>VLOOKUP(O6,'Lipid_Params '!$A:$C,3,FALSE)</f>
        <v/>
      </c>
      <c r="P27" s="58">
        <f>VLOOKUP(P6,'Lipid_Params '!$A:$C,3,FALSE)</f>
        <v/>
      </c>
      <c r="Q27" s="58">
        <f>VLOOKUP(Q6,'Lipid_Params '!$A:$C,3,FALSE)</f>
        <v/>
      </c>
      <c r="R27" s="15">
        <f>VLOOKUP(R6,'Lipid_Params '!$A:$C,3,FALSE)</f>
        <v/>
      </c>
      <c r="S27" s="58">
        <f>VLOOKUP(S6,'Lipid_Params '!$A:$C,3,FALSE)</f>
        <v/>
      </c>
      <c r="T27" s="58">
        <f>VLOOKUP(T6,'Lipid_Params '!$A:$C,3,FALSE)</f>
        <v/>
      </c>
      <c r="U27" s="15">
        <f>VLOOKUP(U6,'Lipid_Params '!$A:$C,3,FALSE)</f>
        <v/>
      </c>
      <c r="V27" s="58">
        <f>VLOOKUP(V6,'Lipid_Params '!$A:$C,3,FALSE)</f>
        <v/>
      </c>
      <c r="W27" s="58">
        <f>VLOOKUP(W6,'Lipid_Params '!$A:$C,3,FALSE)</f>
        <v/>
      </c>
      <c r="X27" s="15">
        <f>VLOOKUP(X6,'Lipid_Params '!$A:$C,3,FALSE)</f>
        <v/>
      </c>
      <c r="Y27" s="58">
        <f>VLOOKUP(Y6,'Lipid_Params '!$A:$C,3,FALSE)</f>
        <v/>
      </c>
      <c r="Z27" s="58">
        <f>VLOOKUP(Z6,'Lipid_Params '!$A:$C,3,FALSE)</f>
        <v/>
      </c>
      <c r="AA27" s="58">
        <f>VLOOKUP(AA6,'Lipid_Params '!$A:$C,3,FALSE)</f>
        <v/>
      </c>
      <c r="AB27" s="15">
        <f>VLOOKUP(AB6,'Lipid_Params '!$A:$C,3,FALSE)</f>
        <v/>
      </c>
      <c r="AC27" s="58">
        <f>VLOOKUP(AC6,'Lipid_Params '!$A:$C,3,FALSE)</f>
        <v/>
      </c>
      <c r="AD27" s="58">
        <f>VLOOKUP(AD6,'Lipid_Params '!$A:$C,3,FALSE)</f>
        <v/>
      </c>
      <c r="AE27" s="15">
        <f>VLOOKUP(AE6,'Lipid_Params '!$A:$C,3,FALSE)</f>
        <v/>
      </c>
      <c r="AF27" s="58">
        <f>VLOOKUP(AF6,'Lipid_Params '!$A:$C,3,FALSE)</f>
        <v/>
      </c>
      <c r="AG27" s="58">
        <f>VLOOKUP(AG6,'Lipid_Params '!$A:$C,3,FALSE)</f>
        <v/>
      </c>
      <c r="AH27" s="15">
        <f>VLOOKUP(AH6,'Lipid_Params '!$A:$C,3,FALSE)</f>
        <v/>
      </c>
      <c r="AI27" s="58">
        <f>VLOOKUP(AI6,'Lipid_Params '!$A:$C,3,FALSE)</f>
        <v/>
      </c>
      <c r="AJ27" s="58">
        <f>VLOOKUP(AJ6,'Lipid_Params '!$A:$C,3,FALSE)</f>
        <v/>
      </c>
      <c r="AK27" s="15">
        <f>VLOOKUP(AK6,'Lipid_Params '!$A:$C,3,FALSE)</f>
        <v/>
      </c>
      <c r="AL27" s="58">
        <f>VLOOKUP(AL6,'Lipid_Params '!$A:$C,3,FALSE)</f>
        <v/>
      </c>
      <c r="AM27" s="58">
        <f>VLOOKUP(AM6,'Lipid_Params '!$A:$C,3,FALSE)</f>
        <v/>
      </c>
      <c r="AN27" s="15">
        <f>VLOOKUP(AN6,'Lipid_Params '!$A:$C,3,FALSE)</f>
        <v/>
      </c>
      <c r="AO27" s="58">
        <f>VLOOKUP(AO6,'Lipid_Params '!$A:$C,3,FALSE)</f>
        <v/>
      </c>
      <c r="AP27" s="58">
        <f>VLOOKUP(AP6,'Lipid_Params '!$A:$C,3,FALSE)</f>
        <v/>
      </c>
      <c r="AQ27" s="15">
        <f>VLOOKUP(AQ6,'Lipid_Params '!$A:$C,3,FALSE)</f>
        <v/>
      </c>
      <c r="AR27" s="58">
        <f>VLOOKUP(AR6,'Lipid_Params '!$A:$C,3,FALSE)</f>
        <v/>
      </c>
      <c r="AS27" s="58">
        <f>VLOOKUP(AS6,'Lipid_Params '!$A:$C,3,FALSE)</f>
        <v/>
      </c>
      <c r="AT27" s="58">
        <f>VLOOKUP(AT6,'Lipid_Params '!$A:$C,3,FALSE)</f>
        <v/>
      </c>
      <c r="AU27" s="15">
        <f>VLOOKUP(AU6,'Lipid_Params '!$A:$C,3,FALSE)</f>
        <v/>
      </c>
      <c r="AV27" s="58">
        <f>VLOOKUP(AV6,'Lipid_Params '!$A:$C,3,FALSE)</f>
        <v/>
      </c>
      <c r="AW27" s="58">
        <f>VLOOKUP(AW6,'Lipid_Params '!$A:$C,3,FALSE)</f>
        <v/>
      </c>
      <c r="AX27" s="15">
        <f>VLOOKUP(AX6,'Lipid_Params '!$A:$C,3,FALSE)</f>
        <v/>
      </c>
      <c r="AY27" s="58">
        <f>VLOOKUP(AY6,'Lipid_Params '!$A:$C,3,FALSE)</f>
        <v/>
      </c>
      <c r="AZ27" s="58">
        <f>VLOOKUP(AZ6,'Lipid_Params '!$A:$C,3,FALSE)</f>
        <v/>
      </c>
      <c r="BA27" s="15">
        <f>VLOOKUP(BA6,'Lipid_Params '!$A:$C,3,FALSE)</f>
        <v/>
      </c>
      <c r="BB27" s="58">
        <f>VLOOKUP(BB6,'Lipid_Params '!$A:$C,3,FALSE)</f>
        <v/>
      </c>
      <c r="BC27" s="58">
        <f>VLOOKUP(BC6,'Lipid_Params '!$A:$C,3,FALSE)</f>
        <v/>
      </c>
      <c r="BD27" s="15">
        <f>VLOOKUP(BD6,'Lipid_Params '!$A:$C,3,FALSE)</f>
        <v/>
      </c>
      <c r="BE27" s="58">
        <f>VLOOKUP(BE6,'Lipid_Params '!$A:$C,3,FALSE)</f>
        <v/>
      </c>
      <c r="BF27" s="58">
        <f>VLOOKUP(BF6,'Lipid_Params '!$A:$C,3,FALSE)</f>
        <v/>
      </c>
      <c r="BG27" s="15">
        <f>VLOOKUP(BG6,'Lipid_Params '!$A:$C,3,FALSE)</f>
        <v/>
      </c>
      <c r="BH27" s="58">
        <f>VLOOKUP(BH6,'Lipid_Params '!$A:$C,3,FALSE)</f>
        <v/>
      </c>
      <c r="BI27" s="58">
        <f>VLOOKUP(BI6,'Lipid_Params '!$A:$C,3,FALSE)</f>
        <v/>
      </c>
      <c r="BJ27" s="15">
        <f>VLOOKUP(BJ6,'Lipid_Params '!$A:$C,3,FALSE)</f>
        <v/>
      </c>
      <c r="BK27" s="58">
        <f>VLOOKUP(BK6,'Lipid_Params '!$A:$C,3,FALSE)</f>
        <v/>
      </c>
      <c r="BL27" s="58">
        <f>VLOOKUP(BL6,'Lipid_Params '!$A:$C,3,FALSE)</f>
        <v/>
      </c>
      <c r="BM27" s="58">
        <f>VLOOKUP(BM6,'Lipid_Params '!$A:$C,3,FALSE)</f>
        <v/>
      </c>
      <c r="BN27" s="15">
        <f>VLOOKUP(BN6,'Lipid_Params '!$A:$C,3,FALSE)</f>
        <v/>
      </c>
      <c r="BO27" s="58">
        <f>VLOOKUP(BO6,'Lipid_Params '!$A:$C,3,FALSE)</f>
        <v/>
      </c>
      <c r="BP27" s="58">
        <f>VLOOKUP(BP6,'Lipid_Params '!$A:$C,3,FALSE)</f>
        <v/>
      </c>
      <c r="BQ27" s="15">
        <f>VLOOKUP(BQ6,'Lipid_Params '!$A:$C,3,FALSE)</f>
        <v/>
      </c>
      <c r="BR27" s="58">
        <f>VLOOKUP(BR6,'Lipid_Params '!$A:$C,3,FALSE)</f>
        <v/>
      </c>
      <c r="BS27" s="58">
        <f>VLOOKUP(BS6,'Lipid_Params '!$A:$C,3,FALSE)</f>
        <v/>
      </c>
      <c r="BT27" s="15">
        <f>VLOOKUP(BT6,'Lipid_Params '!$A:$C,3,FALSE)</f>
        <v/>
      </c>
      <c r="BU27" s="58">
        <f>VLOOKUP(BU6,'Lipid_Params '!$A:$C,3,FALSE)</f>
        <v/>
      </c>
      <c r="BV27" s="58">
        <f>VLOOKUP(BV6,'Lipid_Params '!$A:$C,3,FALSE)</f>
        <v/>
      </c>
      <c r="BW27" s="15">
        <f>VLOOKUP(BW6,'Lipid_Params '!$A:$C,3,FALSE)</f>
        <v/>
      </c>
      <c r="BX27" s="58">
        <f>VLOOKUP(BX6,'Lipid_Params '!$A:$C,3,FALSE)</f>
        <v/>
      </c>
      <c r="BY27" s="58">
        <f>VLOOKUP(BY6,'Lipid_Params '!$A:$C,3,FALSE)</f>
        <v/>
      </c>
      <c r="BZ27" s="15">
        <f>VLOOKUP(BZ6,'Lipid_Params '!$A:$C,3,FALSE)</f>
        <v/>
      </c>
      <c r="CA27" s="58">
        <f>VLOOKUP(CA6,'Lipid_Params '!$A:$C,3,FALSE)</f>
        <v/>
      </c>
      <c r="CB27" s="58">
        <f>VLOOKUP(CB6,'Lipid_Params '!$A:$C,3,FALSE)</f>
        <v/>
      </c>
      <c r="CC27" s="15">
        <f>VLOOKUP(CC6,'Lipid_Params '!$A:$C,3,FALSE)</f>
        <v/>
      </c>
      <c r="CD27" s="58">
        <f>VLOOKUP(CD6,'Lipid_Params '!$A:$C,3,FALSE)</f>
        <v/>
      </c>
      <c r="CE27" s="58">
        <f>VLOOKUP(CE6,'Lipid_Params '!$A:$C,3,FALSE)</f>
        <v/>
      </c>
      <c r="CF27" s="58">
        <f>VLOOKUP(CF6,'Lipid_Params '!$A:$C,3,FALSE)</f>
        <v/>
      </c>
      <c r="CG27" s="15">
        <f>VLOOKUP(CG6,'Lipid_Params '!$A:$C,3,FALSE)</f>
        <v/>
      </c>
      <c r="CH27" s="58">
        <f>VLOOKUP(CH6,'Lipid_Params '!$A:$C,3,FALSE)</f>
        <v/>
      </c>
      <c r="CI27" s="58">
        <f>VLOOKUP(CI6,'Lipid_Params '!$A:$C,3,FALSE)</f>
        <v/>
      </c>
      <c r="CJ27" s="15">
        <f>VLOOKUP(CJ6,'Lipid_Params '!$A:$C,3,FALSE)</f>
        <v/>
      </c>
      <c r="CK27" s="58">
        <f>VLOOKUP(CK6,'Lipid_Params '!$A:$C,3,FALSE)</f>
        <v/>
      </c>
      <c r="CL27" s="58">
        <f>VLOOKUP(CL6,'Lipid_Params '!$A:$C,3,FALSE)</f>
        <v/>
      </c>
      <c r="CM27" s="15">
        <f>VLOOKUP(CM6,'Lipid_Params '!$A:$C,3,FALSE)</f>
        <v/>
      </c>
      <c r="CN27" s="58">
        <f>VLOOKUP(CN6,'Lipid_Params '!$A:$C,3,FALSE)</f>
        <v/>
      </c>
      <c r="CO27" s="58">
        <f>VLOOKUP(CO6,'Lipid_Params '!$A:$C,3,FALSE)</f>
        <v/>
      </c>
      <c r="CP27" s="15">
        <f>VLOOKUP(CP6,'Lipid_Params '!$A:$C,3,FALSE)</f>
        <v/>
      </c>
      <c r="CQ27" s="58">
        <f>VLOOKUP(CQ6,'Lipid_Params '!$A:$C,3,FALSE)</f>
        <v/>
      </c>
      <c r="CR27" s="58">
        <f>VLOOKUP(CR6,'Lipid_Params '!$A:$C,3,FALSE)</f>
        <v/>
      </c>
      <c r="CS27" s="15">
        <f>VLOOKUP(CS6,'Lipid_Params '!$A:$C,3,FALSE)</f>
        <v/>
      </c>
      <c r="CT27" s="58">
        <f>VLOOKUP(CT6,'Lipid_Params '!$A:$C,3,FALSE)</f>
        <v/>
      </c>
      <c r="CU27" s="58">
        <f>VLOOKUP(CU6,'Lipid_Params '!$A:$C,3,FALSE)</f>
        <v/>
      </c>
      <c r="CV27" s="15">
        <f>VLOOKUP(CV6,'Lipid_Params '!$A:$C,3,FALSE)</f>
        <v/>
      </c>
      <c r="CW27" s="58">
        <f>VLOOKUP(CW6,'Lipid_Params '!$A:$C,3,FALSE)</f>
        <v/>
      </c>
      <c r="CX27" s="58">
        <f>VLOOKUP(CX6,'Lipid_Params '!$A:$C,3,FALSE)</f>
        <v/>
      </c>
      <c r="CY27" s="58">
        <f>VLOOKUP(CY6,'Lipid_Params '!$A:$C,3,FALSE)</f>
        <v/>
      </c>
      <c r="CZ27" s="15">
        <f>VLOOKUP(CZ6,'Lipid_Params '!$A:$C,3,FALSE)</f>
        <v/>
      </c>
      <c r="DA27" s="58">
        <f>VLOOKUP(DA6,'Lipid_Params '!$A:$C,3,FALSE)</f>
        <v/>
      </c>
      <c r="DB27" s="58">
        <f>VLOOKUP(DB6,'Lipid_Params '!$A:$C,3,FALSE)</f>
        <v/>
      </c>
      <c r="DC27" s="15">
        <f>VLOOKUP(DC6,'Lipid_Params '!$A:$C,3,FALSE)</f>
        <v/>
      </c>
      <c r="DD27" s="58">
        <f>VLOOKUP(DD6,'Lipid_Params '!$A:$C,3,FALSE)</f>
        <v/>
      </c>
      <c r="DE27" s="58">
        <f>VLOOKUP(DE6,'Lipid_Params '!$A:$C,3,FALSE)</f>
        <v/>
      </c>
      <c r="DF27" s="15">
        <f>VLOOKUP(DF6,'Lipid_Params '!$A:$C,3,FALSE)</f>
        <v/>
      </c>
      <c r="DG27" s="58">
        <f>VLOOKUP(DG6,'Lipid_Params '!$A:$C,3,FALSE)</f>
        <v/>
      </c>
      <c r="DH27" s="58">
        <f>VLOOKUP(DH6,'Lipid_Params '!$A:$C,3,FALSE)</f>
        <v/>
      </c>
      <c r="DI27" s="15">
        <f>VLOOKUP(DI6,'Lipid_Params '!$A:$C,3,FALSE)</f>
        <v/>
      </c>
      <c r="DJ27" s="58">
        <f>VLOOKUP(DJ6,'Lipid_Params '!$A:$C,3,FALSE)</f>
        <v/>
      </c>
      <c r="DK27" s="58">
        <f>VLOOKUP(DK6,'Lipid_Params '!$A:$C,3,FALSE)</f>
        <v/>
      </c>
      <c r="DL27" s="15">
        <f>VLOOKUP(DL6,'Lipid_Params '!$A:$C,3,FALSE)</f>
        <v/>
      </c>
      <c r="DM27" s="58">
        <f>VLOOKUP(DM6,'Lipid_Params '!$A:$C,3,FALSE)</f>
        <v/>
      </c>
      <c r="DN27" s="58">
        <f>VLOOKUP(DN6,'Lipid_Params '!$A:$C,3,FALSE)</f>
        <v/>
      </c>
      <c r="DO27" s="15">
        <f>VLOOKUP(DO6,'Lipid_Params '!$A:$C,3,FALSE)</f>
        <v/>
      </c>
      <c r="DP27" s="58">
        <f>VLOOKUP(DP6,'Lipid_Params '!$A:$C,3,FALSE)</f>
        <v/>
      </c>
      <c r="DQ27" s="58">
        <f>VLOOKUP(DQ6,'Lipid_Params '!$A:$C,3,FALSE)</f>
        <v/>
      </c>
      <c r="DR27" s="58">
        <f>VLOOKUP(DR6,'Lipid_Params '!$A:$C,3,FALSE)</f>
        <v/>
      </c>
      <c r="DS27" s="15">
        <f>VLOOKUP(DS6,'Lipid_Params '!$A:$C,3,FALSE)</f>
        <v/>
      </c>
      <c r="DT27" s="58">
        <f>VLOOKUP(DT6,'Lipid_Params '!$A:$C,3,FALSE)</f>
        <v/>
      </c>
      <c r="DU27" s="58">
        <f>VLOOKUP(DU6,'Lipid_Params '!$A:$C,3,FALSE)</f>
        <v/>
      </c>
      <c r="DV27" s="15">
        <f>VLOOKUP(DV6,'Lipid_Params '!$A:$C,3,FALSE)</f>
        <v/>
      </c>
      <c r="DW27" s="58">
        <f>VLOOKUP(DW6,'Lipid_Params '!$A:$C,3,FALSE)</f>
        <v/>
      </c>
      <c r="DX27" s="58">
        <f>VLOOKUP(DX6,'Lipid_Params '!$A:$C,3,FALSE)</f>
        <v/>
      </c>
      <c r="DY27" s="15">
        <f>VLOOKUP(DY6,'Lipid_Params '!$A:$C,3,FALSE)</f>
        <v/>
      </c>
      <c r="DZ27" s="58">
        <f>VLOOKUP(DZ6,'Lipid_Params '!$A:$C,3,FALSE)</f>
        <v/>
      </c>
      <c r="EA27" s="58">
        <f>VLOOKUP(EA6,'Lipid_Params '!$A:$C,3,FALSE)</f>
        <v/>
      </c>
      <c r="EB27" s="15">
        <f>VLOOKUP(EB6,'Lipid_Params '!$A:$C,3,FALSE)</f>
        <v/>
      </c>
      <c r="EC27" s="58">
        <f>VLOOKUP(EC6,'Lipid_Params '!$A:$C,3,FALSE)</f>
        <v/>
      </c>
      <c r="ED27" s="58">
        <f>VLOOKUP(ED6,'Lipid_Params '!$A:$C,3,FALSE)</f>
        <v/>
      </c>
      <c r="EE27" s="15">
        <f>VLOOKUP(EE6,'Lipid_Params '!$A:$C,3,FALSE)</f>
        <v/>
      </c>
      <c r="EF27" s="58">
        <f>VLOOKUP(EF6,'Lipid_Params '!$A:$C,3,FALSE)</f>
        <v/>
      </c>
      <c r="EG27" s="58">
        <f>VLOOKUP(EG6,'Lipid_Params '!$A:$C,3,FALSE)</f>
        <v/>
      </c>
      <c r="EH27" s="15">
        <f>VLOOKUP(EH6,'Lipid_Params '!$A:$C,3,FALSE)</f>
        <v/>
      </c>
      <c r="EI27" s="58">
        <f>VLOOKUP(EI6,'Lipid_Params '!$A:$C,3,FALSE)</f>
        <v/>
      </c>
      <c r="EJ27" s="58">
        <f>VLOOKUP(EJ6,'Lipid_Params '!$A:$C,3,FALSE)</f>
        <v/>
      </c>
    </row>
    <row r="28">
      <c r="A28" t="inlineStr">
        <is>
          <t>Postive N per helper lipid (used in NP ratio calculation)</t>
        </is>
      </c>
      <c r="B28" s="15" t="inlineStr">
        <is>
          <t>mol/mol</t>
        </is>
      </c>
      <c r="C28" s="78">
        <f>VLOOKUP(C7,'Lipid_Params '!$A:$C,3,FALSE)</f>
        <v/>
      </c>
      <c r="D28" s="58">
        <f>VLOOKUP(D7,'Lipid_Params '!$A:$C,3,FALSE)</f>
        <v/>
      </c>
      <c r="E28" s="1">
        <f>VLOOKUP(E7,'Lipid_Params '!$A:$C,3,FALSE)</f>
        <v/>
      </c>
      <c r="F28" s="15">
        <f>VLOOKUP(F7,'Lipid_Params '!$A:$C,3,FALSE)</f>
        <v/>
      </c>
      <c r="G28" s="58">
        <f>VLOOKUP(G7,'Lipid_Params '!$A:$C,3,FALSE)</f>
        <v/>
      </c>
      <c r="H28" s="58">
        <f>VLOOKUP(H7,'Lipid_Params '!$A:$C,3,FALSE)</f>
        <v/>
      </c>
      <c r="I28" s="15">
        <f>VLOOKUP(I7,'Lipid_Params '!$A:$C,3,FALSE)</f>
        <v/>
      </c>
      <c r="J28" s="58">
        <f>VLOOKUP(J7,'Lipid_Params '!$A:$C,3,FALSE)</f>
        <v/>
      </c>
      <c r="K28" s="58">
        <f>VLOOKUP(K7,'Lipid_Params '!$A:$C,3,FALSE)</f>
        <v/>
      </c>
      <c r="L28" s="15">
        <f>VLOOKUP(L7,'Lipid_Params '!$A:$C,3,FALSE)</f>
        <v/>
      </c>
      <c r="M28" s="58">
        <f>VLOOKUP(M7,'Lipid_Params '!$A:$C,3,FALSE)</f>
        <v/>
      </c>
      <c r="N28" s="58">
        <f>VLOOKUP(N7,'Lipid_Params '!$A:$C,3,FALSE)</f>
        <v/>
      </c>
      <c r="O28" s="15">
        <f>VLOOKUP(O7,'Lipid_Params '!$A:$C,3,FALSE)</f>
        <v/>
      </c>
      <c r="P28" s="58">
        <f>VLOOKUP(P7,'Lipid_Params '!$A:$C,3,FALSE)</f>
        <v/>
      </c>
      <c r="Q28" s="58">
        <f>VLOOKUP(Q7,'Lipid_Params '!$A:$C,3,FALSE)</f>
        <v/>
      </c>
      <c r="R28" s="15">
        <f>VLOOKUP(R7,'Lipid_Params '!$A:$C,3,FALSE)</f>
        <v/>
      </c>
      <c r="S28" s="58">
        <f>VLOOKUP(S7,'Lipid_Params '!$A:$C,3,FALSE)</f>
        <v/>
      </c>
      <c r="T28" s="58">
        <f>VLOOKUP(T7,'Lipid_Params '!$A:$C,3,FALSE)</f>
        <v/>
      </c>
      <c r="U28" s="15">
        <f>VLOOKUP(U7,'Lipid_Params '!$A:$C,3,FALSE)</f>
        <v/>
      </c>
      <c r="V28" s="58">
        <f>VLOOKUP(V7,'Lipid_Params '!$A:$C,3,FALSE)</f>
        <v/>
      </c>
      <c r="W28" s="58">
        <f>VLOOKUP(W7,'Lipid_Params '!$A:$C,3,FALSE)</f>
        <v/>
      </c>
      <c r="X28" s="15">
        <f>VLOOKUP(X7,'Lipid_Params '!$A:$C,3,FALSE)</f>
        <v/>
      </c>
      <c r="Y28" s="58">
        <f>VLOOKUP(Y7,'Lipid_Params '!$A:$C,3,FALSE)</f>
        <v/>
      </c>
      <c r="Z28" s="58">
        <f>VLOOKUP(Z7,'Lipid_Params '!$A:$C,3,FALSE)</f>
        <v/>
      </c>
      <c r="AA28" s="58">
        <f>VLOOKUP(AA7,'Lipid_Params '!$A:$C,3,FALSE)</f>
        <v/>
      </c>
      <c r="AB28" s="15">
        <f>VLOOKUP(AB7,'Lipid_Params '!$A:$C,3,FALSE)</f>
        <v/>
      </c>
      <c r="AC28" s="58">
        <f>VLOOKUP(AC7,'Lipid_Params '!$A:$C,3,FALSE)</f>
        <v/>
      </c>
      <c r="AD28" s="58">
        <f>VLOOKUP(AD7,'Lipid_Params '!$A:$C,3,FALSE)</f>
        <v/>
      </c>
      <c r="AE28" s="15">
        <f>VLOOKUP(AE7,'Lipid_Params '!$A:$C,3,FALSE)</f>
        <v/>
      </c>
      <c r="AF28" s="58">
        <f>VLOOKUP(AF7,'Lipid_Params '!$A:$C,3,FALSE)</f>
        <v/>
      </c>
      <c r="AG28" s="58">
        <f>VLOOKUP(AG7,'Lipid_Params '!$A:$C,3,FALSE)</f>
        <v/>
      </c>
      <c r="AH28" s="15">
        <f>VLOOKUP(AH7,'Lipid_Params '!$A:$C,3,FALSE)</f>
        <v/>
      </c>
      <c r="AI28" s="58">
        <f>VLOOKUP(AI7,'Lipid_Params '!$A:$C,3,FALSE)</f>
        <v/>
      </c>
      <c r="AJ28" s="58">
        <f>VLOOKUP(AJ7,'Lipid_Params '!$A:$C,3,FALSE)</f>
        <v/>
      </c>
      <c r="AK28" s="15">
        <f>VLOOKUP(AK7,'Lipid_Params '!$A:$C,3,FALSE)</f>
        <v/>
      </c>
      <c r="AL28" s="58">
        <f>VLOOKUP(AL7,'Lipid_Params '!$A:$C,3,FALSE)</f>
        <v/>
      </c>
      <c r="AM28" s="58">
        <f>VLOOKUP(AM7,'Lipid_Params '!$A:$C,3,FALSE)</f>
        <v/>
      </c>
      <c r="AN28" s="15">
        <f>VLOOKUP(AN7,'Lipid_Params '!$A:$C,3,FALSE)</f>
        <v/>
      </c>
      <c r="AO28" s="58">
        <f>VLOOKUP(AO7,'Lipid_Params '!$A:$C,3,FALSE)</f>
        <v/>
      </c>
      <c r="AP28" s="58">
        <f>VLOOKUP(AP7,'Lipid_Params '!$A:$C,3,FALSE)</f>
        <v/>
      </c>
      <c r="AQ28" s="15">
        <f>VLOOKUP(AQ7,'Lipid_Params '!$A:$C,3,FALSE)</f>
        <v/>
      </c>
      <c r="AR28" s="58">
        <f>VLOOKUP(AR7,'Lipid_Params '!$A:$C,3,FALSE)</f>
        <v/>
      </c>
      <c r="AS28" s="58">
        <f>VLOOKUP(AS7,'Lipid_Params '!$A:$C,3,FALSE)</f>
        <v/>
      </c>
      <c r="AT28" s="58">
        <f>VLOOKUP(AT7,'Lipid_Params '!$A:$C,3,FALSE)</f>
        <v/>
      </c>
      <c r="AU28" s="15">
        <f>VLOOKUP(AU7,'Lipid_Params '!$A:$C,3,FALSE)</f>
        <v/>
      </c>
      <c r="AV28" s="58">
        <f>VLOOKUP(AV7,'Lipid_Params '!$A:$C,3,FALSE)</f>
        <v/>
      </c>
      <c r="AW28" s="58">
        <f>VLOOKUP(AW7,'Lipid_Params '!$A:$C,3,FALSE)</f>
        <v/>
      </c>
      <c r="AX28" s="15">
        <f>VLOOKUP(AX7,'Lipid_Params '!$A:$C,3,FALSE)</f>
        <v/>
      </c>
      <c r="AY28" s="58">
        <f>VLOOKUP(AY7,'Lipid_Params '!$A:$C,3,FALSE)</f>
        <v/>
      </c>
      <c r="AZ28" s="58">
        <f>VLOOKUP(AZ7,'Lipid_Params '!$A:$C,3,FALSE)</f>
        <v/>
      </c>
      <c r="BA28" s="15">
        <f>VLOOKUP(BA7,'Lipid_Params '!$A:$C,3,FALSE)</f>
        <v/>
      </c>
      <c r="BB28" s="58">
        <f>VLOOKUP(BB7,'Lipid_Params '!$A:$C,3,FALSE)</f>
        <v/>
      </c>
      <c r="BC28" s="58">
        <f>VLOOKUP(BC7,'Lipid_Params '!$A:$C,3,FALSE)</f>
        <v/>
      </c>
      <c r="BD28" s="15">
        <f>VLOOKUP(BD7,'Lipid_Params '!$A:$C,3,FALSE)</f>
        <v/>
      </c>
      <c r="BE28" s="58">
        <f>VLOOKUP(BE7,'Lipid_Params '!$A:$C,3,FALSE)</f>
        <v/>
      </c>
      <c r="BF28" s="58">
        <f>VLOOKUP(BF7,'Lipid_Params '!$A:$C,3,FALSE)</f>
        <v/>
      </c>
      <c r="BG28" s="15">
        <f>VLOOKUP(BG7,'Lipid_Params '!$A:$C,3,FALSE)</f>
        <v/>
      </c>
      <c r="BH28" s="58">
        <f>VLOOKUP(BH7,'Lipid_Params '!$A:$C,3,FALSE)</f>
        <v/>
      </c>
      <c r="BI28" s="58">
        <f>VLOOKUP(BI7,'Lipid_Params '!$A:$C,3,FALSE)</f>
        <v/>
      </c>
      <c r="BJ28" s="15">
        <f>VLOOKUP(BJ7,'Lipid_Params '!$A:$C,3,FALSE)</f>
        <v/>
      </c>
      <c r="BK28" s="58">
        <f>VLOOKUP(BK7,'Lipid_Params '!$A:$C,3,FALSE)</f>
        <v/>
      </c>
      <c r="BL28" s="58">
        <f>VLOOKUP(BL7,'Lipid_Params '!$A:$C,3,FALSE)</f>
        <v/>
      </c>
      <c r="BM28" s="58">
        <f>VLOOKUP(BM7,'Lipid_Params '!$A:$C,3,FALSE)</f>
        <v/>
      </c>
      <c r="BN28" s="15">
        <f>VLOOKUP(BN7,'Lipid_Params '!$A:$C,3,FALSE)</f>
        <v/>
      </c>
      <c r="BO28" s="58">
        <f>VLOOKUP(BO7,'Lipid_Params '!$A:$C,3,FALSE)</f>
        <v/>
      </c>
      <c r="BP28" s="58">
        <f>VLOOKUP(BP7,'Lipid_Params '!$A:$C,3,FALSE)</f>
        <v/>
      </c>
      <c r="BQ28" s="15">
        <f>VLOOKUP(BQ7,'Lipid_Params '!$A:$C,3,FALSE)</f>
        <v/>
      </c>
      <c r="BR28" s="58">
        <f>VLOOKUP(BR7,'Lipid_Params '!$A:$C,3,FALSE)</f>
        <v/>
      </c>
      <c r="BS28" s="58">
        <f>VLOOKUP(BS7,'Lipid_Params '!$A:$C,3,FALSE)</f>
        <v/>
      </c>
      <c r="BT28" s="15">
        <f>VLOOKUP(BT7,'Lipid_Params '!$A:$C,3,FALSE)</f>
        <v/>
      </c>
      <c r="BU28" s="58">
        <f>VLOOKUP(BU7,'Lipid_Params '!$A:$C,3,FALSE)</f>
        <v/>
      </c>
      <c r="BV28" s="58">
        <f>VLOOKUP(BV7,'Lipid_Params '!$A:$C,3,FALSE)</f>
        <v/>
      </c>
      <c r="BW28" s="15">
        <f>VLOOKUP(BW7,'Lipid_Params '!$A:$C,3,FALSE)</f>
        <v/>
      </c>
      <c r="BX28" s="58">
        <f>VLOOKUP(BX7,'Lipid_Params '!$A:$C,3,FALSE)</f>
        <v/>
      </c>
      <c r="BY28" s="58">
        <f>VLOOKUP(BY7,'Lipid_Params '!$A:$C,3,FALSE)</f>
        <v/>
      </c>
      <c r="BZ28" s="15">
        <f>VLOOKUP(BZ7,'Lipid_Params '!$A:$C,3,FALSE)</f>
        <v/>
      </c>
      <c r="CA28" s="58">
        <f>VLOOKUP(CA7,'Lipid_Params '!$A:$C,3,FALSE)</f>
        <v/>
      </c>
      <c r="CB28" s="58">
        <f>VLOOKUP(CB7,'Lipid_Params '!$A:$C,3,FALSE)</f>
        <v/>
      </c>
      <c r="CC28" s="15">
        <f>VLOOKUP(CC7,'Lipid_Params '!$A:$C,3,FALSE)</f>
        <v/>
      </c>
      <c r="CD28" s="58">
        <f>VLOOKUP(CD7,'Lipid_Params '!$A:$C,3,FALSE)</f>
        <v/>
      </c>
      <c r="CE28" s="58">
        <f>VLOOKUP(CE7,'Lipid_Params '!$A:$C,3,FALSE)</f>
        <v/>
      </c>
      <c r="CF28" s="58">
        <f>VLOOKUP(CF7,'Lipid_Params '!$A:$C,3,FALSE)</f>
        <v/>
      </c>
      <c r="CG28" s="15">
        <f>VLOOKUP(CG7,'Lipid_Params '!$A:$C,3,FALSE)</f>
        <v/>
      </c>
      <c r="CH28" s="58">
        <f>VLOOKUP(CH7,'Lipid_Params '!$A:$C,3,FALSE)</f>
        <v/>
      </c>
      <c r="CI28" s="58">
        <f>VLOOKUP(CI7,'Lipid_Params '!$A:$C,3,FALSE)</f>
        <v/>
      </c>
      <c r="CJ28" s="15">
        <f>VLOOKUP(CJ7,'Lipid_Params '!$A:$C,3,FALSE)</f>
        <v/>
      </c>
      <c r="CK28" s="58">
        <f>VLOOKUP(CK7,'Lipid_Params '!$A:$C,3,FALSE)</f>
        <v/>
      </c>
      <c r="CL28" s="58">
        <f>VLOOKUP(CL7,'Lipid_Params '!$A:$C,3,FALSE)</f>
        <v/>
      </c>
      <c r="CM28" s="15">
        <f>VLOOKUP(CM7,'Lipid_Params '!$A:$C,3,FALSE)</f>
        <v/>
      </c>
      <c r="CN28" s="58">
        <f>VLOOKUP(CN7,'Lipid_Params '!$A:$C,3,FALSE)</f>
        <v/>
      </c>
      <c r="CO28" s="58">
        <f>VLOOKUP(CO7,'Lipid_Params '!$A:$C,3,FALSE)</f>
        <v/>
      </c>
      <c r="CP28" s="15">
        <f>VLOOKUP(CP7,'Lipid_Params '!$A:$C,3,FALSE)</f>
        <v/>
      </c>
      <c r="CQ28" s="58">
        <f>VLOOKUP(CQ7,'Lipid_Params '!$A:$C,3,FALSE)</f>
        <v/>
      </c>
      <c r="CR28" s="58">
        <f>VLOOKUP(CR7,'Lipid_Params '!$A:$C,3,FALSE)</f>
        <v/>
      </c>
      <c r="CS28" s="15">
        <f>VLOOKUP(CS7,'Lipid_Params '!$A:$C,3,FALSE)</f>
        <v/>
      </c>
      <c r="CT28" s="58">
        <f>VLOOKUP(CT7,'Lipid_Params '!$A:$C,3,FALSE)</f>
        <v/>
      </c>
      <c r="CU28" s="58">
        <f>VLOOKUP(CU7,'Lipid_Params '!$A:$C,3,FALSE)</f>
        <v/>
      </c>
      <c r="CV28" s="15">
        <f>VLOOKUP(CV7,'Lipid_Params '!$A:$C,3,FALSE)</f>
        <v/>
      </c>
      <c r="CW28" s="58">
        <f>VLOOKUP(CW7,'Lipid_Params '!$A:$C,3,FALSE)</f>
        <v/>
      </c>
      <c r="CX28" s="58">
        <f>VLOOKUP(CX7,'Lipid_Params '!$A:$C,3,FALSE)</f>
        <v/>
      </c>
      <c r="CY28" s="58">
        <f>VLOOKUP(CY7,'Lipid_Params '!$A:$C,3,FALSE)</f>
        <v/>
      </c>
      <c r="CZ28" s="15">
        <f>VLOOKUP(CZ7,'Lipid_Params '!$A:$C,3,FALSE)</f>
        <v/>
      </c>
      <c r="DA28" s="58">
        <f>VLOOKUP(DA7,'Lipid_Params '!$A:$C,3,FALSE)</f>
        <v/>
      </c>
      <c r="DB28" s="58">
        <f>VLOOKUP(DB7,'Lipid_Params '!$A:$C,3,FALSE)</f>
        <v/>
      </c>
      <c r="DC28" s="15">
        <f>VLOOKUP(DC7,'Lipid_Params '!$A:$C,3,FALSE)</f>
        <v/>
      </c>
      <c r="DD28" s="58">
        <f>VLOOKUP(DD7,'Lipid_Params '!$A:$C,3,FALSE)</f>
        <v/>
      </c>
      <c r="DE28" s="58">
        <f>VLOOKUP(DE7,'Lipid_Params '!$A:$C,3,FALSE)</f>
        <v/>
      </c>
      <c r="DF28" s="15">
        <f>VLOOKUP(DF7,'Lipid_Params '!$A:$C,3,FALSE)</f>
        <v/>
      </c>
      <c r="DG28" s="58">
        <f>VLOOKUP(DG7,'Lipid_Params '!$A:$C,3,FALSE)</f>
        <v/>
      </c>
      <c r="DH28" s="58">
        <f>VLOOKUP(DH7,'Lipid_Params '!$A:$C,3,FALSE)</f>
        <v/>
      </c>
      <c r="DI28" s="15">
        <f>VLOOKUP(DI7,'Lipid_Params '!$A:$C,3,FALSE)</f>
        <v/>
      </c>
      <c r="DJ28" s="58">
        <f>VLOOKUP(DJ7,'Lipid_Params '!$A:$C,3,FALSE)</f>
        <v/>
      </c>
      <c r="DK28" s="58">
        <f>VLOOKUP(DK7,'Lipid_Params '!$A:$C,3,FALSE)</f>
        <v/>
      </c>
      <c r="DL28" s="15">
        <f>VLOOKUP(DL7,'Lipid_Params '!$A:$C,3,FALSE)</f>
        <v/>
      </c>
      <c r="DM28" s="58">
        <f>VLOOKUP(DM7,'Lipid_Params '!$A:$C,3,FALSE)</f>
        <v/>
      </c>
      <c r="DN28" s="58">
        <f>VLOOKUP(DN7,'Lipid_Params '!$A:$C,3,FALSE)</f>
        <v/>
      </c>
      <c r="DO28" s="15">
        <f>VLOOKUP(DO7,'Lipid_Params '!$A:$C,3,FALSE)</f>
        <v/>
      </c>
      <c r="DP28" s="58">
        <f>VLOOKUP(DP7,'Lipid_Params '!$A:$C,3,FALSE)</f>
        <v/>
      </c>
      <c r="DQ28" s="58">
        <f>VLOOKUP(DQ7,'Lipid_Params '!$A:$C,3,FALSE)</f>
        <v/>
      </c>
      <c r="DR28" s="58">
        <f>VLOOKUP(DR7,'Lipid_Params '!$A:$C,3,FALSE)</f>
        <v/>
      </c>
      <c r="DS28" s="15">
        <f>VLOOKUP(DS7,'Lipid_Params '!$A:$C,3,FALSE)</f>
        <v/>
      </c>
      <c r="DT28" s="58">
        <f>VLOOKUP(DT7,'Lipid_Params '!$A:$C,3,FALSE)</f>
        <v/>
      </c>
      <c r="DU28" s="58">
        <f>VLOOKUP(DU7,'Lipid_Params '!$A:$C,3,FALSE)</f>
        <v/>
      </c>
      <c r="DV28" s="15">
        <f>VLOOKUP(DV7,'Lipid_Params '!$A:$C,3,FALSE)</f>
        <v/>
      </c>
      <c r="DW28" s="58">
        <f>VLOOKUP(DW7,'Lipid_Params '!$A:$C,3,FALSE)</f>
        <v/>
      </c>
      <c r="DX28" s="58">
        <f>VLOOKUP(DX7,'Lipid_Params '!$A:$C,3,FALSE)</f>
        <v/>
      </c>
      <c r="DY28" s="15">
        <f>VLOOKUP(DY7,'Lipid_Params '!$A:$C,3,FALSE)</f>
        <v/>
      </c>
      <c r="DZ28" s="58">
        <f>VLOOKUP(DZ7,'Lipid_Params '!$A:$C,3,FALSE)</f>
        <v/>
      </c>
      <c r="EA28" s="58">
        <f>VLOOKUP(EA7,'Lipid_Params '!$A:$C,3,FALSE)</f>
        <v/>
      </c>
      <c r="EB28" s="15">
        <f>VLOOKUP(EB7,'Lipid_Params '!$A:$C,3,FALSE)</f>
        <v/>
      </c>
      <c r="EC28" s="58">
        <f>VLOOKUP(EC7,'Lipid_Params '!$A:$C,3,FALSE)</f>
        <v/>
      </c>
      <c r="ED28" s="58">
        <f>VLOOKUP(ED7,'Lipid_Params '!$A:$C,3,FALSE)</f>
        <v/>
      </c>
      <c r="EE28" s="15">
        <f>VLOOKUP(EE7,'Lipid_Params '!$A:$C,3,FALSE)</f>
        <v/>
      </c>
      <c r="EF28" s="58">
        <f>VLOOKUP(EF7,'Lipid_Params '!$A:$C,3,FALSE)</f>
        <v/>
      </c>
      <c r="EG28" s="58">
        <f>VLOOKUP(EG7,'Lipid_Params '!$A:$C,3,FALSE)</f>
        <v/>
      </c>
      <c r="EH28" s="15">
        <f>VLOOKUP(EH7,'Lipid_Params '!$A:$C,3,FALSE)</f>
        <v/>
      </c>
      <c r="EI28" s="58">
        <f>VLOOKUP(EI7,'Lipid_Params '!$A:$C,3,FALSE)</f>
        <v/>
      </c>
      <c r="EJ28" s="58">
        <f>VLOOKUP(EJ7,'Lipid_Params '!$A:$C,3,FALSE)</f>
        <v/>
      </c>
    </row>
    <row r="29">
      <c r="B29" s="15" t="n"/>
      <c r="C29" s="78" t="n"/>
      <c r="D29" s="58" t="n"/>
      <c r="E29" s="1" t="n"/>
      <c r="F29" s="15" t="n"/>
      <c r="G29" s="58" t="n"/>
      <c r="H29" s="58" t="n"/>
      <c r="I29" s="15" t="n"/>
      <c r="J29" s="58" t="n"/>
      <c r="K29" s="58" t="n"/>
      <c r="L29" s="15" t="n"/>
      <c r="M29" s="58" t="n"/>
      <c r="N29" s="58" t="n"/>
      <c r="O29" s="15" t="n"/>
      <c r="P29" s="58" t="n"/>
      <c r="Q29" s="58" t="n"/>
      <c r="R29" s="15" t="n"/>
      <c r="S29" s="58" t="n"/>
      <c r="T29" s="58" t="n"/>
      <c r="U29" s="15" t="n"/>
      <c r="V29" s="58" t="n"/>
      <c r="W29" s="58" t="n"/>
      <c r="X29" s="15" t="n"/>
      <c r="Y29" s="58" t="n"/>
      <c r="Z29" s="58" t="n"/>
      <c r="AA29" s="58" t="n"/>
      <c r="AB29" s="15" t="n"/>
      <c r="AC29" s="58" t="n"/>
      <c r="AD29" s="58" t="n"/>
      <c r="AE29" s="15" t="n"/>
      <c r="AF29" s="58" t="n"/>
      <c r="AG29" s="58" t="n"/>
      <c r="AH29" s="15" t="n"/>
      <c r="AI29" s="58" t="n"/>
      <c r="AJ29" s="58" t="n"/>
      <c r="AK29" s="15" t="n"/>
      <c r="AL29" s="58" t="n"/>
      <c r="AM29" s="58" t="n"/>
      <c r="AN29" s="15" t="n"/>
      <c r="AO29" s="58" t="n"/>
      <c r="AP29" s="58" t="n"/>
      <c r="AQ29" s="15" t="n"/>
      <c r="AR29" s="58" t="n"/>
      <c r="AS29" s="58" t="n"/>
      <c r="AT29" s="58" t="n"/>
      <c r="AU29" s="15" t="n"/>
      <c r="AV29" s="58" t="n"/>
      <c r="AW29" s="58" t="n"/>
      <c r="AX29" s="15" t="n"/>
      <c r="AY29" s="58" t="n"/>
      <c r="AZ29" s="58" t="n"/>
      <c r="BA29" s="15" t="n"/>
      <c r="BB29" s="58" t="n"/>
      <c r="BC29" s="58" t="n"/>
      <c r="BD29" s="15" t="n"/>
      <c r="BE29" s="58" t="n"/>
      <c r="BF29" s="58" t="n"/>
      <c r="BG29" s="15" t="n"/>
      <c r="BH29" s="58" t="n"/>
      <c r="BI29" s="58" t="n"/>
      <c r="BJ29" s="15" t="n"/>
      <c r="BK29" s="58" t="n"/>
      <c r="BL29" s="58" t="n"/>
      <c r="BM29" s="58" t="n"/>
      <c r="BN29" s="15" t="n"/>
      <c r="BO29" s="58" t="n"/>
      <c r="BP29" s="58" t="n"/>
      <c r="BQ29" s="15" t="n"/>
      <c r="BR29" s="58" t="n"/>
      <c r="BS29" s="58" t="n"/>
      <c r="BT29" s="15" t="n"/>
      <c r="BU29" s="58" t="n"/>
      <c r="BV29" s="58" t="n"/>
      <c r="BW29" s="15" t="n"/>
      <c r="BX29" s="58" t="n"/>
      <c r="BY29" s="58" t="n"/>
      <c r="BZ29" s="15" t="n"/>
      <c r="CA29" s="58" t="n"/>
      <c r="CB29" s="58" t="n"/>
      <c r="CC29" s="15" t="n"/>
      <c r="CD29" s="58" t="n"/>
      <c r="CE29" s="58" t="n"/>
      <c r="CF29" s="58" t="n"/>
      <c r="CG29" s="15" t="n"/>
      <c r="CH29" s="58" t="n"/>
      <c r="CI29" s="58" t="n"/>
      <c r="CJ29" s="15" t="n"/>
      <c r="CK29" s="58" t="n"/>
      <c r="CL29" s="58" t="n"/>
      <c r="CM29" s="15" t="n"/>
      <c r="CN29" s="58" t="n"/>
      <c r="CO29" s="58" t="n"/>
      <c r="CP29" s="15" t="n"/>
      <c r="CQ29" s="58" t="n"/>
      <c r="CR29" s="58" t="n"/>
      <c r="CS29" s="15" t="n"/>
      <c r="CT29" s="58" t="n"/>
      <c r="CU29" s="58" t="n"/>
      <c r="CV29" s="15" t="n"/>
      <c r="CW29" s="58" t="n"/>
      <c r="CX29" s="58" t="n"/>
      <c r="CY29" s="58" t="n"/>
      <c r="CZ29" s="15" t="n"/>
      <c r="DA29" s="58" t="n"/>
      <c r="DB29" s="58" t="n"/>
      <c r="DC29" s="15" t="n"/>
      <c r="DD29" s="58" t="n"/>
      <c r="DE29" s="58" t="n"/>
      <c r="DF29" s="15" t="n"/>
      <c r="DG29" s="58" t="n"/>
      <c r="DH29" s="58" t="n"/>
      <c r="DI29" s="15" t="n"/>
      <c r="DJ29" s="58" t="n"/>
      <c r="DK29" s="58" t="n"/>
      <c r="DL29" s="15" t="n"/>
      <c r="DM29" s="58" t="n"/>
      <c r="DN29" s="58" t="n"/>
      <c r="DO29" s="15" t="n"/>
      <c r="DP29" s="58" t="n"/>
      <c r="DQ29" s="58" t="n"/>
      <c r="DR29" s="58" t="n"/>
      <c r="DS29" s="15" t="n"/>
      <c r="DT29" s="58" t="n"/>
      <c r="DU29" s="58" t="n"/>
      <c r="DV29" s="15" t="n"/>
      <c r="DW29" s="58" t="n"/>
      <c r="DX29" s="58" t="n"/>
      <c r="DY29" s="15" t="n"/>
      <c r="DZ29" s="58" t="n"/>
      <c r="EA29" s="58" t="n"/>
      <c r="EB29" s="15" t="n"/>
      <c r="EC29" s="58" t="n"/>
      <c r="ED29" s="58" t="n"/>
      <c r="EE29" s="15" t="n"/>
      <c r="EF29" s="58" t="n"/>
      <c r="EG29" s="58" t="n"/>
      <c r="EH29" s="15" t="n"/>
      <c r="EI29" s="58" t="n"/>
      <c r="EJ29" s="58" t="n"/>
    </row>
    <row r="30">
      <c r="A30" s="16" t="inlineStr">
        <is>
          <t>Calculation</t>
        </is>
      </c>
      <c r="B30" s="15" t="n"/>
      <c r="C30" s="78" t="n"/>
      <c r="D30" s="58" t="n"/>
      <c r="E30" s="1" t="n"/>
      <c r="F30" s="15" t="n"/>
      <c r="G30" s="58" t="n"/>
      <c r="H30" s="58" t="n"/>
      <c r="I30" s="15" t="n"/>
      <c r="J30" s="58" t="n"/>
      <c r="K30" s="58" t="n"/>
      <c r="L30" s="15" t="n"/>
      <c r="M30" s="58" t="n"/>
      <c r="N30" s="58" t="n"/>
      <c r="O30" s="15" t="n"/>
      <c r="P30" s="58" t="n"/>
      <c r="Q30" s="58" t="n"/>
      <c r="R30" s="15" t="n"/>
      <c r="S30" s="58" t="n"/>
      <c r="T30" s="58" t="n"/>
      <c r="U30" s="15" t="n"/>
      <c r="V30" s="58" t="n"/>
      <c r="W30" s="58" t="n"/>
      <c r="X30" s="15" t="n"/>
      <c r="Y30" s="58" t="n"/>
      <c r="Z30" s="58" t="n"/>
      <c r="AA30" s="58" t="n"/>
      <c r="AB30" s="15" t="n"/>
      <c r="AC30" s="58" t="n"/>
      <c r="AD30" s="58" t="n"/>
      <c r="AE30" s="15" t="n"/>
      <c r="AF30" s="58" t="n"/>
      <c r="AG30" s="58" t="n"/>
      <c r="AH30" s="15" t="n"/>
      <c r="AI30" s="58" t="n"/>
      <c r="AJ30" s="58" t="n"/>
      <c r="AK30" s="15" t="n"/>
      <c r="AL30" s="58" t="n"/>
      <c r="AM30" s="58" t="n"/>
      <c r="AN30" s="15" t="n"/>
      <c r="AO30" s="58" t="n"/>
      <c r="AP30" s="58" t="n"/>
      <c r="AQ30" s="15" t="n"/>
      <c r="AR30" s="58" t="n"/>
      <c r="AS30" s="58" t="n"/>
      <c r="AT30" s="58" t="n"/>
      <c r="AU30" s="15" t="n"/>
      <c r="AV30" s="58" t="n"/>
      <c r="AW30" s="58" t="n"/>
      <c r="AX30" s="15" t="n"/>
      <c r="AY30" s="58" t="n"/>
      <c r="AZ30" s="58" t="n"/>
      <c r="BA30" s="15" t="n"/>
      <c r="BB30" s="58" t="n"/>
      <c r="BC30" s="58" t="n"/>
      <c r="BD30" s="15" t="n"/>
      <c r="BE30" s="58" t="n"/>
      <c r="BF30" s="58" t="n"/>
      <c r="BG30" s="15" t="n"/>
      <c r="BH30" s="58" t="n"/>
      <c r="BI30" s="58" t="n"/>
      <c r="BJ30" s="15" t="n"/>
      <c r="BK30" s="58" t="n"/>
      <c r="BL30" s="58" t="n"/>
      <c r="BM30" s="58" t="n"/>
      <c r="BN30" s="15" t="n"/>
      <c r="BO30" s="58" t="n"/>
      <c r="BP30" s="58" t="n"/>
      <c r="BQ30" s="15" t="n"/>
      <c r="BR30" s="58" t="n"/>
      <c r="BS30" s="58" t="n"/>
      <c r="BT30" s="15" t="n"/>
      <c r="BU30" s="58" t="n"/>
      <c r="BV30" s="58" t="n"/>
      <c r="BW30" s="15" t="n"/>
      <c r="BX30" s="58" t="n"/>
      <c r="BY30" s="58" t="n"/>
      <c r="BZ30" s="15" t="n"/>
      <c r="CA30" s="58" t="n"/>
      <c r="CB30" s="58" t="n"/>
      <c r="CC30" s="15" t="n"/>
      <c r="CD30" s="58" t="n"/>
      <c r="CE30" s="58" t="n"/>
      <c r="CF30" s="58" t="n"/>
      <c r="CG30" s="15" t="n"/>
      <c r="CH30" s="58" t="n"/>
      <c r="CI30" s="58" t="n"/>
      <c r="CJ30" s="15" t="n"/>
      <c r="CK30" s="58" t="n"/>
      <c r="CL30" s="58" t="n"/>
      <c r="CM30" s="15" t="n"/>
      <c r="CN30" s="58" t="n"/>
      <c r="CO30" s="58" t="n"/>
      <c r="CP30" s="15" t="n"/>
      <c r="CQ30" s="58" t="n"/>
      <c r="CR30" s="58" t="n"/>
      <c r="CS30" s="15" t="n"/>
      <c r="CT30" s="58" t="n"/>
      <c r="CU30" s="58" t="n"/>
      <c r="CV30" s="15" t="n"/>
      <c r="CW30" s="58" t="n"/>
      <c r="CX30" s="58" t="n"/>
      <c r="CY30" s="58" t="n"/>
      <c r="CZ30" s="15" t="n"/>
      <c r="DA30" s="58" t="n"/>
      <c r="DB30" s="58" t="n"/>
      <c r="DC30" s="15" t="n"/>
      <c r="DD30" s="58" t="n"/>
      <c r="DE30" s="58" t="n"/>
      <c r="DF30" s="15" t="n"/>
      <c r="DG30" s="58" t="n"/>
      <c r="DH30" s="58" t="n"/>
      <c r="DI30" s="15" t="n"/>
      <c r="DJ30" s="58" t="n"/>
      <c r="DK30" s="58" t="n"/>
      <c r="DL30" s="15" t="n"/>
      <c r="DM30" s="58" t="n"/>
      <c r="DN30" s="58" t="n"/>
      <c r="DO30" s="15" t="n"/>
      <c r="DP30" s="58" t="n"/>
      <c r="DQ30" s="58" t="n"/>
      <c r="DR30" s="58" t="n"/>
      <c r="DS30" s="15" t="n"/>
      <c r="DT30" s="58" t="n"/>
      <c r="DU30" s="58" t="n"/>
      <c r="DV30" s="15" t="n"/>
      <c r="DW30" s="58" t="n"/>
      <c r="DX30" s="58" t="n"/>
      <c r="DY30" s="15" t="n"/>
      <c r="DZ30" s="58" t="n"/>
      <c r="EA30" s="58" t="n"/>
      <c r="EB30" s="15" t="n"/>
      <c r="EC30" s="58" t="n"/>
      <c r="ED30" s="58" t="n"/>
      <c r="EE30" s="15" t="n"/>
      <c r="EF30" s="58" t="n"/>
      <c r="EG30" s="58" t="n"/>
      <c r="EH30" s="15" t="n"/>
      <c r="EI30" s="58" t="n"/>
      <c r="EJ30" s="58" t="n"/>
    </row>
    <row r="31">
      <c r="A31" s="11" t="inlineStr">
        <is>
          <t>helper lipid stock concentration (mM)</t>
        </is>
      </c>
      <c r="B31" s="12" t="inlineStr">
        <is>
          <t>mM</t>
        </is>
      </c>
      <c r="C31" s="75">
        <f>C55/C23*1000</f>
        <v/>
      </c>
      <c r="D31" s="55">
        <f>D55/D23*1000</f>
        <v/>
      </c>
      <c r="E31" s="13">
        <f>E55/E23*1000</f>
        <v/>
      </c>
      <c r="F31" s="12">
        <f>F55/F23*1000</f>
        <v/>
      </c>
      <c r="G31" s="55">
        <f>G55/G23*1000</f>
        <v/>
      </c>
      <c r="H31" s="55">
        <f>H55/H23*1000</f>
        <v/>
      </c>
      <c r="I31" s="12">
        <f>I55/I23*1000</f>
        <v/>
      </c>
      <c r="J31" s="55">
        <f>J55/J23*1000</f>
        <v/>
      </c>
      <c r="K31" s="55">
        <f>K55/K23*1000</f>
        <v/>
      </c>
      <c r="L31" s="12">
        <f>L55/L23*1000</f>
        <v/>
      </c>
      <c r="M31" s="55">
        <f>M55/M23*1000</f>
        <v/>
      </c>
      <c r="N31" s="55">
        <f>N55/N23*1000</f>
        <v/>
      </c>
      <c r="O31" s="12">
        <f>O55/O23*1000</f>
        <v/>
      </c>
      <c r="P31" s="55">
        <f>P55/P23*1000</f>
        <v/>
      </c>
      <c r="Q31" s="55">
        <f>Q55/Q23*1000</f>
        <v/>
      </c>
      <c r="R31" s="12">
        <f>R55/R23*1000</f>
        <v/>
      </c>
      <c r="S31" s="55">
        <f>S55/S23*1000</f>
        <v/>
      </c>
      <c r="T31" s="55">
        <f>T55/T23*1000</f>
        <v/>
      </c>
      <c r="U31" s="12">
        <f>U55/U23*1000</f>
        <v/>
      </c>
      <c r="V31" s="55">
        <f>V55/V23*1000</f>
        <v/>
      </c>
      <c r="W31" s="55">
        <f>W55/W23*1000</f>
        <v/>
      </c>
      <c r="X31" s="12">
        <f>X55/X23*1000</f>
        <v/>
      </c>
      <c r="Y31" s="55">
        <f>Y55/Y23*1000</f>
        <v/>
      </c>
      <c r="Z31" s="55">
        <f>Z55/Z23*1000</f>
        <v/>
      </c>
      <c r="AA31" s="55">
        <f>AA55/AA23*1000</f>
        <v/>
      </c>
      <c r="AB31" s="12">
        <f>AB55/AB23*1000</f>
        <v/>
      </c>
      <c r="AC31" s="55">
        <f>AC55/AC23*1000</f>
        <v/>
      </c>
      <c r="AD31" s="55">
        <f>AD55/AD23*1000</f>
        <v/>
      </c>
      <c r="AE31" s="12">
        <f>AE55/AE23*1000</f>
        <v/>
      </c>
      <c r="AF31" s="55">
        <f>AF55/AF23*1000</f>
        <v/>
      </c>
      <c r="AG31" s="55">
        <f>AG55/AG23*1000</f>
        <v/>
      </c>
      <c r="AH31" s="12">
        <f>AH55/AH23*1000</f>
        <v/>
      </c>
      <c r="AI31" s="55">
        <f>AI55/AI23*1000</f>
        <v/>
      </c>
      <c r="AJ31" s="55">
        <f>AJ55/AJ23*1000</f>
        <v/>
      </c>
      <c r="AK31" s="12">
        <f>AK55/AK23*1000</f>
        <v/>
      </c>
      <c r="AL31" s="55">
        <f>AL55/AL23*1000</f>
        <v/>
      </c>
      <c r="AM31" s="55">
        <f>AM55/AM23*1000</f>
        <v/>
      </c>
      <c r="AN31" s="12">
        <f>AN55/AN23*1000</f>
        <v/>
      </c>
      <c r="AO31" s="55">
        <f>AO55/AO23*1000</f>
        <v/>
      </c>
      <c r="AP31" s="55">
        <f>AP55/AP23*1000</f>
        <v/>
      </c>
      <c r="AQ31" s="12">
        <f>AQ55/AQ23*1000</f>
        <v/>
      </c>
      <c r="AR31" s="55">
        <f>AR55/AR23*1000</f>
        <v/>
      </c>
      <c r="AS31" s="55">
        <f>AS55/AS23*1000</f>
        <v/>
      </c>
      <c r="AT31" s="55">
        <f>AT55/AT23*1000</f>
        <v/>
      </c>
      <c r="AU31" s="12">
        <f>AU55/AU23*1000</f>
        <v/>
      </c>
      <c r="AV31" s="55">
        <f>AV55/AV23*1000</f>
        <v/>
      </c>
      <c r="AW31" s="55">
        <f>AW55/AW23*1000</f>
        <v/>
      </c>
      <c r="AX31" s="12">
        <f>AX55/AX23*1000</f>
        <v/>
      </c>
      <c r="AY31" s="55">
        <f>AY55/AY23*1000</f>
        <v/>
      </c>
      <c r="AZ31" s="55">
        <f>AZ55/AZ23*1000</f>
        <v/>
      </c>
      <c r="BA31" s="12">
        <f>BA55/BA23*1000</f>
        <v/>
      </c>
      <c r="BB31" s="55">
        <f>BB55/BB23*1000</f>
        <v/>
      </c>
      <c r="BC31" s="55">
        <f>BC55/BC23*1000</f>
        <v/>
      </c>
      <c r="BD31" s="12">
        <f>BD55/BD23*1000</f>
        <v/>
      </c>
      <c r="BE31" s="55">
        <f>BE55/BE23*1000</f>
        <v/>
      </c>
      <c r="BF31" s="55">
        <f>BF55/BF23*1000</f>
        <v/>
      </c>
      <c r="BG31" s="12">
        <f>BG55/BG23*1000</f>
        <v/>
      </c>
      <c r="BH31" s="55">
        <f>BH55/BH23*1000</f>
        <v/>
      </c>
      <c r="BI31" s="55">
        <f>BI55/BI23*1000</f>
        <v/>
      </c>
      <c r="BJ31" s="12">
        <f>BJ55/BJ23*1000</f>
        <v/>
      </c>
      <c r="BK31" s="55">
        <f>BK55/BK23*1000</f>
        <v/>
      </c>
      <c r="BL31" s="55">
        <f>BL55/BL23*1000</f>
        <v/>
      </c>
      <c r="BM31" s="55">
        <f>BM55/BM23*1000</f>
        <v/>
      </c>
      <c r="BN31" s="12">
        <f>BN55/BN23*1000</f>
        <v/>
      </c>
      <c r="BO31" s="55">
        <f>BO55/BO23*1000</f>
        <v/>
      </c>
      <c r="BP31" s="55">
        <f>BP55/BP23*1000</f>
        <v/>
      </c>
      <c r="BQ31" s="12">
        <f>BQ55/BQ23*1000</f>
        <v/>
      </c>
      <c r="BR31" s="55">
        <f>BR55/BR23*1000</f>
        <v/>
      </c>
      <c r="BS31" s="55">
        <f>BS55/BS23*1000</f>
        <v/>
      </c>
      <c r="BT31" s="12">
        <f>BT55/BT23*1000</f>
        <v/>
      </c>
      <c r="BU31" s="55">
        <f>BU55/BU23*1000</f>
        <v/>
      </c>
      <c r="BV31" s="55">
        <f>BV55/BV23*1000</f>
        <v/>
      </c>
      <c r="BW31" s="12">
        <f>BW55/BW23*1000</f>
        <v/>
      </c>
      <c r="BX31" s="55">
        <f>BX55/BX23*1000</f>
        <v/>
      </c>
      <c r="BY31" s="55">
        <f>BY55/BY23*1000</f>
        <v/>
      </c>
      <c r="BZ31" s="12">
        <f>BZ55/BZ23*1000</f>
        <v/>
      </c>
      <c r="CA31" s="55">
        <f>CA55/CA23*1000</f>
        <v/>
      </c>
      <c r="CB31" s="55">
        <f>CB55/CB23*1000</f>
        <v/>
      </c>
      <c r="CC31" s="12">
        <f>CC55/CC23*1000</f>
        <v/>
      </c>
      <c r="CD31" s="55">
        <f>CD55/CD23*1000</f>
        <v/>
      </c>
      <c r="CE31" s="55">
        <f>CE55/CE23*1000</f>
        <v/>
      </c>
      <c r="CF31" s="55">
        <f>CF55/CF23*1000</f>
        <v/>
      </c>
      <c r="CG31" s="12">
        <f>CG55/CG23*1000</f>
        <v/>
      </c>
      <c r="CH31" s="55">
        <f>CH55/CH23*1000</f>
        <v/>
      </c>
      <c r="CI31" s="55">
        <f>CI55/CI23*1000</f>
        <v/>
      </c>
      <c r="CJ31" s="12">
        <f>CJ55/CJ23*1000</f>
        <v/>
      </c>
      <c r="CK31" s="55">
        <f>CK55/CK23*1000</f>
        <v/>
      </c>
      <c r="CL31" s="55">
        <f>CL55/CL23*1000</f>
        <v/>
      </c>
      <c r="CM31" s="12">
        <f>CM55/CM23*1000</f>
        <v/>
      </c>
      <c r="CN31" s="55">
        <f>CN55/CN23*1000</f>
        <v/>
      </c>
      <c r="CO31" s="55">
        <f>CO55/CO23*1000</f>
        <v/>
      </c>
      <c r="CP31" s="12">
        <f>CP55/CP23*1000</f>
        <v/>
      </c>
      <c r="CQ31" s="55">
        <f>CQ55/CQ23*1000</f>
        <v/>
      </c>
      <c r="CR31" s="55">
        <f>CR55/CR23*1000</f>
        <v/>
      </c>
      <c r="CS31" s="12">
        <f>CS55/CS23*1000</f>
        <v/>
      </c>
      <c r="CT31" s="55">
        <f>CT55/CT23*1000</f>
        <v/>
      </c>
      <c r="CU31" s="55">
        <f>CU55/CU23*1000</f>
        <v/>
      </c>
      <c r="CV31" s="12">
        <f>CV55/CV23*1000</f>
        <v/>
      </c>
      <c r="CW31" s="55">
        <f>CW55/CW23*1000</f>
        <v/>
      </c>
      <c r="CX31" s="55">
        <f>CX55/CX23*1000</f>
        <v/>
      </c>
      <c r="CY31" s="55">
        <f>CY55/CY23*1000</f>
        <v/>
      </c>
      <c r="CZ31" s="12">
        <f>CZ55/CZ23*1000</f>
        <v/>
      </c>
      <c r="DA31" s="55">
        <f>DA55/DA23*1000</f>
        <v/>
      </c>
      <c r="DB31" s="55">
        <f>DB55/DB23*1000</f>
        <v/>
      </c>
      <c r="DC31" s="12">
        <f>DC55/DC23*1000</f>
        <v/>
      </c>
      <c r="DD31" s="55">
        <f>DD55/DD23*1000</f>
        <v/>
      </c>
      <c r="DE31" s="55">
        <f>DE55/DE23*1000</f>
        <v/>
      </c>
      <c r="DF31" s="12">
        <f>DF55/DF23*1000</f>
        <v/>
      </c>
      <c r="DG31" s="55">
        <f>DG55/DG23*1000</f>
        <v/>
      </c>
      <c r="DH31" s="55">
        <f>DH55/DH23*1000</f>
        <v/>
      </c>
      <c r="DI31" s="12">
        <f>DI55/DI23*1000</f>
        <v/>
      </c>
      <c r="DJ31" s="55">
        <f>DJ55/DJ23*1000</f>
        <v/>
      </c>
      <c r="DK31" s="55">
        <f>DK55/DK23*1000</f>
        <v/>
      </c>
      <c r="DL31" s="12">
        <f>DL55/DL23*1000</f>
        <v/>
      </c>
      <c r="DM31" s="55">
        <f>DM55/DM23*1000</f>
        <v/>
      </c>
      <c r="DN31" s="55">
        <f>DN55/DN23*1000</f>
        <v/>
      </c>
      <c r="DO31" s="12">
        <f>DO55/DO23*1000</f>
        <v/>
      </c>
      <c r="DP31" s="55">
        <f>DP55/DP23*1000</f>
        <v/>
      </c>
      <c r="DQ31" s="55">
        <f>DQ55/DQ23*1000</f>
        <v/>
      </c>
      <c r="DR31" s="55">
        <f>DR55/DR23*1000</f>
        <v/>
      </c>
      <c r="DS31" s="12">
        <f>DS55/DS23*1000</f>
        <v/>
      </c>
      <c r="DT31" s="55">
        <f>DT55/DT23*1000</f>
        <v/>
      </c>
      <c r="DU31" s="55">
        <f>DU55/DU23*1000</f>
        <v/>
      </c>
      <c r="DV31" s="12">
        <f>DV55/DV23*1000</f>
        <v/>
      </c>
      <c r="DW31" s="55">
        <f>DW55/DW23*1000</f>
        <v/>
      </c>
      <c r="DX31" s="55">
        <f>DX55/DX23*1000</f>
        <v/>
      </c>
      <c r="DY31" s="12">
        <f>DY55/DY23*1000</f>
        <v/>
      </c>
      <c r="DZ31" s="55">
        <f>DZ55/DZ23*1000</f>
        <v/>
      </c>
      <c r="EA31" s="55">
        <f>EA55/EA23*1000</f>
        <v/>
      </c>
      <c r="EB31" s="12">
        <f>EB55/EB23*1000</f>
        <v/>
      </c>
      <c r="EC31" s="55">
        <f>EC55/EC23*1000</f>
        <v/>
      </c>
      <c r="ED31" s="55">
        <f>ED55/ED23*1000</f>
        <v/>
      </c>
      <c r="EE31" s="12">
        <f>EE55/EE23*1000</f>
        <v/>
      </c>
      <c r="EF31" s="55">
        <f>EF55/EF23*1000</f>
        <v/>
      </c>
      <c r="EG31" s="55">
        <f>EG55/EG23*1000</f>
        <v/>
      </c>
      <c r="EH31" s="12">
        <f>EH55/EH23*1000</f>
        <v/>
      </c>
      <c r="EI31" s="55">
        <f>EI55/EI23*1000</f>
        <v/>
      </c>
      <c r="EJ31" s="55">
        <f>EJ55/EJ23*1000</f>
        <v/>
      </c>
    </row>
    <row r="32">
      <c r="A32" t="inlineStr">
        <is>
          <t>Ionizable Lipid mM</t>
        </is>
      </c>
      <c r="B32" s="15" t="inlineStr">
        <is>
          <t>mM</t>
        </is>
      </c>
      <c r="C32" s="78">
        <f>C54/C22*1000</f>
        <v/>
      </c>
      <c r="D32" s="58">
        <f>D54/D22*1000</f>
        <v/>
      </c>
      <c r="E32" s="1">
        <f>E54/E22*1000</f>
        <v/>
      </c>
      <c r="F32" s="15">
        <f>F54/F22*1000</f>
        <v/>
      </c>
      <c r="G32" s="58">
        <f>G54/G22*1000</f>
        <v/>
      </c>
      <c r="H32" s="58">
        <f>H54/H22*1000</f>
        <v/>
      </c>
      <c r="I32" s="15">
        <f>I54/I22*1000</f>
        <v/>
      </c>
      <c r="J32" s="58">
        <f>J54/J22*1000</f>
        <v/>
      </c>
      <c r="K32" s="58">
        <f>K54/K22*1000</f>
        <v/>
      </c>
      <c r="L32" s="15">
        <f>L54/L22*1000</f>
        <v/>
      </c>
      <c r="M32" s="58">
        <f>M54/M22*1000</f>
        <v/>
      </c>
      <c r="N32" s="58">
        <f>N54/N22*1000</f>
        <v/>
      </c>
      <c r="O32" s="15">
        <f>O54/O22*1000</f>
        <v/>
      </c>
      <c r="P32" s="58">
        <f>P54/P22*1000</f>
        <v/>
      </c>
      <c r="Q32" s="58">
        <f>Q54/Q22*1000</f>
        <v/>
      </c>
      <c r="R32" s="15">
        <f>R54/R22*1000</f>
        <v/>
      </c>
      <c r="S32" s="58">
        <f>S54/S22*1000</f>
        <v/>
      </c>
      <c r="T32" s="58">
        <f>T54/T22*1000</f>
        <v/>
      </c>
      <c r="U32" s="15">
        <f>U54/U22*1000</f>
        <v/>
      </c>
      <c r="V32" s="58">
        <f>V54/V22*1000</f>
        <v/>
      </c>
      <c r="W32" s="58">
        <f>W54/W22*1000</f>
        <v/>
      </c>
      <c r="X32" s="15">
        <f>X54/X22*1000</f>
        <v/>
      </c>
      <c r="Y32" s="58">
        <f>Y54/Y22*1000</f>
        <v/>
      </c>
      <c r="Z32" s="58">
        <f>Z54/Z22*1000</f>
        <v/>
      </c>
      <c r="AA32" s="58">
        <f>AA54/AA22*1000</f>
        <v/>
      </c>
      <c r="AB32" s="15">
        <f>AB54/AB22*1000</f>
        <v/>
      </c>
      <c r="AC32" s="58">
        <f>AC54/AC22*1000</f>
        <v/>
      </c>
      <c r="AD32" s="58">
        <f>AD54/AD22*1000</f>
        <v/>
      </c>
      <c r="AE32" s="15">
        <f>AE54/AE22*1000</f>
        <v/>
      </c>
      <c r="AF32" s="58">
        <f>AF54/AF22*1000</f>
        <v/>
      </c>
      <c r="AG32" s="58">
        <f>AG54/AG22*1000</f>
        <v/>
      </c>
      <c r="AH32" s="15">
        <f>AH54/AH22*1000</f>
        <v/>
      </c>
      <c r="AI32" s="58">
        <f>AI54/AI22*1000</f>
        <v/>
      </c>
      <c r="AJ32" s="58">
        <f>AJ54/AJ22*1000</f>
        <v/>
      </c>
      <c r="AK32" s="15">
        <f>AK54/AK22*1000</f>
        <v/>
      </c>
      <c r="AL32" s="58">
        <f>AL54/AL22*1000</f>
        <v/>
      </c>
      <c r="AM32" s="58">
        <f>AM54/AM22*1000</f>
        <v/>
      </c>
      <c r="AN32" s="15">
        <f>AN54/AN22*1000</f>
        <v/>
      </c>
      <c r="AO32" s="58">
        <f>AO54/AO22*1000</f>
        <v/>
      </c>
      <c r="AP32" s="58">
        <f>AP54/AP22*1000</f>
        <v/>
      </c>
      <c r="AQ32" s="15">
        <f>AQ54/AQ22*1000</f>
        <v/>
      </c>
      <c r="AR32" s="58">
        <f>AR54/AR22*1000</f>
        <v/>
      </c>
      <c r="AS32" s="58">
        <f>AS54/AS22*1000</f>
        <v/>
      </c>
      <c r="AT32" s="58">
        <f>AT54/AT22*1000</f>
        <v/>
      </c>
      <c r="AU32" s="15">
        <f>AU54/AU22*1000</f>
        <v/>
      </c>
      <c r="AV32" s="58">
        <f>AV54/AV22*1000</f>
        <v/>
      </c>
      <c r="AW32" s="58">
        <f>AW54/AW22*1000</f>
        <v/>
      </c>
      <c r="AX32" s="15">
        <f>AX54/AX22*1000</f>
        <v/>
      </c>
      <c r="AY32" s="58">
        <f>AY54/AY22*1000</f>
        <v/>
      </c>
      <c r="AZ32" s="58">
        <f>AZ54/AZ22*1000</f>
        <v/>
      </c>
      <c r="BA32" s="15">
        <f>BA54/BA22*1000</f>
        <v/>
      </c>
      <c r="BB32" s="58">
        <f>BB54/BB22*1000</f>
        <v/>
      </c>
      <c r="BC32" s="58">
        <f>BC54/BC22*1000</f>
        <v/>
      </c>
      <c r="BD32" s="15">
        <f>BD54/BD22*1000</f>
        <v/>
      </c>
      <c r="BE32" s="58">
        <f>BE54/BE22*1000</f>
        <v/>
      </c>
      <c r="BF32" s="58">
        <f>BF54/BF22*1000</f>
        <v/>
      </c>
      <c r="BG32" s="15">
        <f>BG54/BG22*1000</f>
        <v/>
      </c>
      <c r="BH32" s="58">
        <f>BH54/BH22*1000</f>
        <v/>
      </c>
      <c r="BI32" s="58">
        <f>BI54/BI22*1000</f>
        <v/>
      </c>
      <c r="BJ32" s="15">
        <f>BJ54/BJ22*1000</f>
        <v/>
      </c>
      <c r="BK32" s="58">
        <f>BK54/BK22*1000</f>
        <v/>
      </c>
      <c r="BL32" s="58">
        <f>BL54/BL22*1000</f>
        <v/>
      </c>
      <c r="BM32" s="58">
        <f>BM54/BM22*1000</f>
        <v/>
      </c>
      <c r="BN32" s="15">
        <f>BN54/BN22*1000</f>
        <v/>
      </c>
      <c r="BO32" s="58">
        <f>BO54/BO22*1000</f>
        <v/>
      </c>
      <c r="BP32" s="58">
        <f>BP54/BP22*1000</f>
        <v/>
      </c>
      <c r="BQ32" s="15">
        <f>BQ54/BQ22*1000</f>
        <v/>
      </c>
      <c r="BR32" s="58">
        <f>BR54/BR22*1000</f>
        <v/>
      </c>
      <c r="BS32" s="58">
        <f>BS54/BS22*1000</f>
        <v/>
      </c>
      <c r="BT32" s="15">
        <f>BT54/BT22*1000</f>
        <v/>
      </c>
      <c r="BU32" s="58">
        <f>BU54/BU22*1000</f>
        <v/>
      </c>
      <c r="BV32" s="58">
        <f>BV54/BV22*1000</f>
        <v/>
      </c>
      <c r="BW32" s="15">
        <f>BW54/BW22*1000</f>
        <v/>
      </c>
      <c r="BX32" s="58">
        <f>BX54/BX22*1000</f>
        <v/>
      </c>
      <c r="BY32" s="58">
        <f>BY54/BY22*1000</f>
        <v/>
      </c>
      <c r="BZ32" s="15">
        <f>BZ54/BZ22*1000</f>
        <v/>
      </c>
      <c r="CA32" s="58">
        <f>CA54/CA22*1000</f>
        <v/>
      </c>
      <c r="CB32" s="58">
        <f>CB54/CB22*1000</f>
        <v/>
      </c>
      <c r="CC32" s="15">
        <f>CC54/CC22*1000</f>
        <v/>
      </c>
      <c r="CD32" s="58">
        <f>CD54/CD22*1000</f>
        <v/>
      </c>
      <c r="CE32" s="58">
        <f>CE54/CE22*1000</f>
        <v/>
      </c>
      <c r="CF32" s="58">
        <f>CF54/CF22*1000</f>
        <v/>
      </c>
      <c r="CG32" s="15">
        <f>CG54/CG22*1000</f>
        <v/>
      </c>
      <c r="CH32" s="58">
        <f>CH54/CH22*1000</f>
        <v/>
      </c>
      <c r="CI32" s="58">
        <f>CI54/CI22*1000</f>
        <v/>
      </c>
      <c r="CJ32" s="15">
        <f>CJ54/CJ22*1000</f>
        <v/>
      </c>
      <c r="CK32" s="58">
        <f>CK54/CK22*1000</f>
        <v/>
      </c>
      <c r="CL32" s="58">
        <f>CL54/CL22*1000</f>
        <v/>
      </c>
      <c r="CM32" s="15">
        <f>CM54/CM22*1000</f>
        <v/>
      </c>
      <c r="CN32" s="58">
        <f>CN54/CN22*1000</f>
        <v/>
      </c>
      <c r="CO32" s="58">
        <f>CO54/CO22*1000</f>
        <v/>
      </c>
      <c r="CP32" s="15">
        <f>CP54/CP22*1000</f>
        <v/>
      </c>
      <c r="CQ32" s="58">
        <f>CQ54/CQ22*1000</f>
        <v/>
      </c>
      <c r="CR32" s="58">
        <f>CR54/CR22*1000</f>
        <v/>
      </c>
      <c r="CS32" s="15">
        <f>CS54/CS22*1000</f>
        <v/>
      </c>
      <c r="CT32" s="58">
        <f>CT54/CT22*1000</f>
        <v/>
      </c>
      <c r="CU32" s="58">
        <f>CU54/CU22*1000</f>
        <v/>
      </c>
      <c r="CV32" s="15">
        <f>CV54/CV22*1000</f>
        <v/>
      </c>
      <c r="CW32" s="58">
        <f>CW54/CW22*1000</f>
        <v/>
      </c>
      <c r="CX32" s="58">
        <f>CX54/CX22*1000</f>
        <v/>
      </c>
      <c r="CY32" s="58">
        <f>CY54/CY22*1000</f>
        <v/>
      </c>
      <c r="CZ32" s="15">
        <f>CZ54/CZ22*1000</f>
        <v/>
      </c>
      <c r="DA32" s="58">
        <f>DA54/DA22*1000</f>
        <v/>
      </c>
      <c r="DB32" s="58">
        <f>DB54/DB22*1000</f>
        <v/>
      </c>
      <c r="DC32" s="15">
        <f>DC54/DC22*1000</f>
        <v/>
      </c>
      <c r="DD32" s="58">
        <f>DD54/DD22*1000</f>
        <v/>
      </c>
      <c r="DE32" s="58">
        <f>DE54/DE22*1000</f>
        <v/>
      </c>
      <c r="DF32" s="15">
        <f>DF54/DF22*1000</f>
        <v/>
      </c>
      <c r="DG32" s="58">
        <f>DG54/DG22*1000</f>
        <v/>
      </c>
      <c r="DH32" s="58">
        <f>DH54/DH22*1000</f>
        <v/>
      </c>
      <c r="DI32" s="15">
        <f>DI54/DI22*1000</f>
        <v/>
      </c>
      <c r="DJ32" s="58">
        <f>DJ54/DJ22*1000</f>
        <v/>
      </c>
      <c r="DK32" s="58">
        <f>DK54/DK22*1000</f>
        <v/>
      </c>
      <c r="DL32" s="15">
        <f>DL54/DL22*1000</f>
        <v/>
      </c>
      <c r="DM32" s="58">
        <f>DM54/DM22*1000</f>
        <v/>
      </c>
      <c r="DN32" s="58">
        <f>DN54/DN22*1000</f>
        <v/>
      </c>
      <c r="DO32" s="15">
        <f>DO54/DO22*1000</f>
        <v/>
      </c>
      <c r="DP32" s="58">
        <f>DP54/DP22*1000</f>
        <v/>
      </c>
      <c r="DQ32" s="58">
        <f>DQ54/DQ22*1000</f>
        <v/>
      </c>
      <c r="DR32" s="58">
        <f>DR54/DR22*1000</f>
        <v/>
      </c>
      <c r="DS32" s="15">
        <f>DS54/DS22*1000</f>
        <v/>
      </c>
      <c r="DT32" s="58">
        <f>DT54/DT22*1000</f>
        <v/>
      </c>
      <c r="DU32" s="58">
        <f>DU54/DU22*1000</f>
        <v/>
      </c>
      <c r="DV32" s="15">
        <f>DV54/DV22*1000</f>
        <v/>
      </c>
      <c r="DW32" s="58">
        <f>DW54/DW22*1000</f>
        <v/>
      </c>
      <c r="DX32" s="58">
        <f>DX54/DX22*1000</f>
        <v/>
      </c>
      <c r="DY32" s="15">
        <f>DY54/DY22*1000</f>
        <v/>
      </c>
      <c r="DZ32" s="58">
        <f>DZ54/DZ22*1000</f>
        <v/>
      </c>
      <c r="EA32" s="58">
        <f>EA54/EA22*1000</f>
        <v/>
      </c>
      <c r="EB32" s="15">
        <f>EB54/EB22*1000</f>
        <v/>
      </c>
      <c r="EC32" s="58">
        <f>EC54/EC22*1000</f>
        <v/>
      </c>
      <c r="ED32" s="58">
        <f>ED54/ED22*1000</f>
        <v/>
      </c>
      <c r="EE32" s="15">
        <f>EE54/EE22*1000</f>
        <v/>
      </c>
      <c r="EF32" s="58">
        <f>EF54/EF22*1000</f>
        <v/>
      </c>
      <c r="EG32" s="58">
        <f>EG54/EG22*1000</f>
        <v/>
      </c>
      <c r="EH32" s="15">
        <f>EH54/EH22*1000</f>
        <v/>
      </c>
      <c r="EI32" s="58">
        <f>EI54/EI22*1000</f>
        <v/>
      </c>
      <c r="EJ32" s="58">
        <f>EJ54/EJ22*1000</f>
        <v/>
      </c>
    </row>
    <row r="33">
      <c r="A33" t="inlineStr">
        <is>
          <t>Cholesterol mM</t>
        </is>
      </c>
      <c r="B33" s="15" t="inlineStr">
        <is>
          <t>mM</t>
        </is>
      </c>
      <c r="C33" s="78">
        <f>C56/C24*1000</f>
        <v/>
      </c>
      <c r="D33" s="58">
        <f>D56/D24*1000</f>
        <v/>
      </c>
      <c r="E33" s="1">
        <f>E56/E24*1000</f>
        <v/>
      </c>
      <c r="F33" s="15">
        <f>F56/F24*1000</f>
        <v/>
      </c>
      <c r="G33" s="58">
        <f>G56/G24*1000</f>
        <v/>
      </c>
      <c r="H33" s="58">
        <f>H56/H24*1000</f>
        <v/>
      </c>
      <c r="I33" s="15">
        <f>I56/I24*1000</f>
        <v/>
      </c>
      <c r="J33" s="58">
        <f>J56/J24*1000</f>
        <v/>
      </c>
      <c r="K33" s="58">
        <f>K56/K24*1000</f>
        <v/>
      </c>
      <c r="L33" s="15">
        <f>L56/L24*1000</f>
        <v/>
      </c>
      <c r="M33" s="58">
        <f>M56/M24*1000</f>
        <v/>
      </c>
      <c r="N33" s="58">
        <f>N56/N24*1000</f>
        <v/>
      </c>
      <c r="O33" s="15">
        <f>O56/O24*1000</f>
        <v/>
      </c>
      <c r="P33" s="58">
        <f>P56/P24*1000</f>
        <v/>
      </c>
      <c r="Q33" s="58">
        <f>Q56/Q24*1000</f>
        <v/>
      </c>
      <c r="R33" s="15">
        <f>R56/R24*1000</f>
        <v/>
      </c>
      <c r="S33" s="58">
        <f>S56/S24*1000</f>
        <v/>
      </c>
      <c r="T33" s="58">
        <f>T56/T24*1000</f>
        <v/>
      </c>
      <c r="U33" s="15">
        <f>U56/U24*1000</f>
        <v/>
      </c>
      <c r="V33" s="58">
        <f>V56/V24*1000</f>
        <v/>
      </c>
      <c r="W33" s="58">
        <f>W56/W24*1000</f>
        <v/>
      </c>
      <c r="X33" s="15">
        <f>X56/X24*1000</f>
        <v/>
      </c>
      <c r="Y33" s="58">
        <f>Y56/Y24*1000</f>
        <v/>
      </c>
      <c r="Z33" s="58">
        <f>Z56/Z24*1000</f>
        <v/>
      </c>
      <c r="AA33" s="58">
        <f>AA56/AA24*1000</f>
        <v/>
      </c>
      <c r="AB33" s="15">
        <f>AB56/AB24*1000</f>
        <v/>
      </c>
      <c r="AC33" s="58">
        <f>AC56/AC24*1000</f>
        <v/>
      </c>
      <c r="AD33" s="58">
        <f>AD56/AD24*1000</f>
        <v/>
      </c>
      <c r="AE33" s="15">
        <f>AE56/AE24*1000</f>
        <v/>
      </c>
      <c r="AF33" s="58">
        <f>AF56/AF24*1000</f>
        <v/>
      </c>
      <c r="AG33" s="58">
        <f>AG56/AG24*1000</f>
        <v/>
      </c>
      <c r="AH33" s="15">
        <f>AH56/AH24*1000</f>
        <v/>
      </c>
      <c r="AI33" s="58">
        <f>AI56/AI24*1000</f>
        <v/>
      </c>
      <c r="AJ33" s="58">
        <f>AJ56/AJ24*1000</f>
        <v/>
      </c>
      <c r="AK33" s="15">
        <f>AK56/AK24*1000</f>
        <v/>
      </c>
      <c r="AL33" s="58">
        <f>AL56/AL24*1000</f>
        <v/>
      </c>
      <c r="AM33" s="58">
        <f>AM56/AM24*1000</f>
        <v/>
      </c>
      <c r="AN33" s="15">
        <f>AN56/AN24*1000</f>
        <v/>
      </c>
      <c r="AO33" s="58">
        <f>AO56/AO24*1000</f>
        <v/>
      </c>
      <c r="AP33" s="58">
        <f>AP56/AP24*1000</f>
        <v/>
      </c>
      <c r="AQ33" s="15">
        <f>AQ56/AQ24*1000</f>
        <v/>
      </c>
      <c r="AR33" s="58">
        <f>AR56/AR24*1000</f>
        <v/>
      </c>
      <c r="AS33" s="58">
        <f>AS56/AS24*1000</f>
        <v/>
      </c>
      <c r="AT33" s="58">
        <f>AT56/AT24*1000</f>
        <v/>
      </c>
      <c r="AU33" s="15">
        <f>AU56/AU24*1000</f>
        <v/>
      </c>
      <c r="AV33" s="58">
        <f>AV56/AV24*1000</f>
        <v/>
      </c>
      <c r="AW33" s="58">
        <f>AW56/AW24*1000</f>
        <v/>
      </c>
      <c r="AX33" s="15">
        <f>AX56/AX24*1000</f>
        <v/>
      </c>
      <c r="AY33" s="58">
        <f>AY56/AY24*1000</f>
        <v/>
      </c>
      <c r="AZ33" s="58">
        <f>AZ56/AZ24*1000</f>
        <v/>
      </c>
      <c r="BA33" s="15">
        <f>BA56/BA24*1000</f>
        <v/>
      </c>
      <c r="BB33" s="58">
        <f>BB56/BB24*1000</f>
        <v/>
      </c>
      <c r="BC33" s="58">
        <f>BC56/BC24*1000</f>
        <v/>
      </c>
      <c r="BD33" s="15">
        <f>BD56/BD24*1000</f>
        <v/>
      </c>
      <c r="BE33" s="58">
        <f>BE56/BE24*1000</f>
        <v/>
      </c>
      <c r="BF33" s="58">
        <f>BF56/BF24*1000</f>
        <v/>
      </c>
      <c r="BG33" s="15">
        <f>BG56/BG24*1000</f>
        <v/>
      </c>
      <c r="BH33" s="58">
        <f>BH56/BH24*1000</f>
        <v/>
      </c>
      <c r="BI33" s="58">
        <f>BI56/BI24*1000</f>
        <v/>
      </c>
      <c r="BJ33" s="15">
        <f>BJ56/BJ24*1000</f>
        <v/>
      </c>
      <c r="BK33" s="58">
        <f>BK56/BK24*1000</f>
        <v/>
      </c>
      <c r="BL33" s="58">
        <f>BL56/BL24*1000</f>
        <v/>
      </c>
      <c r="BM33" s="58">
        <f>BM56/BM24*1000</f>
        <v/>
      </c>
      <c r="BN33" s="15">
        <f>BN56/BN24*1000</f>
        <v/>
      </c>
      <c r="BO33" s="58">
        <f>BO56/BO24*1000</f>
        <v/>
      </c>
      <c r="BP33" s="58">
        <f>BP56/BP24*1000</f>
        <v/>
      </c>
      <c r="BQ33" s="15">
        <f>BQ56/BQ24*1000</f>
        <v/>
      </c>
      <c r="BR33" s="58">
        <f>BR56/BR24*1000</f>
        <v/>
      </c>
      <c r="BS33" s="58">
        <f>BS56/BS24*1000</f>
        <v/>
      </c>
      <c r="BT33" s="15">
        <f>BT56/BT24*1000</f>
        <v/>
      </c>
      <c r="BU33" s="58">
        <f>BU56/BU24*1000</f>
        <v/>
      </c>
      <c r="BV33" s="58">
        <f>BV56/BV24*1000</f>
        <v/>
      </c>
      <c r="BW33" s="15">
        <f>BW56/BW24*1000</f>
        <v/>
      </c>
      <c r="BX33" s="58">
        <f>BX56/BX24*1000</f>
        <v/>
      </c>
      <c r="BY33" s="58">
        <f>BY56/BY24*1000</f>
        <v/>
      </c>
      <c r="BZ33" s="15">
        <f>BZ56/BZ24*1000</f>
        <v/>
      </c>
      <c r="CA33" s="58">
        <f>CA56/CA24*1000</f>
        <v/>
      </c>
      <c r="CB33" s="58">
        <f>CB56/CB24*1000</f>
        <v/>
      </c>
      <c r="CC33" s="15">
        <f>CC56/CC24*1000</f>
        <v/>
      </c>
      <c r="CD33" s="58">
        <f>CD56/CD24*1000</f>
        <v/>
      </c>
      <c r="CE33" s="58">
        <f>CE56/CE24*1000</f>
        <v/>
      </c>
      <c r="CF33" s="58">
        <f>CF56/CF24*1000</f>
        <v/>
      </c>
      <c r="CG33" s="15">
        <f>CG56/CG24*1000</f>
        <v/>
      </c>
      <c r="CH33" s="58">
        <f>CH56/CH24*1000</f>
        <v/>
      </c>
      <c r="CI33" s="58">
        <f>CI56/CI24*1000</f>
        <v/>
      </c>
      <c r="CJ33" s="15">
        <f>CJ56/CJ24*1000</f>
        <v/>
      </c>
      <c r="CK33" s="58">
        <f>CK56/CK24*1000</f>
        <v/>
      </c>
      <c r="CL33" s="58">
        <f>CL56/CL24*1000</f>
        <v/>
      </c>
      <c r="CM33" s="15">
        <f>CM56/CM24*1000</f>
        <v/>
      </c>
      <c r="CN33" s="58">
        <f>CN56/CN24*1000</f>
        <v/>
      </c>
      <c r="CO33" s="58">
        <f>CO56/CO24*1000</f>
        <v/>
      </c>
      <c r="CP33" s="15">
        <f>CP56/CP24*1000</f>
        <v/>
      </c>
      <c r="CQ33" s="58">
        <f>CQ56/CQ24*1000</f>
        <v/>
      </c>
      <c r="CR33" s="58">
        <f>CR56/CR24*1000</f>
        <v/>
      </c>
      <c r="CS33" s="15">
        <f>CS56/CS24*1000</f>
        <v/>
      </c>
      <c r="CT33" s="58">
        <f>CT56/CT24*1000</f>
        <v/>
      </c>
      <c r="CU33" s="58">
        <f>CU56/CU24*1000</f>
        <v/>
      </c>
      <c r="CV33" s="15">
        <f>CV56/CV24*1000</f>
        <v/>
      </c>
      <c r="CW33" s="58">
        <f>CW56/CW24*1000</f>
        <v/>
      </c>
      <c r="CX33" s="58">
        <f>CX56/CX24*1000</f>
        <v/>
      </c>
      <c r="CY33" s="58">
        <f>CY56/CY24*1000</f>
        <v/>
      </c>
      <c r="CZ33" s="15">
        <f>CZ56/CZ24*1000</f>
        <v/>
      </c>
      <c r="DA33" s="58">
        <f>DA56/DA24*1000</f>
        <v/>
      </c>
      <c r="DB33" s="58">
        <f>DB56/DB24*1000</f>
        <v/>
      </c>
      <c r="DC33" s="15">
        <f>DC56/DC24*1000</f>
        <v/>
      </c>
      <c r="DD33" s="58">
        <f>DD56/DD24*1000</f>
        <v/>
      </c>
      <c r="DE33" s="58">
        <f>DE56/DE24*1000</f>
        <v/>
      </c>
      <c r="DF33" s="15">
        <f>DF56/DF24*1000</f>
        <v/>
      </c>
      <c r="DG33" s="58">
        <f>DG56/DG24*1000</f>
        <v/>
      </c>
      <c r="DH33" s="58">
        <f>DH56/DH24*1000</f>
        <v/>
      </c>
      <c r="DI33" s="15">
        <f>DI56/DI24*1000</f>
        <v/>
      </c>
      <c r="DJ33" s="58">
        <f>DJ56/DJ24*1000</f>
        <v/>
      </c>
      <c r="DK33" s="58">
        <f>DK56/DK24*1000</f>
        <v/>
      </c>
      <c r="DL33" s="15">
        <f>DL56/DL24*1000</f>
        <v/>
      </c>
      <c r="DM33" s="58">
        <f>DM56/DM24*1000</f>
        <v/>
      </c>
      <c r="DN33" s="58">
        <f>DN56/DN24*1000</f>
        <v/>
      </c>
      <c r="DO33" s="15">
        <f>DO56/DO24*1000</f>
        <v/>
      </c>
      <c r="DP33" s="58">
        <f>DP56/DP24*1000</f>
        <v/>
      </c>
      <c r="DQ33" s="58">
        <f>DQ56/DQ24*1000</f>
        <v/>
      </c>
      <c r="DR33" s="58">
        <f>DR56/DR24*1000</f>
        <v/>
      </c>
      <c r="DS33" s="15">
        <f>DS56/DS24*1000</f>
        <v/>
      </c>
      <c r="DT33" s="58">
        <f>DT56/DT24*1000</f>
        <v/>
      </c>
      <c r="DU33" s="58">
        <f>DU56/DU24*1000</f>
        <v/>
      </c>
      <c r="DV33" s="15">
        <f>DV56/DV24*1000</f>
        <v/>
      </c>
      <c r="DW33" s="58">
        <f>DW56/DW24*1000</f>
        <v/>
      </c>
      <c r="DX33" s="58">
        <f>DX56/DX24*1000</f>
        <v/>
      </c>
      <c r="DY33" s="15">
        <f>DY56/DY24*1000</f>
        <v/>
      </c>
      <c r="DZ33" s="58">
        <f>DZ56/DZ24*1000</f>
        <v/>
      </c>
      <c r="EA33" s="58">
        <f>EA56/EA24*1000</f>
        <v/>
      </c>
      <c r="EB33" s="15">
        <f>EB56/EB24*1000</f>
        <v/>
      </c>
      <c r="EC33" s="58">
        <f>EC56/EC24*1000</f>
        <v/>
      </c>
      <c r="ED33" s="58">
        <f>ED56/ED24*1000</f>
        <v/>
      </c>
      <c r="EE33" s="15">
        <f>EE56/EE24*1000</f>
        <v/>
      </c>
      <c r="EF33" s="58">
        <f>EF56/EF24*1000</f>
        <v/>
      </c>
      <c r="EG33" s="58">
        <f>EG56/EG24*1000</f>
        <v/>
      </c>
      <c r="EH33" s="15">
        <f>EH56/EH24*1000</f>
        <v/>
      </c>
      <c r="EI33" s="58">
        <f>EI56/EI24*1000</f>
        <v/>
      </c>
      <c r="EJ33" s="58">
        <f>EJ56/EJ24*1000</f>
        <v/>
      </c>
    </row>
    <row r="34">
      <c r="A34" t="inlineStr">
        <is>
          <t>DMG-PEG mM</t>
        </is>
      </c>
      <c r="B34" s="15" t="inlineStr">
        <is>
          <t>mM</t>
        </is>
      </c>
      <c r="C34" s="78">
        <f>C57/C25*1000</f>
        <v/>
      </c>
      <c r="D34" s="58">
        <f>D57/D25*1000</f>
        <v/>
      </c>
      <c r="E34" s="1">
        <f>E57/E25*1000</f>
        <v/>
      </c>
      <c r="F34" s="15">
        <f>F57/F25*1000</f>
        <v/>
      </c>
      <c r="G34" s="58">
        <f>G57/G25*1000</f>
        <v/>
      </c>
      <c r="H34" s="58">
        <f>H57/H25*1000</f>
        <v/>
      </c>
      <c r="I34" s="15">
        <f>I57/I25*1000</f>
        <v/>
      </c>
      <c r="J34" s="58">
        <f>J57/J25*1000</f>
        <v/>
      </c>
      <c r="K34" s="58">
        <f>K57/K25*1000</f>
        <v/>
      </c>
      <c r="L34" s="15">
        <f>L57/L25*1000</f>
        <v/>
      </c>
      <c r="M34" s="58">
        <f>M57/M25*1000</f>
        <v/>
      </c>
      <c r="N34" s="58">
        <f>N57/N25*1000</f>
        <v/>
      </c>
      <c r="O34" s="15">
        <f>O57/O25*1000</f>
        <v/>
      </c>
      <c r="P34" s="58">
        <f>P57/P25*1000</f>
        <v/>
      </c>
      <c r="Q34" s="58">
        <f>Q57/Q25*1000</f>
        <v/>
      </c>
      <c r="R34" s="15">
        <f>R57/R25*1000</f>
        <v/>
      </c>
      <c r="S34" s="58">
        <f>S57/S25*1000</f>
        <v/>
      </c>
      <c r="T34" s="58">
        <f>T57/T25*1000</f>
        <v/>
      </c>
      <c r="U34" s="15">
        <f>U57/U25*1000</f>
        <v/>
      </c>
      <c r="V34" s="58">
        <f>V57/V25*1000</f>
        <v/>
      </c>
      <c r="W34" s="58">
        <f>W57/W25*1000</f>
        <v/>
      </c>
      <c r="X34" s="15">
        <f>X57/X25*1000</f>
        <v/>
      </c>
      <c r="Y34" s="58">
        <f>Y57/Y25*1000</f>
        <v/>
      </c>
      <c r="Z34" s="58">
        <f>Z57/Z25*1000</f>
        <v/>
      </c>
      <c r="AA34" s="58">
        <f>AA57/AA25*1000</f>
        <v/>
      </c>
      <c r="AB34" s="15">
        <f>AB57/AB25*1000</f>
        <v/>
      </c>
      <c r="AC34" s="58">
        <f>AC57/AC25*1000</f>
        <v/>
      </c>
      <c r="AD34" s="58">
        <f>AD57/AD25*1000</f>
        <v/>
      </c>
      <c r="AE34" s="15">
        <f>AE57/AE25*1000</f>
        <v/>
      </c>
      <c r="AF34" s="58">
        <f>AF57/AF25*1000</f>
        <v/>
      </c>
      <c r="AG34" s="58">
        <f>AG57/AG25*1000</f>
        <v/>
      </c>
      <c r="AH34" s="15">
        <f>AH57/AH25*1000</f>
        <v/>
      </c>
      <c r="AI34" s="58">
        <f>AI57/AI25*1000</f>
        <v/>
      </c>
      <c r="AJ34" s="58">
        <f>AJ57/AJ25*1000</f>
        <v/>
      </c>
      <c r="AK34" s="15">
        <f>AK57/AK25*1000</f>
        <v/>
      </c>
      <c r="AL34" s="58">
        <f>AL57/AL25*1000</f>
        <v/>
      </c>
      <c r="AM34" s="58">
        <f>AM57/AM25*1000</f>
        <v/>
      </c>
      <c r="AN34" s="15">
        <f>AN57/AN25*1000</f>
        <v/>
      </c>
      <c r="AO34" s="58">
        <f>AO57/AO25*1000</f>
        <v/>
      </c>
      <c r="AP34" s="58">
        <f>AP57/AP25*1000</f>
        <v/>
      </c>
      <c r="AQ34" s="15">
        <f>AQ57/AQ25*1000</f>
        <v/>
      </c>
      <c r="AR34" s="58">
        <f>AR57/AR25*1000</f>
        <v/>
      </c>
      <c r="AS34" s="58">
        <f>AS57/AS25*1000</f>
        <v/>
      </c>
      <c r="AT34" s="58">
        <f>AT57/AT25*1000</f>
        <v/>
      </c>
      <c r="AU34" s="15">
        <f>AU57/AU25*1000</f>
        <v/>
      </c>
      <c r="AV34" s="58">
        <f>AV57/AV25*1000</f>
        <v/>
      </c>
      <c r="AW34" s="58">
        <f>AW57/AW25*1000</f>
        <v/>
      </c>
      <c r="AX34" s="15">
        <f>AX57/AX25*1000</f>
        <v/>
      </c>
      <c r="AY34" s="58">
        <f>AY57/AY25*1000</f>
        <v/>
      </c>
      <c r="AZ34" s="58">
        <f>AZ57/AZ25*1000</f>
        <v/>
      </c>
      <c r="BA34" s="15">
        <f>BA57/BA25*1000</f>
        <v/>
      </c>
      <c r="BB34" s="58">
        <f>BB57/BB25*1000</f>
        <v/>
      </c>
      <c r="BC34" s="58">
        <f>BC57/BC25*1000</f>
        <v/>
      </c>
      <c r="BD34" s="15">
        <f>BD57/BD25*1000</f>
        <v/>
      </c>
      <c r="BE34" s="58">
        <f>BE57/BE25*1000</f>
        <v/>
      </c>
      <c r="BF34" s="58">
        <f>BF57/BF25*1000</f>
        <v/>
      </c>
      <c r="BG34" s="15">
        <f>BG57/BG25*1000</f>
        <v/>
      </c>
      <c r="BH34" s="58">
        <f>BH57/BH25*1000</f>
        <v/>
      </c>
      <c r="BI34" s="58">
        <f>BI57/BI25*1000</f>
        <v/>
      </c>
      <c r="BJ34" s="15">
        <f>BJ57/BJ25*1000</f>
        <v/>
      </c>
      <c r="BK34" s="58">
        <f>BK57/BK25*1000</f>
        <v/>
      </c>
      <c r="BL34" s="58">
        <f>BL57/BL25*1000</f>
        <v/>
      </c>
      <c r="BM34" s="58">
        <f>BM57/BM25*1000</f>
        <v/>
      </c>
      <c r="BN34" s="15">
        <f>BN57/BN25*1000</f>
        <v/>
      </c>
      <c r="BO34" s="58">
        <f>BO57/BO25*1000</f>
        <v/>
      </c>
      <c r="BP34" s="58">
        <f>BP57/BP25*1000</f>
        <v/>
      </c>
      <c r="BQ34" s="15">
        <f>BQ57/BQ25*1000</f>
        <v/>
      </c>
      <c r="BR34" s="58">
        <f>BR57/BR25*1000</f>
        <v/>
      </c>
      <c r="BS34" s="58">
        <f>BS57/BS25*1000</f>
        <v/>
      </c>
      <c r="BT34" s="15">
        <f>BT57/BT25*1000</f>
        <v/>
      </c>
      <c r="BU34" s="58">
        <f>BU57/BU25*1000</f>
        <v/>
      </c>
      <c r="BV34" s="58">
        <f>BV57/BV25*1000</f>
        <v/>
      </c>
      <c r="BW34" s="15">
        <f>BW57/BW25*1000</f>
        <v/>
      </c>
      <c r="BX34" s="58">
        <f>BX57/BX25*1000</f>
        <v/>
      </c>
      <c r="BY34" s="58">
        <f>BY57/BY25*1000</f>
        <v/>
      </c>
      <c r="BZ34" s="15">
        <f>BZ57/BZ25*1000</f>
        <v/>
      </c>
      <c r="CA34" s="58">
        <f>CA57/CA25*1000</f>
        <v/>
      </c>
      <c r="CB34" s="58">
        <f>CB57/CB25*1000</f>
        <v/>
      </c>
      <c r="CC34" s="15">
        <f>CC57/CC25*1000</f>
        <v/>
      </c>
      <c r="CD34" s="58">
        <f>CD57/CD25*1000</f>
        <v/>
      </c>
      <c r="CE34" s="58">
        <f>CE57/CE25*1000</f>
        <v/>
      </c>
      <c r="CF34" s="58">
        <f>CF57/CF25*1000</f>
        <v/>
      </c>
      <c r="CG34" s="15">
        <f>CG57/CG25*1000</f>
        <v/>
      </c>
      <c r="CH34" s="58">
        <f>CH57/CH25*1000</f>
        <v/>
      </c>
      <c r="CI34" s="58">
        <f>CI57/CI25*1000</f>
        <v/>
      </c>
      <c r="CJ34" s="15">
        <f>CJ57/CJ25*1000</f>
        <v/>
      </c>
      <c r="CK34" s="58">
        <f>CK57/CK25*1000</f>
        <v/>
      </c>
      <c r="CL34" s="58">
        <f>CL57/CL25*1000</f>
        <v/>
      </c>
      <c r="CM34" s="15">
        <f>CM57/CM25*1000</f>
        <v/>
      </c>
      <c r="CN34" s="58">
        <f>CN57/CN25*1000</f>
        <v/>
      </c>
      <c r="CO34" s="58">
        <f>CO57/CO25*1000</f>
        <v/>
      </c>
      <c r="CP34" s="15">
        <f>CP57/CP25*1000</f>
        <v/>
      </c>
      <c r="CQ34" s="58">
        <f>CQ57/CQ25*1000</f>
        <v/>
      </c>
      <c r="CR34" s="58">
        <f>CR57/CR25*1000</f>
        <v/>
      </c>
      <c r="CS34" s="15">
        <f>CS57/CS25*1000</f>
        <v/>
      </c>
      <c r="CT34" s="58">
        <f>CT57/CT25*1000</f>
        <v/>
      </c>
      <c r="CU34" s="58">
        <f>CU57/CU25*1000</f>
        <v/>
      </c>
      <c r="CV34" s="15">
        <f>CV57/CV25*1000</f>
        <v/>
      </c>
      <c r="CW34" s="58">
        <f>CW57/CW25*1000</f>
        <v/>
      </c>
      <c r="CX34" s="58">
        <f>CX57/CX25*1000</f>
        <v/>
      </c>
      <c r="CY34" s="58">
        <f>CY57/CY25*1000</f>
        <v/>
      </c>
      <c r="CZ34" s="15">
        <f>CZ57/CZ25*1000</f>
        <v/>
      </c>
      <c r="DA34" s="58">
        <f>DA57/DA25*1000</f>
        <v/>
      </c>
      <c r="DB34" s="58">
        <f>DB57/DB25*1000</f>
        <v/>
      </c>
      <c r="DC34" s="15">
        <f>DC57/DC25*1000</f>
        <v/>
      </c>
      <c r="DD34" s="58">
        <f>DD57/DD25*1000</f>
        <v/>
      </c>
      <c r="DE34" s="58">
        <f>DE57/DE25*1000</f>
        <v/>
      </c>
      <c r="DF34" s="15">
        <f>DF57/DF25*1000</f>
        <v/>
      </c>
      <c r="DG34" s="58">
        <f>DG57/DG25*1000</f>
        <v/>
      </c>
      <c r="DH34" s="58">
        <f>DH57/DH25*1000</f>
        <v/>
      </c>
      <c r="DI34" s="15">
        <f>DI57/DI25*1000</f>
        <v/>
      </c>
      <c r="DJ34" s="58">
        <f>DJ57/DJ25*1000</f>
        <v/>
      </c>
      <c r="DK34" s="58">
        <f>DK57/DK25*1000</f>
        <v/>
      </c>
      <c r="DL34" s="15">
        <f>DL57/DL25*1000</f>
        <v/>
      </c>
      <c r="DM34" s="58">
        <f>DM57/DM25*1000</f>
        <v/>
      </c>
      <c r="DN34" s="58">
        <f>DN57/DN25*1000</f>
        <v/>
      </c>
      <c r="DO34" s="15">
        <f>DO57/DO25*1000</f>
        <v/>
      </c>
      <c r="DP34" s="58">
        <f>DP57/DP25*1000</f>
        <v/>
      </c>
      <c r="DQ34" s="58">
        <f>DQ57/DQ25*1000</f>
        <v/>
      </c>
      <c r="DR34" s="58">
        <f>DR57/DR25*1000</f>
        <v/>
      </c>
      <c r="DS34" s="15">
        <f>DS57/DS25*1000</f>
        <v/>
      </c>
      <c r="DT34" s="58">
        <f>DT57/DT25*1000</f>
        <v/>
      </c>
      <c r="DU34" s="58">
        <f>DU57/DU25*1000</f>
        <v/>
      </c>
      <c r="DV34" s="15">
        <f>DV57/DV25*1000</f>
        <v/>
      </c>
      <c r="DW34" s="58">
        <f>DW57/DW25*1000</f>
        <v/>
      </c>
      <c r="DX34" s="58">
        <f>DX57/DX25*1000</f>
        <v/>
      </c>
      <c r="DY34" s="15">
        <f>DY57/DY25*1000</f>
        <v/>
      </c>
      <c r="DZ34" s="58">
        <f>DZ57/DZ25*1000</f>
        <v/>
      </c>
      <c r="EA34" s="58">
        <f>EA57/EA25*1000</f>
        <v/>
      </c>
      <c r="EB34" s="15">
        <f>EB57/EB25*1000</f>
        <v/>
      </c>
      <c r="EC34" s="58">
        <f>EC57/EC25*1000</f>
        <v/>
      </c>
      <c r="ED34" s="58">
        <f>ED57/ED25*1000</f>
        <v/>
      </c>
      <c r="EE34" s="15">
        <f>EE57/EE25*1000</f>
        <v/>
      </c>
      <c r="EF34" s="58">
        <f>EF57/EF25*1000</f>
        <v/>
      </c>
      <c r="EG34" s="58">
        <f>EG57/EG25*1000</f>
        <v/>
      </c>
      <c r="EH34" s="15">
        <f>EH57/EH25*1000</f>
        <v/>
      </c>
      <c r="EI34" s="58">
        <f>EI57/EI25*1000</f>
        <v/>
      </c>
      <c r="EJ34" s="58">
        <f>EJ57/EJ25*1000</f>
        <v/>
      </c>
    </row>
    <row r="35">
      <c r="A35" s="16" t="n"/>
      <c r="B35" s="15" t="n"/>
      <c r="C35" s="78" t="n"/>
      <c r="D35" s="58" t="n"/>
      <c r="E35" s="1" t="n"/>
      <c r="F35" s="15" t="n"/>
      <c r="G35" s="58" t="n"/>
      <c r="H35" s="58" t="n"/>
      <c r="I35" s="15" t="n"/>
      <c r="J35" s="58" t="n"/>
      <c r="K35" s="58" t="n"/>
      <c r="L35" s="15" t="n"/>
      <c r="M35" s="58" t="n"/>
      <c r="N35" s="58" t="n"/>
      <c r="O35" s="15" t="n"/>
      <c r="P35" s="58" t="n"/>
      <c r="Q35" s="58" t="n"/>
      <c r="R35" s="15" t="n"/>
      <c r="S35" s="58" t="n"/>
      <c r="T35" s="58" t="n"/>
      <c r="U35" s="15" t="n"/>
      <c r="V35" s="58" t="n"/>
      <c r="W35" s="58" t="n"/>
      <c r="X35" s="15" t="n"/>
      <c r="Y35" s="58" t="n"/>
      <c r="Z35" s="58" t="n"/>
      <c r="AA35" s="58" t="n"/>
      <c r="AB35" s="15" t="n"/>
      <c r="AC35" s="58" t="n"/>
      <c r="AD35" s="58" t="n"/>
      <c r="AE35" s="15" t="n"/>
      <c r="AF35" s="58" t="n"/>
      <c r="AG35" s="58" t="n"/>
      <c r="AH35" s="15" t="n"/>
      <c r="AI35" s="58" t="n"/>
      <c r="AJ35" s="58" t="n"/>
      <c r="AK35" s="15" t="n"/>
      <c r="AL35" s="58" t="n"/>
      <c r="AM35" s="58" t="n"/>
      <c r="AN35" s="15" t="n"/>
      <c r="AO35" s="58" t="n"/>
      <c r="AP35" s="58" t="n"/>
      <c r="AQ35" s="15" t="n"/>
      <c r="AR35" s="58" t="n"/>
      <c r="AS35" s="58" t="n"/>
      <c r="AT35" s="58" t="n"/>
      <c r="AU35" s="15" t="n"/>
      <c r="AV35" s="58" t="n"/>
      <c r="AW35" s="58" t="n"/>
      <c r="AX35" s="15" t="n"/>
      <c r="AY35" s="58" t="n"/>
      <c r="AZ35" s="58" t="n"/>
      <c r="BA35" s="15" t="n"/>
      <c r="BB35" s="58" t="n"/>
      <c r="BC35" s="58" t="n"/>
      <c r="BD35" s="15" t="n"/>
      <c r="BE35" s="58" t="n"/>
      <c r="BF35" s="58" t="n"/>
      <c r="BG35" s="15" t="n"/>
      <c r="BH35" s="58" t="n"/>
      <c r="BI35" s="58" t="n"/>
      <c r="BJ35" s="15" t="n"/>
      <c r="BK35" s="58" t="n"/>
      <c r="BL35" s="58" t="n"/>
      <c r="BM35" s="58" t="n"/>
      <c r="BN35" s="15" t="n"/>
      <c r="BO35" s="58" t="n"/>
      <c r="BP35" s="58" t="n"/>
      <c r="BQ35" s="15" t="n"/>
      <c r="BR35" s="58" t="n"/>
      <c r="BS35" s="58" t="n"/>
      <c r="BT35" s="15" t="n"/>
      <c r="BU35" s="58" t="n"/>
      <c r="BV35" s="58" t="n"/>
      <c r="BW35" s="15" t="n"/>
      <c r="BX35" s="58" t="n"/>
      <c r="BY35" s="58" t="n"/>
      <c r="BZ35" s="15" t="n"/>
      <c r="CA35" s="58" t="n"/>
      <c r="CB35" s="58" t="n"/>
      <c r="CC35" s="15" t="n"/>
      <c r="CD35" s="58" t="n"/>
      <c r="CE35" s="58" t="n"/>
      <c r="CF35" s="58" t="n"/>
      <c r="CG35" s="15" t="n"/>
      <c r="CH35" s="58" t="n"/>
      <c r="CI35" s="58" t="n"/>
      <c r="CJ35" s="15" t="n"/>
      <c r="CK35" s="58" t="n"/>
      <c r="CL35" s="58" t="n"/>
      <c r="CM35" s="15" t="n"/>
      <c r="CN35" s="58" t="n"/>
      <c r="CO35" s="58" t="n"/>
      <c r="CP35" s="15" t="n"/>
      <c r="CQ35" s="58" t="n"/>
      <c r="CR35" s="58" t="n"/>
      <c r="CS35" s="15" t="n"/>
      <c r="CT35" s="58" t="n"/>
      <c r="CU35" s="58" t="n"/>
      <c r="CV35" s="15" t="n"/>
      <c r="CW35" s="58" t="n"/>
      <c r="CX35" s="58" t="n"/>
      <c r="CY35" s="58" t="n"/>
      <c r="CZ35" s="15" t="n"/>
      <c r="DA35" s="58" t="n"/>
      <c r="DB35" s="58" t="n"/>
      <c r="DC35" s="15" t="n"/>
      <c r="DD35" s="58" t="n"/>
      <c r="DE35" s="58" t="n"/>
      <c r="DF35" s="15" t="n"/>
      <c r="DG35" s="58" t="n"/>
      <c r="DH35" s="58" t="n"/>
      <c r="DI35" s="15" t="n"/>
      <c r="DJ35" s="58" t="n"/>
      <c r="DK35" s="58" t="n"/>
      <c r="DL35" s="15" t="n"/>
      <c r="DM35" s="58" t="n"/>
      <c r="DN35" s="58" t="n"/>
      <c r="DO35" s="15" t="n"/>
      <c r="DP35" s="58" t="n"/>
      <c r="DQ35" s="58" t="n"/>
      <c r="DR35" s="58" t="n"/>
      <c r="DS35" s="15" t="n"/>
      <c r="DT35" s="58" t="n"/>
      <c r="DU35" s="58" t="n"/>
      <c r="DV35" s="15" t="n"/>
      <c r="DW35" s="58" t="n"/>
      <c r="DX35" s="58" t="n"/>
      <c r="DY35" s="15" t="n"/>
      <c r="DZ35" s="58" t="n"/>
      <c r="EA35" s="58" t="n"/>
      <c r="EB35" s="15" t="n"/>
      <c r="EC35" s="58" t="n"/>
      <c r="ED35" s="58" t="n"/>
      <c r="EE35" s="15" t="n"/>
      <c r="EF35" s="58" t="n"/>
      <c r="EG35" s="58" t="n"/>
      <c r="EH35" s="15" t="n"/>
      <c r="EI35" s="58" t="n"/>
      <c r="EJ35" s="58" t="n"/>
    </row>
    <row r="36">
      <c r="A36" t="inlineStr">
        <is>
          <t>Total Moles of Lipid in formulation</t>
        </is>
      </c>
      <c r="B36" s="15" t="inlineStr">
        <is>
          <t>nmoles</t>
        </is>
      </c>
      <c r="C36" s="75">
        <f>C37*C26*C10*100/(C27*C41+C28*C44)</f>
        <v/>
      </c>
      <c r="D36" s="55">
        <f>D37*D26*D10*100/(D27*D41+D28*D44)</f>
        <v/>
      </c>
      <c r="E36" s="13">
        <f>E37*E26*E10*100/(E27*E41+E28*E44)</f>
        <v/>
      </c>
      <c r="F36" s="12">
        <f>F37*F26*F10*100/(F27*F41+F28*F44)</f>
        <v/>
      </c>
      <c r="G36" s="55">
        <f>G37*G26*G10*100/(G27*G41+G28*G44)</f>
        <v/>
      </c>
      <c r="H36" s="55">
        <f>H37*H26*H10*100/(H27*H41+H28*H44)</f>
        <v/>
      </c>
      <c r="I36" s="12">
        <f>I37*I26*I10*100/(I27*I41+I28*I44)</f>
        <v/>
      </c>
      <c r="J36" s="55">
        <f>J37*J26*J10*100/(J27*J41+J28*J44)</f>
        <v/>
      </c>
      <c r="K36" s="55">
        <f>K37*K26*K10*100/(K27*K41+K28*K44)</f>
        <v/>
      </c>
      <c r="L36" s="12">
        <f>L37*L26*L10*100/(L27*L41+L28*L44)</f>
        <v/>
      </c>
      <c r="M36" s="55">
        <f>M37*M26*M10*100/(M27*M41+M28*M44)</f>
        <v/>
      </c>
      <c r="N36" s="55">
        <f>N37*N26*N10*100/(N27*N41+N28*N44)</f>
        <v/>
      </c>
      <c r="O36" s="12">
        <f>O37*O26*O10*100/(O27*O41+O28*O44)</f>
        <v/>
      </c>
      <c r="P36" s="55">
        <f>P37*P26*P10*100/(P27*P41+P28*P44)</f>
        <v/>
      </c>
      <c r="Q36" s="55">
        <f>Q37*Q26*Q10*100/(Q27*Q41+Q28*Q44)</f>
        <v/>
      </c>
      <c r="R36" s="12">
        <f>R37*R26*R10*100/(R27*R41+R28*R44)</f>
        <v/>
      </c>
      <c r="S36" s="55">
        <f>S37*S26*S10*100/(S27*S41+S28*S44)</f>
        <v/>
      </c>
      <c r="T36" s="55">
        <f>T37*T26*T10*100/(T27*T41+T28*T44)</f>
        <v/>
      </c>
      <c r="U36" s="12">
        <f>U37*U26*U10*100/(U27*U41+U28*U44)</f>
        <v/>
      </c>
      <c r="V36" s="55">
        <f>V37*V26*V10*100/(V27*V41+V28*V44)</f>
        <v/>
      </c>
      <c r="W36" s="55">
        <f>W37*W26*W10*100/(W27*W41+W28*W44)</f>
        <v/>
      </c>
      <c r="X36" s="12">
        <f>X37*X26*X10*100/(X27*X41+X28*X44)</f>
        <v/>
      </c>
      <c r="Y36" s="55">
        <f>Y37*Y26*Y10*100/(Y27*Y41+Y28*Y44)</f>
        <v/>
      </c>
      <c r="Z36" s="55">
        <f>Z37*Z26*Z10*100/(Z27*Z41+Z28*Z44)</f>
        <v/>
      </c>
      <c r="AA36" s="55">
        <f>AA37*AA26*AA10*100/(AA27*AA41+AA28*AA44)</f>
        <v/>
      </c>
      <c r="AB36" s="12">
        <f>AB37*AB26*AB10*100/(AB27*AB41+AB28*AB44)</f>
        <v/>
      </c>
      <c r="AC36" s="55">
        <f>AC37*AC26*AC10*100/(AC27*AC41+AC28*AC44)</f>
        <v/>
      </c>
      <c r="AD36" s="55">
        <f>AD37*AD26*AD10*100/(AD27*AD41+AD28*AD44)</f>
        <v/>
      </c>
      <c r="AE36" s="12">
        <f>AE37*AE26*AE10*100/(AE27*AE41+AE28*AE44)</f>
        <v/>
      </c>
      <c r="AF36" s="55">
        <f>AF37*AF26*AF10*100/(AF27*AF41+AF28*AF44)</f>
        <v/>
      </c>
      <c r="AG36" s="55">
        <f>AG37*AG26*AG10*100/(AG27*AG41+AG28*AG44)</f>
        <v/>
      </c>
      <c r="AH36" s="12">
        <f>AH37*AH26*AH10*100/(AH27*AH41+AH28*AH44)</f>
        <v/>
      </c>
      <c r="AI36" s="55">
        <f>AI37*AI26*AI10*100/(AI27*AI41+AI28*AI44)</f>
        <v/>
      </c>
      <c r="AJ36" s="55">
        <f>AJ37*AJ26*AJ10*100/(AJ27*AJ41+AJ28*AJ44)</f>
        <v/>
      </c>
      <c r="AK36" s="12">
        <f>AK37*AK26*AK10*100/(AK27*AK41+AK28*AK44)</f>
        <v/>
      </c>
      <c r="AL36" s="55">
        <f>AL37*AL26*AL10*100/(AL27*AL41+AL28*AL44)</f>
        <v/>
      </c>
      <c r="AM36" s="55">
        <f>AM37*AM26*AM10*100/(AM27*AM41+AM28*AM44)</f>
        <v/>
      </c>
      <c r="AN36" s="12">
        <f>AN37*AN26*AN10*100/(AN27*AN41+AN28*AN44)</f>
        <v/>
      </c>
      <c r="AO36" s="55">
        <f>AO37*AO26*AO10*100/(AO27*AO41+AO28*AO44)</f>
        <v/>
      </c>
      <c r="AP36" s="55">
        <f>AP37*AP26*AP10*100/(AP27*AP41+AP28*AP44)</f>
        <v/>
      </c>
      <c r="AQ36" s="12">
        <f>AQ37*AQ26*AQ10*100/(AQ27*AQ41+AQ28*AQ44)</f>
        <v/>
      </c>
      <c r="AR36" s="55">
        <f>AR37*AR26*AR10*100/(AR27*AR41+AR28*AR44)</f>
        <v/>
      </c>
      <c r="AS36" s="55">
        <f>AS37*AS26*AS10*100/(AS27*AS41+AS28*AS44)</f>
        <v/>
      </c>
      <c r="AT36" s="55">
        <f>AT37*AT26*AT10*100/(AT27*AT41+AT28*AT44)</f>
        <v/>
      </c>
      <c r="AU36" s="12">
        <f>AU37*AU26*AU10*100/(AU27*AU41+AU28*AU44)</f>
        <v/>
      </c>
      <c r="AV36" s="55">
        <f>AV37*AV26*AV10*100/(AV27*AV41+AV28*AV44)</f>
        <v/>
      </c>
      <c r="AW36" s="55">
        <f>AW37*AW26*AW10*100/(AW27*AW41+AW28*AW44)</f>
        <v/>
      </c>
      <c r="AX36" s="12">
        <f>AX37*AX26*AX10*100/(AX27*AX41+AX28*AX44)</f>
        <v/>
      </c>
      <c r="AY36" s="55">
        <f>AY37*AY26*AY10*100/(AY27*AY41+AY28*AY44)</f>
        <v/>
      </c>
      <c r="AZ36" s="55">
        <f>AZ37*AZ26*AZ10*100/(AZ27*AZ41+AZ28*AZ44)</f>
        <v/>
      </c>
      <c r="BA36" s="12">
        <f>BA37*BA26*BA10*100/(BA27*BA41+BA28*BA44)</f>
        <v/>
      </c>
      <c r="BB36" s="55">
        <f>BB37*BB26*BB10*100/(BB27*BB41+BB28*BB44)</f>
        <v/>
      </c>
      <c r="BC36" s="55">
        <f>BC37*BC26*BC10*100/(BC27*BC41+BC28*BC44)</f>
        <v/>
      </c>
      <c r="BD36" s="12">
        <f>BD37*BD26*BD10*100/(BD27*BD41+BD28*BD44)</f>
        <v/>
      </c>
      <c r="BE36" s="55">
        <f>BE37*BE26*BE10*100/(BE27*BE41+BE28*BE44)</f>
        <v/>
      </c>
      <c r="BF36" s="55">
        <f>BF37*BF26*BF10*100/(BF27*BF41+BF28*BF44)</f>
        <v/>
      </c>
      <c r="BG36" s="12">
        <f>BG37*BG26*BG10*100/(BG27*BG41+BG28*BG44)</f>
        <v/>
      </c>
      <c r="BH36" s="55">
        <f>BH37*BH26*BH10*100/(BH27*BH41+BH28*BH44)</f>
        <v/>
      </c>
      <c r="BI36" s="55">
        <f>BI37*BI26*BI10*100/(BI27*BI41+BI28*BI44)</f>
        <v/>
      </c>
      <c r="BJ36" s="12">
        <f>BJ37*BJ26*BJ10*100/(BJ27*BJ41+BJ28*BJ44)</f>
        <v/>
      </c>
      <c r="BK36" s="55">
        <f>BK37*BK26*BK10*100/(BK27*BK41+BK28*BK44)</f>
        <v/>
      </c>
      <c r="BL36" s="55">
        <f>BL37*BL26*BL10*100/(BL27*BL41+BL28*BL44)</f>
        <v/>
      </c>
      <c r="BM36" s="55">
        <f>BM37*BM26*BM10*100/(BM27*BM41+BM28*BM44)</f>
        <v/>
      </c>
      <c r="BN36" s="12">
        <f>BN37*BN26*BN10*100/(BN27*BN41+BN28*BN44)</f>
        <v/>
      </c>
      <c r="BO36" s="55">
        <f>BO37*BO26*BO10*100/(BO27*BO41+BO28*BO44)</f>
        <v/>
      </c>
      <c r="BP36" s="55">
        <f>BP37*BP26*BP10*100/(BP27*BP41+BP28*BP44)</f>
        <v/>
      </c>
      <c r="BQ36" s="12">
        <f>BQ37*BQ26*BQ10*100/(BQ27*BQ41+BQ28*BQ44)</f>
        <v/>
      </c>
      <c r="BR36" s="55">
        <f>BR37*BR26*BR10*100/(BR27*BR41+BR28*BR44)</f>
        <v/>
      </c>
      <c r="BS36" s="55">
        <f>BS37*BS26*BS10*100/(BS27*BS41+BS28*BS44)</f>
        <v/>
      </c>
      <c r="BT36" s="12">
        <f>BT37*BT26*BT10*100/(BT27*BT41+BT28*BT44)</f>
        <v/>
      </c>
      <c r="BU36" s="55">
        <f>BU37*BU26*BU10*100/(BU27*BU41+BU28*BU44)</f>
        <v/>
      </c>
      <c r="BV36" s="55">
        <f>BV37*BV26*BV10*100/(BV27*BV41+BV28*BV44)</f>
        <v/>
      </c>
      <c r="BW36" s="12">
        <f>BW37*BW26*BW10*100/(BW27*BW41+BW28*BW44)</f>
        <v/>
      </c>
      <c r="BX36" s="55">
        <f>BX37*BX26*BX10*100/(BX27*BX41+BX28*BX44)</f>
        <v/>
      </c>
      <c r="BY36" s="55">
        <f>BY37*BY26*BY10*100/(BY27*BY41+BY28*BY44)</f>
        <v/>
      </c>
      <c r="BZ36" s="12">
        <f>BZ37*BZ26*BZ10*100/(BZ27*BZ41+BZ28*BZ44)</f>
        <v/>
      </c>
      <c r="CA36" s="55">
        <f>CA37*CA26*CA10*100/(CA27*CA41+CA28*CA44)</f>
        <v/>
      </c>
      <c r="CB36" s="55">
        <f>CB37*CB26*CB10*100/(CB27*CB41+CB28*CB44)</f>
        <v/>
      </c>
      <c r="CC36" s="12">
        <f>CC37*CC26*CC10*100/(CC27*CC41+CC28*CC44)</f>
        <v/>
      </c>
      <c r="CD36" s="55">
        <f>CD37*CD26*CD10*100/(CD27*CD41+CD28*CD44)</f>
        <v/>
      </c>
      <c r="CE36" s="55">
        <f>CE37*CE26*CE10*100/(CE27*CE41+CE28*CE44)</f>
        <v/>
      </c>
      <c r="CF36" s="55">
        <f>CF37*CF26*CF10*100/(CF27*CF41+CF28*CF44)</f>
        <v/>
      </c>
      <c r="CG36" s="12">
        <f>CG37*CG26*CG10*100/(CG27*CG41+CG28*CG44)</f>
        <v/>
      </c>
      <c r="CH36" s="55">
        <f>CH37*CH26*CH10*100/(CH27*CH41+CH28*CH44)</f>
        <v/>
      </c>
      <c r="CI36" s="55">
        <f>CI37*CI26*CI10*100/(CI27*CI41+CI28*CI44)</f>
        <v/>
      </c>
      <c r="CJ36" s="12">
        <f>CJ37*CJ26*CJ10*100/(CJ27*CJ41+CJ28*CJ44)</f>
        <v/>
      </c>
      <c r="CK36" s="55">
        <f>CK37*CK26*CK10*100/(CK27*CK41+CK28*CK44)</f>
        <v/>
      </c>
      <c r="CL36" s="55">
        <f>CL37*CL26*CL10*100/(CL27*CL41+CL28*CL44)</f>
        <v/>
      </c>
      <c r="CM36" s="12">
        <f>CM37*CM26*CM10*100/(CM27*CM41+CM28*CM44)</f>
        <v/>
      </c>
      <c r="CN36" s="55">
        <f>CN37*CN26*CN10*100/(CN27*CN41+CN28*CN44)</f>
        <v/>
      </c>
      <c r="CO36" s="55">
        <f>CO37*CO26*CO10*100/(CO27*CO41+CO28*CO44)</f>
        <v/>
      </c>
      <c r="CP36" s="12">
        <f>CP37*CP26*CP10*100/(CP27*CP41+CP28*CP44)</f>
        <v/>
      </c>
      <c r="CQ36" s="55">
        <f>CQ37*CQ26*CQ10*100/(CQ27*CQ41+CQ28*CQ44)</f>
        <v/>
      </c>
      <c r="CR36" s="55">
        <f>CR37*CR26*CR10*100/(CR27*CR41+CR28*CR44)</f>
        <v/>
      </c>
      <c r="CS36" s="12">
        <f>CS37*CS26*CS10*100/(CS27*CS41+CS28*CS44)</f>
        <v/>
      </c>
      <c r="CT36" s="55">
        <f>CT37*CT26*CT10*100/(CT27*CT41+CT28*CT44)</f>
        <v/>
      </c>
      <c r="CU36" s="55">
        <f>CU37*CU26*CU10*100/(CU27*CU41+CU28*CU44)</f>
        <v/>
      </c>
      <c r="CV36" s="12">
        <f>CV37*CV26*CV10*100/(CV27*CV41+CV28*CV44)</f>
        <v/>
      </c>
      <c r="CW36" s="55">
        <f>CW37*CW26*CW10*100/(CW27*CW41+CW28*CW44)</f>
        <v/>
      </c>
      <c r="CX36" s="55">
        <f>CX37*CX26*CX10*100/(CX27*CX41+CX28*CX44)</f>
        <v/>
      </c>
      <c r="CY36" s="55">
        <f>CY37*CY26*CY10*100/(CY27*CY41+CY28*CY44)</f>
        <v/>
      </c>
      <c r="CZ36" s="12">
        <f>CZ37*CZ26*CZ10*100/(CZ27*CZ41+CZ28*CZ44)</f>
        <v/>
      </c>
      <c r="DA36" s="55">
        <f>DA37*DA26*DA10*100/(DA27*DA41+DA28*DA44)</f>
        <v/>
      </c>
      <c r="DB36" s="55">
        <f>DB37*DB26*DB10*100/(DB27*DB41+DB28*DB44)</f>
        <v/>
      </c>
      <c r="DC36" s="12">
        <f>DC37*DC26*DC10*100/(DC27*DC41+DC28*DC44)</f>
        <v/>
      </c>
      <c r="DD36" s="55">
        <f>DD37*DD26*DD10*100/(DD27*DD41+DD28*DD44)</f>
        <v/>
      </c>
      <c r="DE36" s="55">
        <f>DE37*DE26*DE10*100/(DE27*DE41+DE28*DE44)</f>
        <v/>
      </c>
      <c r="DF36" s="12">
        <f>DF37*DF26*DF10*100/(DF27*DF41+DF28*DF44)</f>
        <v/>
      </c>
      <c r="DG36" s="55">
        <f>DG37*DG26*DG10*100/(DG27*DG41+DG28*DG44)</f>
        <v/>
      </c>
      <c r="DH36" s="55">
        <f>DH37*DH26*DH10*100/(DH27*DH41+DH28*DH44)</f>
        <v/>
      </c>
      <c r="DI36" s="12">
        <f>DI37*DI26*DI10*100/(DI27*DI41+DI28*DI44)</f>
        <v/>
      </c>
      <c r="DJ36" s="55">
        <f>DJ37*DJ26*DJ10*100/(DJ27*DJ41+DJ28*DJ44)</f>
        <v/>
      </c>
      <c r="DK36" s="55">
        <f>DK37*DK26*DK10*100/(DK27*DK41+DK28*DK44)</f>
        <v/>
      </c>
      <c r="DL36" s="12">
        <f>DL37*DL26*DL10*100/(DL27*DL41+DL28*DL44)</f>
        <v/>
      </c>
      <c r="DM36" s="55">
        <f>DM37*DM26*DM10*100/(DM27*DM41+DM28*DM44)</f>
        <v/>
      </c>
      <c r="DN36" s="55">
        <f>DN37*DN26*DN10*100/(DN27*DN41+DN28*DN44)</f>
        <v/>
      </c>
      <c r="DO36" s="12">
        <f>DO37*DO26*DO10*100/(DO27*DO41+DO28*DO44)</f>
        <v/>
      </c>
      <c r="DP36" s="55">
        <f>DP37*DP26*DP10*100/(DP27*DP41+DP28*DP44)</f>
        <v/>
      </c>
      <c r="DQ36" s="55">
        <f>DQ37*DQ26*DQ10*100/(DQ27*DQ41+DQ28*DQ44)</f>
        <v/>
      </c>
      <c r="DR36" s="55">
        <f>DR37*DR26*DR10*100/(DR27*DR41+DR28*DR44)</f>
        <v/>
      </c>
      <c r="DS36" s="12">
        <f>DS37*DS26*DS10*100/(DS27*DS41+DS28*DS44)</f>
        <v/>
      </c>
      <c r="DT36" s="55">
        <f>DT37*DT26*DT10*100/(DT27*DT41+DT28*DT44)</f>
        <v/>
      </c>
      <c r="DU36" s="55">
        <f>DU37*DU26*DU10*100/(DU27*DU41+DU28*DU44)</f>
        <v/>
      </c>
      <c r="DV36" s="12">
        <f>DV37*DV26*DV10*100/(DV27*DV41+DV28*DV44)</f>
        <v/>
      </c>
      <c r="DW36" s="55">
        <f>DW37*DW26*DW10*100/(DW27*DW41+DW28*DW44)</f>
        <v/>
      </c>
      <c r="DX36" s="55">
        <f>DX37*DX26*DX10*100/(DX27*DX41+DX28*DX44)</f>
        <v/>
      </c>
      <c r="DY36" s="12">
        <f>DY37*DY26*DY10*100/(DY27*DY41+DY28*DY44)</f>
        <v/>
      </c>
      <c r="DZ36" s="55">
        <f>DZ37*DZ26*DZ10*100/(DZ27*DZ41+DZ28*DZ44)</f>
        <v/>
      </c>
      <c r="EA36" s="55">
        <f>EA37*EA26*EA10*100/(EA27*EA41+EA28*EA44)</f>
        <v/>
      </c>
      <c r="EB36" s="12">
        <f>EB37*EB26*EB10*100/(EB27*EB41+EB28*EB44)</f>
        <v/>
      </c>
      <c r="EC36" s="55">
        <f>EC37*EC26*EC10*100/(EC27*EC41+EC28*EC44)</f>
        <v/>
      </c>
      <c r="ED36" s="55">
        <f>ED37*ED26*ED10*100/(ED27*ED41+ED28*ED44)</f>
        <v/>
      </c>
      <c r="EE36" s="12">
        <f>EE37*EE26*EE10*100/(EE27*EE41+EE28*EE44)</f>
        <v/>
      </c>
      <c r="EF36" s="55">
        <f>EF37*EF26*EF10*100/(EF27*EF41+EF28*EF44)</f>
        <v/>
      </c>
      <c r="EG36" s="55">
        <f>EG37*EG26*EG10*100/(EG27*EG41+EG28*EG44)</f>
        <v/>
      </c>
      <c r="EH36" s="12">
        <f>EH37*EH26*EH10*100/(EH27*EH41+EH28*EH44)</f>
        <v/>
      </c>
      <c r="EI36" s="55">
        <f>EI37*EI26*EI10*100/(EI27*EI41+EI28*EI44)</f>
        <v/>
      </c>
      <c r="EJ36" s="55">
        <f>EJ37*EJ26*EJ10*100/(EJ27*EJ41+EJ28*EJ44)</f>
        <v/>
      </c>
    </row>
    <row r="37">
      <c r="A37" t="inlineStr">
        <is>
          <t>Total Nucleic Acid in formulation</t>
        </is>
      </c>
      <c r="B37" s="15" t="inlineStr">
        <is>
          <t>ug</t>
        </is>
      </c>
      <c r="C37" s="78">
        <f>C14*C15/1000</f>
        <v/>
      </c>
      <c r="D37" s="58">
        <f>D14*D15/1000</f>
        <v/>
      </c>
      <c r="E37" s="1">
        <f>E14*E15/1000</f>
        <v/>
      </c>
      <c r="F37" s="15">
        <f>F14*F15/1000</f>
        <v/>
      </c>
      <c r="G37" s="58">
        <f>G14*G15/1000</f>
        <v/>
      </c>
      <c r="H37" s="58">
        <f>H14*H15/1000</f>
        <v/>
      </c>
      <c r="I37" s="15">
        <f>I14*I15/1000</f>
        <v/>
      </c>
      <c r="J37" s="58">
        <f>J14*J15/1000</f>
        <v/>
      </c>
      <c r="K37" s="58">
        <f>K14*K15/1000</f>
        <v/>
      </c>
      <c r="L37" s="15">
        <f>L14*L15/1000</f>
        <v/>
      </c>
      <c r="M37" s="58">
        <f>M14*M15/1000</f>
        <v/>
      </c>
      <c r="N37" s="58">
        <f>N14*N15/1000</f>
        <v/>
      </c>
      <c r="O37" s="15">
        <f>O14*O15/1000</f>
        <v/>
      </c>
      <c r="P37" s="58">
        <f>P14*P15/1000</f>
        <v/>
      </c>
      <c r="Q37" s="58">
        <f>Q14*Q15/1000</f>
        <v/>
      </c>
      <c r="R37" s="15">
        <f>R14*R15/1000</f>
        <v/>
      </c>
      <c r="S37" s="58">
        <f>S14*S15/1000</f>
        <v/>
      </c>
      <c r="T37" s="58">
        <f>T14*T15/1000</f>
        <v/>
      </c>
      <c r="U37" s="15">
        <f>U14*U15/1000</f>
        <v/>
      </c>
      <c r="V37" s="58">
        <f>V14*V15/1000</f>
        <v/>
      </c>
      <c r="W37" s="58">
        <f>W14*W15/1000</f>
        <v/>
      </c>
      <c r="X37" s="15">
        <f>X14*X15/1000</f>
        <v/>
      </c>
      <c r="Y37" s="58">
        <f>Y14*Y15/1000</f>
        <v/>
      </c>
      <c r="Z37" s="58">
        <f>Z14*Z15/1000</f>
        <v/>
      </c>
      <c r="AA37" s="58">
        <f>AA14*AA15/1000</f>
        <v/>
      </c>
      <c r="AB37" s="15">
        <f>AB14*AB15/1000</f>
        <v/>
      </c>
      <c r="AC37" s="58">
        <f>AC14*AC15/1000</f>
        <v/>
      </c>
      <c r="AD37" s="58">
        <f>AD14*AD15/1000</f>
        <v/>
      </c>
      <c r="AE37" s="15">
        <f>AE14*AE15/1000</f>
        <v/>
      </c>
      <c r="AF37" s="58">
        <f>AF14*AF15/1000</f>
        <v/>
      </c>
      <c r="AG37" s="58">
        <f>AG14*AG15/1000</f>
        <v/>
      </c>
      <c r="AH37" s="15">
        <f>AH14*AH15/1000</f>
        <v/>
      </c>
      <c r="AI37" s="58">
        <f>AI14*AI15/1000</f>
        <v/>
      </c>
      <c r="AJ37" s="58">
        <f>AJ14*AJ15/1000</f>
        <v/>
      </c>
      <c r="AK37" s="15">
        <f>AK14*AK15/1000</f>
        <v/>
      </c>
      <c r="AL37" s="58">
        <f>AL14*AL15/1000</f>
        <v/>
      </c>
      <c r="AM37" s="58">
        <f>AM14*AM15/1000</f>
        <v/>
      </c>
      <c r="AN37" s="15">
        <f>AN14*AN15/1000</f>
        <v/>
      </c>
      <c r="AO37" s="58">
        <f>AO14*AO15/1000</f>
        <v/>
      </c>
      <c r="AP37" s="58">
        <f>AP14*AP15/1000</f>
        <v/>
      </c>
      <c r="AQ37" s="15">
        <f>AQ14*AQ15/1000</f>
        <v/>
      </c>
      <c r="AR37" s="58">
        <f>AR14*AR15/1000</f>
        <v/>
      </c>
      <c r="AS37" s="58">
        <f>AS14*AS15/1000</f>
        <v/>
      </c>
      <c r="AT37" s="58">
        <f>AT14*AT15/1000</f>
        <v/>
      </c>
      <c r="AU37" s="15">
        <f>AU14*AU15/1000</f>
        <v/>
      </c>
      <c r="AV37" s="58">
        <f>AV14*AV15/1000</f>
        <v/>
      </c>
      <c r="AW37" s="58">
        <f>AW14*AW15/1000</f>
        <v/>
      </c>
      <c r="AX37" s="15">
        <f>AX14*AX15/1000</f>
        <v/>
      </c>
      <c r="AY37" s="58">
        <f>AY14*AY15/1000</f>
        <v/>
      </c>
      <c r="AZ37" s="58">
        <f>AZ14*AZ15/1000</f>
        <v/>
      </c>
      <c r="BA37" s="15">
        <f>BA14*BA15/1000</f>
        <v/>
      </c>
      <c r="BB37" s="58">
        <f>BB14*BB15/1000</f>
        <v/>
      </c>
      <c r="BC37" s="58">
        <f>BC14*BC15/1000</f>
        <v/>
      </c>
      <c r="BD37" s="15">
        <f>BD14*BD15/1000</f>
        <v/>
      </c>
      <c r="BE37" s="58">
        <f>BE14*BE15/1000</f>
        <v/>
      </c>
      <c r="BF37" s="58">
        <f>BF14*BF15/1000</f>
        <v/>
      </c>
      <c r="BG37" s="15">
        <f>BG14*BG15/1000</f>
        <v/>
      </c>
      <c r="BH37" s="58">
        <f>BH14*BH15/1000</f>
        <v/>
      </c>
      <c r="BI37" s="58">
        <f>BI14*BI15/1000</f>
        <v/>
      </c>
      <c r="BJ37" s="15">
        <f>BJ14*BJ15/1000</f>
        <v/>
      </c>
      <c r="BK37" s="58">
        <f>BK14*BK15/1000</f>
        <v/>
      </c>
      <c r="BL37" s="58">
        <f>BL14*BL15/1000</f>
        <v/>
      </c>
      <c r="BM37" s="58">
        <f>BM14*BM15/1000</f>
        <v/>
      </c>
      <c r="BN37" s="15">
        <f>BN14*BN15/1000</f>
        <v/>
      </c>
      <c r="BO37" s="58">
        <f>BO14*BO15/1000</f>
        <v/>
      </c>
      <c r="BP37" s="58">
        <f>BP14*BP15/1000</f>
        <v/>
      </c>
      <c r="BQ37" s="15">
        <f>BQ14*BQ15/1000</f>
        <v/>
      </c>
      <c r="BR37" s="58">
        <f>BR14*BR15/1000</f>
        <v/>
      </c>
      <c r="BS37" s="58">
        <f>BS14*BS15/1000</f>
        <v/>
      </c>
      <c r="BT37" s="15">
        <f>BT14*BT15/1000</f>
        <v/>
      </c>
      <c r="BU37" s="58">
        <f>BU14*BU15/1000</f>
        <v/>
      </c>
      <c r="BV37" s="58">
        <f>BV14*BV15/1000</f>
        <v/>
      </c>
      <c r="BW37" s="15">
        <f>BW14*BW15/1000</f>
        <v/>
      </c>
      <c r="BX37" s="58">
        <f>BX14*BX15/1000</f>
        <v/>
      </c>
      <c r="BY37" s="58">
        <f>BY14*BY15/1000</f>
        <v/>
      </c>
      <c r="BZ37" s="15">
        <f>BZ14*BZ15/1000</f>
        <v/>
      </c>
      <c r="CA37" s="58">
        <f>CA14*CA15/1000</f>
        <v/>
      </c>
      <c r="CB37" s="58">
        <f>CB14*CB15/1000</f>
        <v/>
      </c>
      <c r="CC37" s="15">
        <f>CC14*CC15/1000</f>
        <v/>
      </c>
      <c r="CD37" s="58">
        <f>CD14*CD15/1000</f>
        <v/>
      </c>
      <c r="CE37" s="58">
        <f>CE14*CE15/1000</f>
        <v/>
      </c>
      <c r="CF37" s="58">
        <f>CF14*CF15/1000</f>
        <v/>
      </c>
      <c r="CG37" s="15">
        <f>CG14*CG15/1000</f>
        <v/>
      </c>
      <c r="CH37" s="58">
        <f>CH14*CH15/1000</f>
        <v/>
      </c>
      <c r="CI37" s="58">
        <f>CI14*CI15/1000</f>
        <v/>
      </c>
      <c r="CJ37" s="15">
        <f>CJ14*CJ15/1000</f>
        <v/>
      </c>
      <c r="CK37" s="58">
        <f>CK14*CK15/1000</f>
        <v/>
      </c>
      <c r="CL37" s="58">
        <f>CL14*CL15/1000</f>
        <v/>
      </c>
      <c r="CM37" s="15">
        <f>CM14*CM15/1000</f>
        <v/>
      </c>
      <c r="CN37" s="58">
        <f>CN14*CN15/1000</f>
        <v/>
      </c>
      <c r="CO37" s="58">
        <f>CO14*CO15/1000</f>
        <v/>
      </c>
      <c r="CP37" s="15">
        <f>CP14*CP15/1000</f>
        <v/>
      </c>
      <c r="CQ37" s="58">
        <f>CQ14*CQ15/1000</f>
        <v/>
      </c>
      <c r="CR37" s="58">
        <f>CR14*CR15/1000</f>
        <v/>
      </c>
      <c r="CS37" s="15">
        <f>CS14*CS15/1000</f>
        <v/>
      </c>
      <c r="CT37" s="58">
        <f>CT14*CT15/1000</f>
        <v/>
      </c>
      <c r="CU37" s="58">
        <f>CU14*CU15/1000</f>
        <v/>
      </c>
      <c r="CV37" s="15">
        <f>CV14*CV15/1000</f>
        <v/>
      </c>
      <c r="CW37" s="58">
        <f>CW14*CW15/1000</f>
        <v/>
      </c>
      <c r="CX37" s="58">
        <f>CX14*CX15/1000</f>
        <v/>
      </c>
      <c r="CY37" s="58">
        <f>CY14*CY15/1000</f>
        <v/>
      </c>
      <c r="CZ37" s="15">
        <f>CZ14*CZ15/1000</f>
        <v/>
      </c>
      <c r="DA37" s="58">
        <f>DA14*DA15/1000</f>
        <v/>
      </c>
      <c r="DB37" s="58">
        <f>DB14*DB15/1000</f>
        <v/>
      </c>
      <c r="DC37" s="15">
        <f>DC14*DC15/1000</f>
        <v/>
      </c>
      <c r="DD37" s="58">
        <f>DD14*DD15/1000</f>
        <v/>
      </c>
      <c r="DE37" s="58">
        <f>DE14*DE15/1000</f>
        <v/>
      </c>
      <c r="DF37" s="15">
        <f>DF14*DF15/1000</f>
        <v/>
      </c>
      <c r="DG37" s="58">
        <f>DG14*DG15/1000</f>
        <v/>
      </c>
      <c r="DH37" s="58">
        <f>DH14*DH15/1000</f>
        <v/>
      </c>
      <c r="DI37" s="15">
        <f>DI14*DI15/1000</f>
        <v/>
      </c>
      <c r="DJ37" s="58">
        <f>DJ14*DJ15/1000</f>
        <v/>
      </c>
      <c r="DK37" s="58">
        <f>DK14*DK15/1000</f>
        <v/>
      </c>
      <c r="DL37" s="15">
        <f>DL14*DL15/1000</f>
        <v/>
      </c>
      <c r="DM37" s="58">
        <f>DM14*DM15/1000</f>
        <v/>
      </c>
      <c r="DN37" s="58">
        <f>DN14*DN15/1000</f>
        <v/>
      </c>
      <c r="DO37" s="15">
        <f>DO14*DO15/1000</f>
        <v/>
      </c>
      <c r="DP37" s="58">
        <f>DP14*DP15/1000</f>
        <v/>
      </c>
      <c r="DQ37" s="58">
        <f>DQ14*DQ15/1000</f>
        <v/>
      </c>
      <c r="DR37" s="58">
        <f>DR14*DR15/1000</f>
        <v/>
      </c>
      <c r="DS37" s="15">
        <f>DS14*DS15/1000</f>
        <v/>
      </c>
      <c r="DT37" s="58">
        <f>DT14*DT15/1000</f>
        <v/>
      </c>
      <c r="DU37" s="58">
        <f>DU14*DU15/1000</f>
        <v/>
      </c>
      <c r="DV37" s="15">
        <f>DV14*DV15/1000</f>
        <v/>
      </c>
      <c r="DW37" s="58">
        <f>DW14*DW15/1000</f>
        <v/>
      </c>
      <c r="DX37" s="58">
        <f>DX14*DX15/1000</f>
        <v/>
      </c>
      <c r="DY37" s="15">
        <f>DY14*DY15/1000</f>
        <v/>
      </c>
      <c r="DZ37" s="58">
        <f>DZ14*DZ15/1000</f>
        <v/>
      </c>
      <c r="EA37" s="58">
        <f>EA14*EA15/1000</f>
        <v/>
      </c>
      <c r="EB37" s="15">
        <f>EB14*EB15/1000</f>
        <v/>
      </c>
      <c r="EC37" s="58">
        <f>EC14*EC15/1000</f>
        <v/>
      </c>
      <c r="ED37" s="58">
        <f>ED14*ED15/1000</f>
        <v/>
      </c>
      <c r="EE37" s="15">
        <f>EE14*EE15/1000</f>
        <v/>
      </c>
      <c r="EF37" s="58">
        <f>EF14*EF15/1000</f>
        <v/>
      </c>
      <c r="EG37" s="58">
        <f>EG14*EG15/1000</f>
        <v/>
      </c>
      <c r="EH37" s="15">
        <f>EH14*EH15/1000</f>
        <v/>
      </c>
      <c r="EI37" s="58">
        <f>EI14*EI15/1000</f>
        <v/>
      </c>
      <c r="EJ37" s="58">
        <f>EJ14*EJ15/1000</f>
        <v/>
      </c>
    </row>
    <row r="38">
      <c r="A38" t="inlineStr">
        <is>
          <t>Total Lipid Phase Volume</t>
        </is>
      </c>
      <c r="B38" s="15" t="inlineStr">
        <is>
          <t>ul</t>
        </is>
      </c>
      <c r="C38" s="78">
        <f>C15/(C58+1)</f>
        <v/>
      </c>
      <c r="D38" s="58">
        <f>D15/(D58+1)</f>
        <v/>
      </c>
      <c r="E38" s="1">
        <f>E15/(E58+1)</f>
        <v/>
      </c>
      <c r="F38" s="15">
        <f>F15/(F58+1)</f>
        <v/>
      </c>
      <c r="G38" s="58">
        <f>G15/(G58+1)</f>
        <v/>
      </c>
      <c r="H38" s="58">
        <f>H15/(H58+1)</f>
        <v/>
      </c>
      <c r="I38" s="15">
        <f>I15/(I58+1)</f>
        <v/>
      </c>
      <c r="J38" s="58">
        <f>J15/(J58+1)</f>
        <v/>
      </c>
      <c r="K38" s="58">
        <f>K15/(K58+1)</f>
        <v/>
      </c>
      <c r="L38" s="15">
        <f>L15/(L58+1)</f>
        <v/>
      </c>
      <c r="M38" s="58">
        <f>M15/(M58+1)</f>
        <v/>
      </c>
      <c r="N38" s="58">
        <f>N15/(N58+1)</f>
        <v/>
      </c>
      <c r="O38" s="15">
        <f>O15/(O58+1)</f>
        <v/>
      </c>
      <c r="P38" s="58">
        <f>P15/(P58+1)</f>
        <v/>
      </c>
      <c r="Q38" s="58">
        <f>Q15/(Q58+1)</f>
        <v/>
      </c>
      <c r="R38" s="15">
        <f>R15/(R58+1)</f>
        <v/>
      </c>
      <c r="S38" s="58">
        <f>S15/(S58+1)</f>
        <v/>
      </c>
      <c r="T38" s="58">
        <f>T15/(T58+1)</f>
        <v/>
      </c>
      <c r="U38" s="15">
        <f>U15/(U58+1)</f>
        <v/>
      </c>
      <c r="V38" s="58">
        <f>V15/(V58+1)</f>
        <v/>
      </c>
      <c r="W38" s="58">
        <f>W15/(W58+1)</f>
        <v/>
      </c>
      <c r="X38" s="15">
        <f>X15/(X58+1)</f>
        <v/>
      </c>
      <c r="Y38" s="58">
        <f>Y15/(Y58+1)</f>
        <v/>
      </c>
      <c r="Z38" s="58">
        <f>Z15/(Z58+1)</f>
        <v/>
      </c>
      <c r="AA38" s="58">
        <f>AA15/(AA58+1)</f>
        <v/>
      </c>
      <c r="AB38" s="15">
        <f>AB15/(AB58+1)</f>
        <v/>
      </c>
      <c r="AC38" s="58">
        <f>AC15/(AC58+1)</f>
        <v/>
      </c>
      <c r="AD38" s="58">
        <f>AD15/(AD58+1)</f>
        <v/>
      </c>
      <c r="AE38" s="15">
        <f>AE15/(AE58+1)</f>
        <v/>
      </c>
      <c r="AF38" s="58">
        <f>AF15/(AF58+1)</f>
        <v/>
      </c>
      <c r="AG38" s="58">
        <f>AG15/(AG58+1)</f>
        <v/>
      </c>
      <c r="AH38" s="15">
        <f>AH15/(AH58+1)</f>
        <v/>
      </c>
      <c r="AI38" s="58">
        <f>AI15/(AI58+1)</f>
        <v/>
      </c>
      <c r="AJ38" s="58">
        <f>AJ15/(AJ58+1)</f>
        <v/>
      </c>
      <c r="AK38" s="15">
        <f>AK15/(AK58+1)</f>
        <v/>
      </c>
      <c r="AL38" s="58">
        <f>AL15/(AL58+1)</f>
        <v/>
      </c>
      <c r="AM38" s="58">
        <f>AM15/(AM58+1)</f>
        <v/>
      </c>
      <c r="AN38" s="15">
        <f>AN15/(AN58+1)</f>
        <v/>
      </c>
      <c r="AO38" s="58">
        <f>AO15/(AO58+1)</f>
        <v/>
      </c>
      <c r="AP38" s="58">
        <f>AP15/(AP58+1)</f>
        <v/>
      </c>
      <c r="AQ38" s="15">
        <f>AQ15/(AQ58+1)</f>
        <v/>
      </c>
      <c r="AR38" s="58">
        <f>AR15/(AR58+1)</f>
        <v/>
      </c>
      <c r="AS38" s="58">
        <f>AS15/(AS58+1)</f>
        <v/>
      </c>
      <c r="AT38" s="58">
        <f>AT15/(AT58+1)</f>
        <v/>
      </c>
      <c r="AU38" s="15">
        <f>AU15/(AU58+1)</f>
        <v/>
      </c>
      <c r="AV38" s="58">
        <f>AV15/(AV58+1)</f>
        <v/>
      </c>
      <c r="AW38" s="58">
        <f>AW15/(AW58+1)</f>
        <v/>
      </c>
      <c r="AX38" s="15">
        <f>AX15/(AX58+1)</f>
        <v/>
      </c>
      <c r="AY38" s="58">
        <f>AY15/(AY58+1)</f>
        <v/>
      </c>
      <c r="AZ38" s="58">
        <f>AZ15/(AZ58+1)</f>
        <v/>
      </c>
      <c r="BA38" s="15">
        <f>BA15/(BA58+1)</f>
        <v/>
      </c>
      <c r="BB38" s="58">
        <f>BB15/(BB58+1)</f>
        <v/>
      </c>
      <c r="BC38" s="58">
        <f>BC15/(BC58+1)</f>
        <v/>
      </c>
      <c r="BD38" s="15">
        <f>BD15/(BD58+1)</f>
        <v/>
      </c>
      <c r="BE38" s="58">
        <f>BE15/(BE58+1)</f>
        <v/>
      </c>
      <c r="BF38" s="58">
        <f>BF15/(BF58+1)</f>
        <v/>
      </c>
      <c r="BG38" s="15">
        <f>BG15/(BG58+1)</f>
        <v/>
      </c>
      <c r="BH38" s="58">
        <f>BH15/(BH58+1)</f>
        <v/>
      </c>
      <c r="BI38" s="58">
        <f>BI15/(BI58+1)</f>
        <v/>
      </c>
      <c r="BJ38" s="15">
        <f>BJ15/(BJ58+1)</f>
        <v/>
      </c>
      <c r="BK38" s="58">
        <f>BK15/(BK58+1)</f>
        <v/>
      </c>
      <c r="BL38" s="58">
        <f>BL15/(BL58+1)</f>
        <v/>
      </c>
      <c r="BM38" s="58">
        <f>BM15/(BM58+1)</f>
        <v/>
      </c>
      <c r="BN38" s="15">
        <f>BN15/(BN58+1)</f>
        <v/>
      </c>
      <c r="BO38" s="58">
        <f>BO15/(BO58+1)</f>
        <v/>
      </c>
      <c r="BP38" s="58">
        <f>BP15/(BP58+1)</f>
        <v/>
      </c>
      <c r="BQ38" s="15">
        <f>BQ15/(BQ58+1)</f>
        <v/>
      </c>
      <c r="BR38" s="58">
        <f>BR15/(BR58+1)</f>
        <v/>
      </c>
      <c r="BS38" s="58">
        <f>BS15/(BS58+1)</f>
        <v/>
      </c>
      <c r="BT38" s="15">
        <f>BT15/(BT58+1)</f>
        <v/>
      </c>
      <c r="BU38" s="58">
        <f>BU15/(BU58+1)</f>
        <v/>
      </c>
      <c r="BV38" s="58">
        <f>BV15/(BV58+1)</f>
        <v/>
      </c>
      <c r="BW38" s="15">
        <f>BW15/(BW58+1)</f>
        <v/>
      </c>
      <c r="BX38" s="58">
        <f>BX15/(BX58+1)</f>
        <v/>
      </c>
      <c r="BY38" s="58">
        <f>BY15/(BY58+1)</f>
        <v/>
      </c>
      <c r="BZ38" s="15">
        <f>BZ15/(BZ58+1)</f>
        <v/>
      </c>
      <c r="CA38" s="58">
        <f>CA15/(CA58+1)</f>
        <v/>
      </c>
      <c r="CB38" s="58">
        <f>CB15/(CB58+1)</f>
        <v/>
      </c>
      <c r="CC38" s="15">
        <f>CC15/(CC58+1)</f>
        <v/>
      </c>
      <c r="CD38" s="58">
        <f>CD15/(CD58+1)</f>
        <v/>
      </c>
      <c r="CE38" s="58">
        <f>CE15/(CE58+1)</f>
        <v/>
      </c>
      <c r="CF38" s="58">
        <f>CF15/(CF58+1)</f>
        <v/>
      </c>
      <c r="CG38" s="15">
        <f>CG15/(CG58+1)</f>
        <v/>
      </c>
      <c r="CH38" s="58">
        <f>CH15/(CH58+1)</f>
        <v/>
      </c>
      <c r="CI38" s="58">
        <f>CI15/(CI58+1)</f>
        <v/>
      </c>
      <c r="CJ38" s="15">
        <f>CJ15/(CJ58+1)</f>
        <v/>
      </c>
      <c r="CK38" s="58">
        <f>CK15/(CK58+1)</f>
        <v/>
      </c>
      <c r="CL38" s="58">
        <f>CL15/(CL58+1)</f>
        <v/>
      </c>
      <c r="CM38" s="15">
        <f>CM15/(CM58+1)</f>
        <v/>
      </c>
      <c r="CN38" s="58">
        <f>CN15/(CN58+1)</f>
        <v/>
      </c>
      <c r="CO38" s="58">
        <f>CO15/(CO58+1)</f>
        <v/>
      </c>
      <c r="CP38" s="15">
        <f>CP15/(CP58+1)</f>
        <v/>
      </c>
      <c r="CQ38" s="58">
        <f>CQ15/(CQ58+1)</f>
        <v/>
      </c>
      <c r="CR38" s="58">
        <f>CR15/(CR58+1)</f>
        <v/>
      </c>
      <c r="CS38" s="15">
        <f>CS15/(CS58+1)</f>
        <v/>
      </c>
      <c r="CT38" s="58">
        <f>CT15/(CT58+1)</f>
        <v/>
      </c>
      <c r="CU38" s="58">
        <f>CU15/(CU58+1)</f>
        <v/>
      </c>
      <c r="CV38" s="15">
        <f>CV15/(CV58+1)</f>
        <v/>
      </c>
      <c r="CW38" s="58">
        <f>CW15/(CW58+1)</f>
        <v/>
      </c>
      <c r="CX38" s="58">
        <f>CX15/(CX58+1)</f>
        <v/>
      </c>
      <c r="CY38" s="58">
        <f>CY15/(CY58+1)</f>
        <v/>
      </c>
      <c r="CZ38" s="15">
        <f>CZ15/(CZ58+1)</f>
        <v/>
      </c>
      <c r="DA38" s="58">
        <f>DA15/(DA58+1)</f>
        <v/>
      </c>
      <c r="DB38" s="58">
        <f>DB15/(DB58+1)</f>
        <v/>
      </c>
      <c r="DC38" s="15">
        <f>DC15/(DC58+1)</f>
        <v/>
      </c>
      <c r="DD38" s="58">
        <f>DD15/(DD58+1)</f>
        <v/>
      </c>
      <c r="DE38" s="58">
        <f>DE15/(DE58+1)</f>
        <v/>
      </c>
      <c r="DF38" s="15">
        <f>DF15/(DF58+1)</f>
        <v/>
      </c>
      <c r="DG38" s="58">
        <f>DG15/(DG58+1)</f>
        <v/>
      </c>
      <c r="DH38" s="58">
        <f>DH15/(DH58+1)</f>
        <v/>
      </c>
      <c r="DI38" s="15">
        <f>DI15/(DI58+1)</f>
        <v/>
      </c>
      <c r="DJ38" s="58">
        <f>DJ15/(DJ58+1)</f>
        <v/>
      </c>
      <c r="DK38" s="58">
        <f>DK15/(DK58+1)</f>
        <v/>
      </c>
      <c r="DL38" s="15">
        <f>DL15/(DL58+1)</f>
        <v/>
      </c>
      <c r="DM38" s="58">
        <f>DM15/(DM58+1)</f>
        <v/>
      </c>
      <c r="DN38" s="58">
        <f>DN15/(DN58+1)</f>
        <v/>
      </c>
      <c r="DO38" s="15">
        <f>DO15/(DO58+1)</f>
        <v/>
      </c>
      <c r="DP38" s="58">
        <f>DP15/(DP58+1)</f>
        <v/>
      </c>
      <c r="DQ38" s="58">
        <f>DQ15/(DQ58+1)</f>
        <v/>
      </c>
      <c r="DR38" s="58">
        <f>DR15/(DR58+1)</f>
        <v/>
      </c>
      <c r="DS38" s="15">
        <f>DS15/(DS58+1)</f>
        <v/>
      </c>
      <c r="DT38" s="58">
        <f>DT15/(DT58+1)</f>
        <v/>
      </c>
      <c r="DU38" s="58">
        <f>DU15/(DU58+1)</f>
        <v/>
      </c>
      <c r="DV38" s="15">
        <f>DV15/(DV58+1)</f>
        <v/>
      </c>
      <c r="DW38" s="58">
        <f>DW15/(DW58+1)</f>
        <v/>
      </c>
      <c r="DX38" s="58">
        <f>DX15/(DX58+1)</f>
        <v/>
      </c>
      <c r="DY38" s="15">
        <f>DY15/(DY58+1)</f>
        <v/>
      </c>
      <c r="DZ38" s="58">
        <f>DZ15/(DZ58+1)</f>
        <v/>
      </c>
      <c r="EA38" s="58">
        <f>EA15/(EA58+1)</f>
        <v/>
      </c>
      <c r="EB38" s="15">
        <f>EB15/(EB58+1)</f>
        <v/>
      </c>
      <c r="EC38" s="58">
        <f>EC15/(EC58+1)</f>
        <v/>
      </c>
      <c r="ED38" s="58">
        <f>ED15/(ED58+1)</f>
        <v/>
      </c>
      <c r="EE38" s="15">
        <f>EE15/(EE58+1)</f>
        <v/>
      </c>
      <c r="EF38" s="58">
        <f>EF15/(EF58+1)</f>
        <v/>
      </c>
      <c r="EG38" s="58">
        <f>EG15/(EG58+1)</f>
        <v/>
      </c>
      <c r="EH38" s="15">
        <f>EH15/(EH58+1)</f>
        <v/>
      </c>
      <c r="EI38" s="58">
        <f>EI15/(EI58+1)</f>
        <v/>
      </c>
      <c r="EJ38" s="58">
        <f>EJ15/(EJ58+1)</f>
        <v/>
      </c>
    </row>
    <row r="39">
      <c r="A39" t="inlineStr">
        <is>
          <t>Total Nucleic Acid Phase Volume</t>
        </is>
      </c>
      <c r="B39" s="15" t="inlineStr">
        <is>
          <t>ul</t>
        </is>
      </c>
      <c r="C39" s="78">
        <f>C15*C58/(C58+1)</f>
        <v/>
      </c>
      <c r="D39" s="58">
        <f>D15*D58/(D58+1)</f>
        <v/>
      </c>
      <c r="E39" s="1">
        <f>E15*E58/(E58+1)</f>
        <v/>
      </c>
      <c r="F39" s="15">
        <f>F15*F58/(F58+1)</f>
        <v/>
      </c>
      <c r="G39" s="58">
        <f>G15*G58/(G58+1)</f>
        <v/>
      </c>
      <c r="H39" s="58">
        <f>H15*H58/(H58+1)</f>
        <v/>
      </c>
      <c r="I39" s="15">
        <f>I15*I58/(I58+1)</f>
        <v/>
      </c>
      <c r="J39" s="58">
        <f>J15*J58/(J58+1)</f>
        <v/>
      </c>
      <c r="K39" s="58">
        <f>K15*K58/(K58+1)</f>
        <v/>
      </c>
      <c r="L39" s="15">
        <f>L15*L58/(L58+1)</f>
        <v/>
      </c>
      <c r="M39" s="58">
        <f>M15*M58/(M58+1)</f>
        <v/>
      </c>
      <c r="N39" s="58">
        <f>N15*N58/(N58+1)</f>
        <v/>
      </c>
      <c r="O39" s="15">
        <f>O15*O58/(O58+1)</f>
        <v/>
      </c>
      <c r="P39" s="58">
        <f>P15*P58/(P58+1)</f>
        <v/>
      </c>
      <c r="Q39" s="58">
        <f>Q15*Q58/(Q58+1)</f>
        <v/>
      </c>
      <c r="R39" s="15">
        <f>R15*R58/(R58+1)</f>
        <v/>
      </c>
      <c r="S39" s="58">
        <f>S15*S58/(S58+1)</f>
        <v/>
      </c>
      <c r="T39" s="58">
        <f>T15*T58/(T58+1)</f>
        <v/>
      </c>
      <c r="U39" s="15">
        <f>U15*U58/(U58+1)</f>
        <v/>
      </c>
      <c r="V39" s="58">
        <f>V15*V58/(V58+1)</f>
        <v/>
      </c>
      <c r="W39" s="58">
        <f>W15*W58/(W58+1)</f>
        <v/>
      </c>
      <c r="X39" s="15">
        <f>X15*X58/(X58+1)</f>
        <v/>
      </c>
      <c r="Y39" s="58">
        <f>Y15*Y58/(Y58+1)</f>
        <v/>
      </c>
      <c r="Z39" s="58">
        <f>Z15*Z58/(Z58+1)</f>
        <v/>
      </c>
      <c r="AA39" s="58">
        <f>AA15*AA58/(AA58+1)</f>
        <v/>
      </c>
      <c r="AB39" s="15">
        <f>AB15*AB58/(AB58+1)</f>
        <v/>
      </c>
      <c r="AC39" s="58">
        <f>AC15*AC58/(AC58+1)</f>
        <v/>
      </c>
      <c r="AD39" s="58">
        <f>AD15*AD58/(AD58+1)</f>
        <v/>
      </c>
      <c r="AE39" s="15">
        <f>AE15*AE58/(AE58+1)</f>
        <v/>
      </c>
      <c r="AF39" s="58">
        <f>AF15*AF58/(AF58+1)</f>
        <v/>
      </c>
      <c r="AG39" s="58">
        <f>AG15*AG58/(AG58+1)</f>
        <v/>
      </c>
      <c r="AH39" s="15">
        <f>AH15*AH58/(AH58+1)</f>
        <v/>
      </c>
      <c r="AI39" s="58">
        <f>AI15*AI58/(AI58+1)</f>
        <v/>
      </c>
      <c r="AJ39" s="58">
        <f>AJ15*AJ58/(AJ58+1)</f>
        <v/>
      </c>
      <c r="AK39" s="15">
        <f>AK15*AK58/(AK58+1)</f>
        <v/>
      </c>
      <c r="AL39" s="58">
        <f>AL15*AL58/(AL58+1)</f>
        <v/>
      </c>
      <c r="AM39" s="58">
        <f>AM15*AM58/(AM58+1)</f>
        <v/>
      </c>
      <c r="AN39" s="15">
        <f>AN15*AN58/(AN58+1)</f>
        <v/>
      </c>
      <c r="AO39" s="58">
        <f>AO15*AO58/(AO58+1)</f>
        <v/>
      </c>
      <c r="AP39" s="58">
        <f>AP15*AP58/(AP58+1)</f>
        <v/>
      </c>
      <c r="AQ39" s="15">
        <f>AQ15*AQ58/(AQ58+1)</f>
        <v/>
      </c>
      <c r="AR39" s="58">
        <f>AR15*AR58/(AR58+1)</f>
        <v/>
      </c>
      <c r="AS39" s="58">
        <f>AS15*AS58/(AS58+1)</f>
        <v/>
      </c>
      <c r="AT39" s="58">
        <f>AT15*AT58/(AT58+1)</f>
        <v/>
      </c>
      <c r="AU39" s="15">
        <f>AU15*AU58/(AU58+1)</f>
        <v/>
      </c>
      <c r="AV39" s="58">
        <f>AV15*AV58/(AV58+1)</f>
        <v/>
      </c>
      <c r="AW39" s="58">
        <f>AW15*AW58/(AW58+1)</f>
        <v/>
      </c>
      <c r="AX39" s="15">
        <f>AX15*AX58/(AX58+1)</f>
        <v/>
      </c>
      <c r="AY39" s="58">
        <f>AY15*AY58/(AY58+1)</f>
        <v/>
      </c>
      <c r="AZ39" s="58">
        <f>AZ15*AZ58/(AZ58+1)</f>
        <v/>
      </c>
      <c r="BA39" s="15">
        <f>BA15*BA58/(BA58+1)</f>
        <v/>
      </c>
      <c r="BB39" s="58">
        <f>BB15*BB58/(BB58+1)</f>
        <v/>
      </c>
      <c r="BC39" s="58">
        <f>BC15*BC58/(BC58+1)</f>
        <v/>
      </c>
      <c r="BD39" s="15">
        <f>BD15*BD58/(BD58+1)</f>
        <v/>
      </c>
      <c r="BE39" s="58">
        <f>BE15*BE58/(BE58+1)</f>
        <v/>
      </c>
      <c r="BF39" s="58">
        <f>BF15*BF58/(BF58+1)</f>
        <v/>
      </c>
      <c r="BG39" s="15">
        <f>BG15*BG58/(BG58+1)</f>
        <v/>
      </c>
      <c r="BH39" s="58">
        <f>BH15*BH58/(BH58+1)</f>
        <v/>
      </c>
      <c r="BI39" s="58">
        <f>BI15*BI58/(BI58+1)</f>
        <v/>
      </c>
      <c r="BJ39" s="15">
        <f>BJ15*BJ58/(BJ58+1)</f>
        <v/>
      </c>
      <c r="BK39" s="58">
        <f>BK15*BK58/(BK58+1)</f>
        <v/>
      </c>
      <c r="BL39" s="58">
        <f>BL15*BL58/(BL58+1)</f>
        <v/>
      </c>
      <c r="BM39" s="58">
        <f>BM15*BM58/(BM58+1)</f>
        <v/>
      </c>
      <c r="BN39" s="15">
        <f>BN15*BN58/(BN58+1)</f>
        <v/>
      </c>
      <c r="BO39" s="58">
        <f>BO15*BO58/(BO58+1)</f>
        <v/>
      </c>
      <c r="BP39" s="58">
        <f>BP15*BP58/(BP58+1)</f>
        <v/>
      </c>
      <c r="BQ39" s="15">
        <f>BQ15*BQ58/(BQ58+1)</f>
        <v/>
      </c>
      <c r="BR39" s="58">
        <f>BR15*BR58/(BR58+1)</f>
        <v/>
      </c>
      <c r="BS39" s="58">
        <f>BS15*BS58/(BS58+1)</f>
        <v/>
      </c>
      <c r="BT39" s="15">
        <f>BT15*BT58/(BT58+1)</f>
        <v/>
      </c>
      <c r="BU39" s="58">
        <f>BU15*BU58/(BU58+1)</f>
        <v/>
      </c>
      <c r="BV39" s="58">
        <f>BV15*BV58/(BV58+1)</f>
        <v/>
      </c>
      <c r="BW39" s="15">
        <f>BW15*BW58/(BW58+1)</f>
        <v/>
      </c>
      <c r="BX39" s="58">
        <f>BX15*BX58/(BX58+1)</f>
        <v/>
      </c>
      <c r="BY39" s="58">
        <f>BY15*BY58/(BY58+1)</f>
        <v/>
      </c>
      <c r="BZ39" s="15">
        <f>BZ15*BZ58/(BZ58+1)</f>
        <v/>
      </c>
      <c r="CA39" s="58">
        <f>CA15*CA58/(CA58+1)</f>
        <v/>
      </c>
      <c r="CB39" s="58">
        <f>CB15*CB58/(CB58+1)</f>
        <v/>
      </c>
      <c r="CC39" s="15">
        <f>CC15*CC58/(CC58+1)</f>
        <v/>
      </c>
      <c r="CD39" s="58">
        <f>CD15*CD58/(CD58+1)</f>
        <v/>
      </c>
      <c r="CE39" s="58">
        <f>CE15*CE58/(CE58+1)</f>
        <v/>
      </c>
      <c r="CF39" s="58">
        <f>CF15*CF58/(CF58+1)</f>
        <v/>
      </c>
      <c r="CG39" s="15">
        <f>CG15*CG58/(CG58+1)</f>
        <v/>
      </c>
      <c r="CH39" s="58">
        <f>CH15*CH58/(CH58+1)</f>
        <v/>
      </c>
      <c r="CI39" s="58">
        <f>CI15*CI58/(CI58+1)</f>
        <v/>
      </c>
      <c r="CJ39" s="15">
        <f>CJ15*CJ58/(CJ58+1)</f>
        <v/>
      </c>
      <c r="CK39" s="58">
        <f>CK15*CK58/(CK58+1)</f>
        <v/>
      </c>
      <c r="CL39" s="58">
        <f>CL15*CL58/(CL58+1)</f>
        <v/>
      </c>
      <c r="CM39" s="15">
        <f>CM15*CM58/(CM58+1)</f>
        <v/>
      </c>
      <c r="CN39" s="58">
        <f>CN15*CN58/(CN58+1)</f>
        <v/>
      </c>
      <c r="CO39" s="58">
        <f>CO15*CO58/(CO58+1)</f>
        <v/>
      </c>
      <c r="CP39" s="15">
        <f>CP15*CP58/(CP58+1)</f>
        <v/>
      </c>
      <c r="CQ39" s="58">
        <f>CQ15*CQ58/(CQ58+1)</f>
        <v/>
      </c>
      <c r="CR39" s="58">
        <f>CR15*CR58/(CR58+1)</f>
        <v/>
      </c>
      <c r="CS39" s="15">
        <f>CS15*CS58/(CS58+1)</f>
        <v/>
      </c>
      <c r="CT39" s="58">
        <f>CT15*CT58/(CT58+1)</f>
        <v/>
      </c>
      <c r="CU39" s="58">
        <f>CU15*CU58/(CU58+1)</f>
        <v/>
      </c>
      <c r="CV39" s="15">
        <f>CV15*CV58/(CV58+1)</f>
        <v/>
      </c>
      <c r="CW39" s="58">
        <f>CW15*CW58/(CW58+1)</f>
        <v/>
      </c>
      <c r="CX39" s="58">
        <f>CX15*CX58/(CX58+1)</f>
        <v/>
      </c>
      <c r="CY39" s="58">
        <f>CY15*CY58/(CY58+1)</f>
        <v/>
      </c>
      <c r="CZ39" s="15">
        <f>CZ15*CZ58/(CZ58+1)</f>
        <v/>
      </c>
      <c r="DA39" s="58">
        <f>DA15*DA58/(DA58+1)</f>
        <v/>
      </c>
      <c r="DB39" s="58">
        <f>DB15*DB58/(DB58+1)</f>
        <v/>
      </c>
      <c r="DC39" s="15">
        <f>DC15*DC58/(DC58+1)</f>
        <v/>
      </c>
      <c r="DD39" s="58">
        <f>DD15*DD58/(DD58+1)</f>
        <v/>
      </c>
      <c r="DE39" s="58">
        <f>DE15*DE58/(DE58+1)</f>
        <v/>
      </c>
      <c r="DF39" s="15">
        <f>DF15*DF58/(DF58+1)</f>
        <v/>
      </c>
      <c r="DG39" s="58">
        <f>DG15*DG58/(DG58+1)</f>
        <v/>
      </c>
      <c r="DH39" s="58">
        <f>DH15*DH58/(DH58+1)</f>
        <v/>
      </c>
      <c r="DI39" s="15">
        <f>DI15*DI58/(DI58+1)</f>
        <v/>
      </c>
      <c r="DJ39" s="58">
        <f>DJ15*DJ58/(DJ58+1)</f>
        <v/>
      </c>
      <c r="DK39" s="58">
        <f>DK15*DK58/(DK58+1)</f>
        <v/>
      </c>
      <c r="DL39" s="15">
        <f>DL15*DL58/(DL58+1)</f>
        <v/>
      </c>
      <c r="DM39" s="58">
        <f>DM15*DM58/(DM58+1)</f>
        <v/>
      </c>
      <c r="DN39" s="58">
        <f>DN15*DN58/(DN58+1)</f>
        <v/>
      </c>
      <c r="DO39" s="15">
        <f>DO15*DO58/(DO58+1)</f>
        <v/>
      </c>
      <c r="DP39" s="58">
        <f>DP15*DP58/(DP58+1)</f>
        <v/>
      </c>
      <c r="DQ39" s="58">
        <f>DQ15*DQ58/(DQ58+1)</f>
        <v/>
      </c>
      <c r="DR39" s="58">
        <f>DR15*DR58/(DR58+1)</f>
        <v/>
      </c>
      <c r="DS39" s="15">
        <f>DS15*DS58/(DS58+1)</f>
        <v/>
      </c>
      <c r="DT39" s="58">
        <f>DT15*DT58/(DT58+1)</f>
        <v/>
      </c>
      <c r="DU39" s="58">
        <f>DU15*DU58/(DU58+1)</f>
        <v/>
      </c>
      <c r="DV39" s="15">
        <f>DV15*DV58/(DV58+1)</f>
        <v/>
      </c>
      <c r="DW39" s="58">
        <f>DW15*DW58/(DW58+1)</f>
        <v/>
      </c>
      <c r="DX39" s="58">
        <f>DX15*DX58/(DX58+1)</f>
        <v/>
      </c>
      <c r="DY39" s="15">
        <f>DY15*DY58/(DY58+1)</f>
        <v/>
      </c>
      <c r="DZ39" s="58">
        <f>DZ15*DZ58/(DZ58+1)</f>
        <v/>
      </c>
      <c r="EA39" s="58">
        <f>EA15*EA58/(EA58+1)</f>
        <v/>
      </c>
      <c r="EB39" s="15">
        <f>EB15*EB58/(EB58+1)</f>
        <v/>
      </c>
      <c r="EC39" s="58">
        <f>EC15*EC58/(EC58+1)</f>
        <v/>
      </c>
      <c r="ED39" s="58">
        <f>ED15*ED58/(ED58+1)</f>
        <v/>
      </c>
      <c r="EE39" s="15">
        <f>EE15*EE58/(EE58+1)</f>
        <v/>
      </c>
      <c r="EF39" s="58">
        <f>EF15*EF58/(EF58+1)</f>
        <v/>
      </c>
      <c r="EG39" s="58">
        <f>EG15*EG58/(EG58+1)</f>
        <v/>
      </c>
      <c r="EH39" s="15">
        <f>EH15*EH58/(EH58+1)</f>
        <v/>
      </c>
      <c r="EI39" s="58">
        <f>EI15*EI58/(EI58+1)</f>
        <v/>
      </c>
      <c r="EJ39" s="58">
        <f>EJ15*EJ58/(EJ58+1)</f>
        <v/>
      </c>
    </row>
    <row r="40">
      <c r="B40" s="15" t="n"/>
      <c r="C40" s="78" t="n"/>
      <c r="D40" s="58" t="n"/>
      <c r="E40" s="1" t="n"/>
      <c r="F40" s="15" t="n"/>
      <c r="G40" s="58" t="n"/>
      <c r="H40" s="58" t="n"/>
      <c r="I40" s="15" t="n"/>
      <c r="J40" s="58" t="n"/>
      <c r="K40" s="58" t="n"/>
      <c r="L40" s="15" t="n"/>
      <c r="M40" s="58" t="n"/>
      <c r="N40" s="58" t="n"/>
      <c r="O40" s="15" t="n"/>
      <c r="P40" s="58" t="n"/>
      <c r="Q40" s="58" t="n"/>
      <c r="R40" s="15" t="n"/>
      <c r="S40" s="58" t="n"/>
      <c r="T40" s="58" t="n"/>
      <c r="U40" s="15" t="n"/>
      <c r="V40" s="58" t="n"/>
      <c r="W40" s="58" t="n"/>
      <c r="X40" s="15" t="n"/>
      <c r="Y40" s="58" t="n"/>
      <c r="Z40" s="58" t="n"/>
      <c r="AA40" s="58" t="n"/>
      <c r="AB40" s="15" t="n"/>
      <c r="AC40" s="58" t="n"/>
      <c r="AD40" s="58" t="n"/>
      <c r="AE40" s="15" t="n"/>
      <c r="AF40" s="58" t="n"/>
      <c r="AG40" s="58" t="n"/>
      <c r="AH40" s="15" t="n"/>
      <c r="AI40" s="58" t="n"/>
      <c r="AJ40" s="58" t="n"/>
      <c r="AK40" s="15" t="n"/>
      <c r="AL40" s="58" t="n"/>
      <c r="AM40" s="58" t="n"/>
      <c r="AN40" s="15" t="n"/>
      <c r="AO40" s="58" t="n"/>
      <c r="AP40" s="58" t="n"/>
      <c r="AQ40" s="15" t="n"/>
      <c r="AR40" s="58" t="n"/>
      <c r="AS40" s="58" t="n"/>
      <c r="AT40" s="58" t="n"/>
      <c r="AU40" s="15" t="n"/>
      <c r="AV40" s="58" t="n"/>
      <c r="AW40" s="58" t="n"/>
      <c r="AX40" s="15" t="n"/>
      <c r="AY40" s="58" t="n"/>
      <c r="AZ40" s="58" t="n"/>
      <c r="BA40" s="15" t="n"/>
      <c r="BB40" s="58" t="n"/>
      <c r="BC40" s="58" t="n"/>
      <c r="BD40" s="15" t="n"/>
      <c r="BE40" s="58" t="n"/>
      <c r="BF40" s="58" t="n"/>
      <c r="BG40" s="15" t="n"/>
      <c r="BH40" s="58" t="n"/>
      <c r="BI40" s="58" t="n"/>
      <c r="BJ40" s="15" t="n"/>
      <c r="BK40" s="58" t="n"/>
      <c r="BL40" s="58" t="n"/>
      <c r="BM40" s="58" t="n"/>
      <c r="BN40" s="15" t="n"/>
      <c r="BO40" s="58" t="n"/>
      <c r="BP40" s="58" t="n"/>
      <c r="BQ40" s="15" t="n"/>
      <c r="BR40" s="58" t="n"/>
      <c r="BS40" s="58" t="n"/>
      <c r="BT40" s="15" t="n"/>
      <c r="BU40" s="58" t="n"/>
      <c r="BV40" s="58" t="n"/>
      <c r="BW40" s="15" t="n"/>
      <c r="BX40" s="58" t="n"/>
      <c r="BY40" s="58" t="n"/>
      <c r="BZ40" s="15" t="n"/>
      <c r="CA40" s="58" t="n"/>
      <c r="CB40" s="58" t="n"/>
      <c r="CC40" s="15" t="n"/>
      <c r="CD40" s="58" t="n"/>
      <c r="CE40" s="58" t="n"/>
      <c r="CF40" s="58" t="n"/>
      <c r="CG40" s="15" t="n"/>
      <c r="CH40" s="58" t="n"/>
      <c r="CI40" s="58" t="n"/>
      <c r="CJ40" s="15" t="n"/>
      <c r="CK40" s="58" t="n"/>
      <c r="CL40" s="58" t="n"/>
      <c r="CM40" s="15" t="n"/>
      <c r="CN40" s="58" t="n"/>
      <c r="CO40" s="58" t="n"/>
      <c r="CP40" s="15" t="n"/>
      <c r="CQ40" s="58" t="n"/>
      <c r="CR40" s="58" t="n"/>
      <c r="CS40" s="15" t="n"/>
      <c r="CT40" s="58" t="n"/>
      <c r="CU40" s="58" t="n"/>
      <c r="CV40" s="15" t="n"/>
      <c r="CW40" s="58" t="n"/>
      <c r="CX40" s="58" t="n"/>
      <c r="CY40" s="58" t="n"/>
      <c r="CZ40" s="15" t="n"/>
      <c r="DA40" s="58" t="n"/>
      <c r="DB40" s="58" t="n"/>
      <c r="DC40" s="15" t="n"/>
      <c r="DD40" s="58" t="n"/>
      <c r="DE40" s="58" t="n"/>
      <c r="DF40" s="15" t="n"/>
      <c r="DG40" s="58" t="n"/>
      <c r="DH40" s="58" t="n"/>
      <c r="DI40" s="15" t="n"/>
      <c r="DJ40" s="58" t="n"/>
      <c r="DK40" s="58" t="n"/>
      <c r="DL40" s="15" t="n"/>
      <c r="DM40" s="58" t="n"/>
      <c r="DN40" s="58" t="n"/>
      <c r="DO40" s="15" t="n"/>
      <c r="DP40" s="58" t="n"/>
      <c r="DQ40" s="58" t="n"/>
      <c r="DR40" s="58" t="n"/>
      <c r="DS40" s="15" t="n"/>
      <c r="DT40" s="58" t="n"/>
      <c r="DU40" s="58" t="n"/>
      <c r="DV40" s="15" t="n"/>
      <c r="DW40" s="58" t="n"/>
      <c r="DX40" s="58" t="n"/>
      <c r="DY40" s="15" t="n"/>
      <c r="DZ40" s="58" t="n"/>
      <c r="EA40" s="58" t="n"/>
      <c r="EB40" s="15" t="n"/>
      <c r="EC40" s="58" t="n"/>
      <c r="ED40" s="58" t="n"/>
      <c r="EE40" s="15" t="n"/>
      <c r="EF40" s="58" t="n"/>
      <c r="EG40" s="58" t="n"/>
      <c r="EH40" s="15" t="n"/>
      <c r="EI40" s="58" t="n"/>
      <c r="EJ40" s="58" t="n"/>
    </row>
    <row r="41">
      <c r="A41" s="11" t="inlineStr">
        <is>
          <t>Dlin MC3 Percent (molar)</t>
        </is>
      </c>
      <c r="B41" s="12" t="inlineStr">
        <is>
          <t>mol %</t>
        </is>
      </c>
      <c r="C41" s="75">
        <f>C11*C18/(C18+1)</f>
        <v/>
      </c>
      <c r="D41" s="55">
        <f>D11*D18/(D18+1)</f>
        <v/>
      </c>
      <c r="E41" s="13">
        <f>E11*E18/(E18+1)</f>
        <v/>
      </c>
      <c r="F41" s="12">
        <f>F11*F18/(F18+1)</f>
        <v/>
      </c>
      <c r="G41" s="55">
        <f>G11*G18/(G18+1)</f>
        <v/>
      </c>
      <c r="H41" s="55">
        <f>H11*H18/(H18+1)</f>
        <v/>
      </c>
      <c r="I41" s="12">
        <f>I11*I18/(I18+1)</f>
        <v/>
      </c>
      <c r="J41" s="55">
        <f>J11*J18/(J18+1)</f>
        <v/>
      </c>
      <c r="K41" s="55">
        <f>K11*K18/(K18+1)</f>
        <v/>
      </c>
      <c r="L41" s="12">
        <f>L11*L18/(L18+1)</f>
        <v/>
      </c>
      <c r="M41" s="55">
        <f>M11*M18/(M18+1)</f>
        <v/>
      </c>
      <c r="N41" s="55">
        <f>N11*N18/(N18+1)</f>
        <v/>
      </c>
      <c r="O41" s="12">
        <f>O11*O18/(O18+1)</f>
        <v/>
      </c>
      <c r="P41" s="55">
        <f>P11*P18/(P18+1)</f>
        <v/>
      </c>
      <c r="Q41" s="55">
        <f>Q11*Q18/(Q18+1)</f>
        <v/>
      </c>
      <c r="R41" s="12">
        <f>R11*R18/(R18+1)</f>
        <v/>
      </c>
      <c r="S41" s="55">
        <f>S11*S18/(S18+1)</f>
        <v/>
      </c>
      <c r="T41" s="55">
        <f>T11*T18/(T18+1)</f>
        <v/>
      </c>
      <c r="U41" s="12">
        <f>U11*U18/(U18+1)</f>
        <v/>
      </c>
      <c r="V41" s="55">
        <f>V11*V18/(V18+1)</f>
        <v/>
      </c>
      <c r="W41" s="55">
        <f>W11*W18/(W18+1)</f>
        <v/>
      </c>
      <c r="X41" s="12">
        <f>X11*X18/(X18+1)</f>
        <v/>
      </c>
      <c r="Y41" s="55">
        <f>Y11*Y18/(Y18+1)</f>
        <v/>
      </c>
      <c r="Z41" s="55">
        <f>Z11*Z18/(Z18+1)</f>
        <v/>
      </c>
      <c r="AA41" s="55">
        <f>AA11*AA18/(AA18+1)</f>
        <v/>
      </c>
      <c r="AB41" s="12">
        <f>AB11*AB18/(AB18+1)</f>
        <v/>
      </c>
      <c r="AC41" s="55">
        <f>AC11*AC18/(AC18+1)</f>
        <v/>
      </c>
      <c r="AD41" s="55">
        <f>AD11*AD18/(AD18+1)</f>
        <v/>
      </c>
      <c r="AE41" s="12">
        <f>AE11*AE18/(AE18+1)</f>
        <v/>
      </c>
      <c r="AF41" s="55">
        <f>AF11*AF18/(AF18+1)</f>
        <v/>
      </c>
      <c r="AG41" s="55">
        <f>AG11*AG18/(AG18+1)</f>
        <v/>
      </c>
      <c r="AH41" s="12">
        <f>AH11*AH18/(AH18+1)</f>
        <v/>
      </c>
      <c r="AI41" s="55">
        <f>AI11*AI18/(AI18+1)</f>
        <v/>
      </c>
      <c r="AJ41" s="55">
        <f>AJ11*AJ18/(AJ18+1)</f>
        <v/>
      </c>
      <c r="AK41" s="12">
        <f>AK11*AK18/(AK18+1)</f>
        <v/>
      </c>
      <c r="AL41" s="55">
        <f>AL11*AL18/(AL18+1)</f>
        <v/>
      </c>
      <c r="AM41" s="55">
        <f>AM11*AM18/(AM18+1)</f>
        <v/>
      </c>
      <c r="AN41" s="12">
        <f>AN11*AN18/(AN18+1)</f>
        <v/>
      </c>
      <c r="AO41" s="55">
        <f>AO11*AO18/(AO18+1)</f>
        <v/>
      </c>
      <c r="AP41" s="55">
        <f>AP11*AP18/(AP18+1)</f>
        <v/>
      </c>
      <c r="AQ41" s="12">
        <f>AQ11*AQ18/(AQ18+1)</f>
        <v/>
      </c>
      <c r="AR41" s="55">
        <f>AR11*AR18/(AR18+1)</f>
        <v/>
      </c>
      <c r="AS41" s="55">
        <f>AS11*AS18/(AS18+1)</f>
        <v/>
      </c>
      <c r="AT41" s="55">
        <f>AT11*AT18/(AT18+1)</f>
        <v/>
      </c>
      <c r="AU41" s="12">
        <f>AU11*AU18/(AU18+1)</f>
        <v/>
      </c>
      <c r="AV41" s="55">
        <f>AV11*AV18/(AV18+1)</f>
        <v/>
      </c>
      <c r="AW41" s="55">
        <f>AW11*AW18/(AW18+1)</f>
        <v/>
      </c>
      <c r="AX41" s="12">
        <f>AX11*AX18/(AX18+1)</f>
        <v/>
      </c>
      <c r="AY41" s="55">
        <f>AY11*AY18/(AY18+1)</f>
        <v/>
      </c>
      <c r="AZ41" s="55">
        <f>AZ11*AZ18/(AZ18+1)</f>
        <v/>
      </c>
      <c r="BA41" s="12">
        <f>BA11*BA18/(BA18+1)</f>
        <v/>
      </c>
      <c r="BB41" s="55">
        <f>BB11*BB18/(BB18+1)</f>
        <v/>
      </c>
      <c r="BC41" s="55">
        <f>BC11*BC18/(BC18+1)</f>
        <v/>
      </c>
      <c r="BD41" s="12">
        <f>BD11*BD18/(BD18+1)</f>
        <v/>
      </c>
      <c r="BE41" s="55">
        <f>BE11*BE18/(BE18+1)</f>
        <v/>
      </c>
      <c r="BF41" s="55">
        <f>BF11*BF18/(BF18+1)</f>
        <v/>
      </c>
      <c r="BG41" s="12">
        <f>BG11*BG18/(BG18+1)</f>
        <v/>
      </c>
      <c r="BH41" s="55">
        <f>BH11*BH18/(BH18+1)</f>
        <v/>
      </c>
      <c r="BI41" s="55">
        <f>BI11*BI18/(BI18+1)</f>
        <v/>
      </c>
      <c r="BJ41" s="12">
        <f>BJ11*BJ18/(BJ18+1)</f>
        <v/>
      </c>
      <c r="BK41" s="55">
        <f>BK11*BK18/(BK18+1)</f>
        <v/>
      </c>
      <c r="BL41" s="55">
        <f>BL11*BL18/(BL18+1)</f>
        <v/>
      </c>
      <c r="BM41" s="55">
        <f>BM11*BM18/(BM18+1)</f>
        <v/>
      </c>
      <c r="BN41" s="12">
        <f>BN11*BN18/(BN18+1)</f>
        <v/>
      </c>
      <c r="BO41" s="55">
        <f>BO11*BO18/(BO18+1)</f>
        <v/>
      </c>
      <c r="BP41" s="55">
        <f>BP11*BP18/(BP18+1)</f>
        <v/>
      </c>
      <c r="BQ41" s="12">
        <f>BQ11*BQ18/(BQ18+1)</f>
        <v/>
      </c>
      <c r="BR41" s="55">
        <f>BR11*BR18/(BR18+1)</f>
        <v/>
      </c>
      <c r="BS41" s="55">
        <f>BS11*BS18/(BS18+1)</f>
        <v/>
      </c>
      <c r="BT41" s="12">
        <f>BT11*BT18/(BT18+1)</f>
        <v/>
      </c>
      <c r="BU41" s="55">
        <f>BU11*BU18/(BU18+1)</f>
        <v/>
      </c>
      <c r="BV41" s="55">
        <f>BV11*BV18/(BV18+1)</f>
        <v/>
      </c>
      <c r="BW41" s="12">
        <f>BW11*BW18/(BW18+1)</f>
        <v/>
      </c>
      <c r="BX41" s="55">
        <f>BX11*BX18/(BX18+1)</f>
        <v/>
      </c>
      <c r="BY41" s="55">
        <f>BY11*BY18/(BY18+1)</f>
        <v/>
      </c>
      <c r="BZ41" s="12">
        <f>BZ11*BZ18/(BZ18+1)</f>
        <v/>
      </c>
      <c r="CA41" s="55">
        <f>CA11*CA18/(CA18+1)</f>
        <v/>
      </c>
      <c r="CB41" s="55">
        <f>CB11*CB18/(CB18+1)</f>
        <v/>
      </c>
      <c r="CC41" s="12">
        <f>CC11*CC18/(CC18+1)</f>
        <v/>
      </c>
      <c r="CD41" s="55">
        <f>CD11*CD18/(CD18+1)</f>
        <v/>
      </c>
      <c r="CE41" s="55">
        <f>CE11*CE18/(CE18+1)</f>
        <v/>
      </c>
      <c r="CF41" s="55">
        <f>CF11*CF18/(CF18+1)</f>
        <v/>
      </c>
      <c r="CG41" s="12">
        <f>CG11*CG18/(CG18+1)</f>
        <v/>
      </c>
      <c r="CH41" s="55">
        <f>CH11*CH18/(CH18+1)</f>
        <v/>
      </c>
      <c r="CI41" s="55">
        <f>CI11*CI18/(CI18+1)</f>
        <v/>
      </c>
      <c r="CJ41" s="12">
        <f>CJ11*CJ18/(CJ18+1)</f>
        <v/>
      </c>
      <c r="CK41" s="55">
        <f>CK11*CK18/(CK18+1)</f>
        <v/>
      </c>
      <c r="CL41" s="55">
        <f>CL11*CL18/(CL18+1)</f>
        <v/>
      </c>
      <c r="CM41" s="12">
        <f>CM11*CM18/(CM18+1)</f>
        <v/>
      </c>
      <c r="CN41" s="55">
        <f>CN11*CN18/(CN18+1)</f>
        <v/>
      </c>
      <c r="CO41" s="55">
        <f>CO11*CO18/(CO18+1)</f>
        <v/>
      </c>
      <c r="CP41" s="12">
        <f>CP11*CP18/(CP18+1)</f>
        <v/>
      </c>
      <c r="CQ41" s="55">
        <f>CQ11*CQ18/(CQ18+1)</f>
        <v/>
      </c>
      <c r="CR41" s="55">
        <f>CR11*CR18/(CR18+1)</f>
        <v/>
      </c>
      <c r="CS41" s="12">
        <f>CS11*CS18/(CS18+1)</f>
        <v/>
      </c>
      <c r="CT41" s="55">
        <f>CT11*CT18/(CT18+1)</f>
        <v/>
      </c>
      <c r="CU41" s="55">
        <f>CU11*CU18/(CU18+1)</f>
        <v/>
      </c>
      <c r="CV41" s="12">
        <f>CV11*CV18/(CV18+1)</f>
        <v/>
      </c>
      <c r="CW41" s="55">
        <f>CW11*CW18/(CW18+1)</f>
        <v/>
      </c>
      <c r="CX41" s="55">
        <f>CX11*CX18/(CX18+1)</f>
        <v/>
      </c>
      <c r="CY41" s="55">
        <f>CY11*CY18/(CY18+1)</f>
        <v/>
      </c>
      <c r="CZ41" s="12">
        <f>CZ11*CZ18/(CZ18+1)</f>
        <v/>
      </c>
      <c r="DA41" s="55">
        <f>DA11*DA18/(DA18+1)</f>
        <v/>
      </c>
      <c r="DB41" s="55">
        <f>DB11*DB18/(DB18+1)</f>
        <v/>
      </c>
      <c r="DC41" s="12">
        <f>DC11*DC18/(DC18+1)</f>
        <v/>
      </c>
      <c r="DD41" s="55">
        <f>DD11*DD18/(DD18+1)</f>
        <v/>
      </c>
      <c r="DE41" s="55">
        <f>DE11*DE18/(DE18+1)</f>
        <v/>
      </c>
      <c r="DF41" s="12">
        <f>DF11*DF18/(DF18+1)</f>
        <v/>
      </c>
      <c r="DG41" s="55">
        <f>DG11*DG18/(DG18+1)</f>
        <v/>
      </c>
      <c r="DH41" s="55">
        <f>DH11*DH18/(DH18+1)</f>
        <v/>
      </c>
      <c r="DI41" s="12">
        <f>DI11*DI18/(DI18+1)</f>
        <v/>
      </c>
      <c r="DJ41" s="55">
        <f>DJ11*DJ18/(DJ18+1)</f>
        <v/>
      </c>
      <c r="DK41" s="55">
        <f>DK11*DK18/(DK18+1)</f>
        <v/>
      </c>
      <c r="DL41" s="12">
        <f>DL11*DL18/(DL18+1)</f>
        <v/>
      </c>
      <c r="DM41" s="55">
        <f>DM11*DM18/(DM18+1)</f>
        <v/>
      </c>
      <c r="DN41" s="55">
        <f>DN11*DN18/(DN18+1)</f>
        <v/>
      </c>
      <c r="DO41" s="12">
        <f>DO11*DO18/(DO18+1)</f>
        <v/>
      </c>
      <c r="DP41" s="55">
        <f>DP11*DP18/(DP18+1)</f>
        <v/>
      </c>
      <c r="DQ41" s="55">
        <f>DQ11*DQ18/(DQ18+1)</f>
        <v/>
      </c>
      <c r="DR41" s="55">
        <f>DR11*DR18/(DR18+1)</f>
        <v/>
      </c>
      <c r="DS41" s="12">
        <f>DS11*DS18/(DS18+1)</f>
        <v/>
      </c>
      <c r="DT41" s="55">
        <f>DT11*DT18/(DT18+1)</f>
        <v/>
      </c>
      <c r="DU41" s="55">
        <f>DU11*DU18/(DU18+1)</f>
        <v/>
      </c>
      <c r="DV41" s="12">
        <f>DV11*DV18/(DV18+1)</f>
        <v/>
      </c>
      <c r="DW41" s="55">
        <f>DW11*DW18/(DW18+1)</f>
        <v/>
      </c>
      <c r="DX41" s="55">
        <f>DX11*DX18/(DX18+1)</f>
        <v/>
      </c>
      <c r="DY41" s="12">
        <f>DY11*DY18/(DY18+1)</f>
        <v/>
      </c>
      <c r="DZ41" s="55">
        <f>DZ11*DZ18/(DZ18+1)</f>
        <v/>
      </c>
      <c r="EA41" s="55">
        <f>EA11*EA18/(EA18+1)</f>
        <v/>
      </c>
      <c r="EB41" s="12">
        <f>EB11*EB18/(EB18+1)</f>
        <v/>
      </c>
      <c r="EC41" s="55">
        <f>EC11*EC18/(EC18+1)</f>
        <v/>
      </c>
      <c r="ED41" s="55">
        <f>ED11*ED18/(ED18+1)</f>
        <v/>
      </c>
      <c r="EE41" s="12">
        <f>EE11*EE18/(EE18+1)</f>
        <v/>
      </c>
      <c r="EF41" s="55">
        <f>EF11*EF18/(EF18+1)</f>
        <v/>
      </c>
      <c r="EG41" s="55">
        <f>EG11*EG18/(EG18+1)</f>
        <v/>
      </c>
      <c r="EH41" s="12">
        <f>EH11*EH18/(EH18+1)</f>
        <v/>
      </c>
      <c r="EI41" s="55">
        <f>EI11*EI18/(EI18+1)</f>
        <v/>
      </c>
      <c r="EJ41" s="55">
        <f>EJ11*EJ18/(EJ18+1)</f>
        <v/>
      </c>
    </row>
    <row r="42">
      <c r="A42" s="11" t="inlineStr">
        <is>
          <t>Total Dlin MC3 (nmol)</t>
        </is>
      </c>
      <c r="B42" s="12" t="inlineStr">
        <is>
          <t>nmol</t>
        </is>
      </c>
      <c r="C42" s="75">
        <f>C36*C41/100</f>
        <v/>
      </c>
      <c r="D42" s="55">
        <f>D36*D41/100</f>
        <v/>
      </c>
      <c r="E42" s="13">
        <f>E36*E41/100</f>
        <v/>
      </c>
      <c r="F42" s="12">
        <f>F36*F41/100</f>
        <v/>
      </c>
      <c r="G42" s="55">
        <f>G36*G41/100</f>
        <v/>
      </c>
      <c r="H42" s="55">
        <f>H36*H41/100</f>
        <v/>
      </c>
      <c r="I42" s="12">
        <f>I36*I41/100</f>
        <v/>
      </c>
      <c r="J42" s="55">
        <f>J36*J41/100</f>
        <v/>
      </c>
      <c r="K42" s="55">
        <f>K36*K41/100</f>
        <v/>
      </c>
      <c r="L42" s="12">
        <f>L36*L41/100</f>
        <v/>
      </c>
      <c r="M42" s="55">
        <f>M36*M41/100</f>
        <v/>
      </c>
      <c r="N42" s="55">
        <f>N36*N41/100</f>
        <v/>
      </c>
      <c r="O42" s="12">
        <f>O36*O41/100</f>
        <v/>
      </c>
      <c r="P42" s="55">
        <f>P36*P41/100</f>
        <v/>
      </c>
      <c r="Q42" s="55">
        <f>Q36*Q41/100</f>
        <v/>
      </c>
      <c r="R42" s="12">
        <f>R36*R41/100</f>
        <v/>
      </c>
      <c r="S42" s="55">
        <f>S36*S41/100</f>
        <v/>
      </c>
      <c r="T42" s="55">
        <f>T36*T41/100</f>
        <v/>
      </c>
      <c r="U42" s="12">
        <f>U36*U41/100</f>
        <v/>
      </c>
      <c r="V42" s="55">
        <f>V36*V41/100</f>
        <v/>
      </c>
      <c r="W42" s="55">
        <f>W36*W41/100</f>
        <v/>
      </c>
      <c r="X42" s="12">
        <f>X36*X41/100</f>
        <v/>
      </c>
      <c r="Y42" s="55">
        <f>Y36*Y41/100</f>
        <v/>
      </c>
      <c r="Z42" s="55">
        <f>Z36*Z41/100</f>
        <v/>
      </c>
      <c r="AA42" s="55">
        <f>AA36*AA41/100</f>
        <v/>
      </c>
      <c r="AB42" s="12">
        <f>AB36*AB41/100</f>
        <v/>
      </c>
      <c r="AC42" s="55">
        <f>AC36*AC41/100</f>
        <v/>
      </c>
      <c r="AD42" s="55">
        <f>AD36*AD41/100</f>
        <v/>
      </c>
      <c r="AE42" s="12">
        <f>AE36*AE41/100</f>
        <v/>
      </c>
      <c r="AF42" s="55">
        <f>AF36*AF41/100</f>
        <v/>
      </c>
      <c r="AG42" s="55">
        <f>AG36*AG41/100</f>
        <v/>
      </c>
      <c r="AH42" s="12">
        <f>AH36*AH41/100</f>
        <v/>
      </c>
      <c r="AI42" s="55">
        <f>AI36*AI41/100</f>
        <v/>
      </c>
      <c r="AJ42" s="55">
        <f>AJ36*AJ41/100</f>
        <v/>
      </c>
      <c r="AK42" s="12">
        <f>AK36*AK41/100</f>
        <v/>
      </c>
      <c r="AL42" s="55">
        <f>AL36*AL41/100</f>
        <v/>
      </c>
      <c r="AM42" s="55">
        <f>AM36*AM41/100</f>
        <v/>
      </c>
      <c r="AN42" s="12">
        <f>AN36*AN41/100</f>
        <v/>
      </c>
      <c r="AO42" s="55">
        <f>AO36*AO41/100</f>
        <v/>
      </c>
      <c r="AP42" s="55">
        <f>AP36*AP41/100</f>
        <v/>
      </c>
      <c r="AQ42" s="12">
        <f>AQ36*AQ41/100</f>
        <v/>
      </c>
      <c r="AR42" s="55">
        <f>AR36*AR41/100</f>
        <v/>
      </c>
      <c r="AS42" s="55">
        <f>AS36*AS41/100</f>
        <v/>
      </c>
      <c r="AT42" s="55">
        <f>AT36*AT41/100</f>
        <v/>
      </c>
      <c r="AU42" s="12">
        <f>AU36*AU41/100</f>
        <v/>
      </c>
      <c r="AV42" s="55">
        <f>AV36*AV41/100</f>
        <v/>
      </c>
      <c r="AW42" s="55">
        <f>AW36*AW41/100</f>
        <v/>
      </c>
      <c r="AX42" s="12">
        <f>AX36*AX41/100</f>
        <v/>
      </c>
      <c r="AY42" s="55">
        <f>AY36*AY41/100</f>
        <v/>
      </c>
      <c r="AZ42" s="55">
        <f>AZ36*AZ41/100</f>
        <v/>
      </c>
      <c r="BA42" s="12">
        <f>BA36*BA41/100</f>
        <v/>
      </c>
      <c r="BB42" s="55">
        <f>BB36*BB41/100</f>
        <v/>
      </c>
      <c r="BC42" s="55">
        <f>BC36*BC41/100</f>
        <v/>
      </c>
      <c r="BD42" s="12">
        <f>BD36*BD41/100</f>
        <v/>
      </c>
      <c r="BE42" s="55">
        <f>BE36*BE41/100</f>
        <v/>
      </c>
      <c r="BF42" s="55">
        <f>BF36*BF41/100</f>
        <v/>
      </c>
      <c r="BG42" s="12">
        <f>BG36*BG41/100</f>
        <v/>
      </c>
      <c r="BH42" s="55">
        <f>BH36*BH41/100</f>
        <v/>
      </c>
      <c r="BI42" s="55">
        <f>BI36*BI41/100</f>
        <v/>
      </c>
      <c r="BJ42" s="12">
        <f>BJ36*BJ41/100</f>
        <v/>
      </c>
      <c r="BK42" s="55">
        <f>BK36*BK41/100</f>
        <v/>
      </c>
      <c r="BL42" s="55">
        <f>BL36*BL41/100</f>
        <v/>
      </c>
      <c r="BM42" s="55">
        <f>BM36*BM41/100</f>
        <v/>
      </c>
      <c r="BN42" s="12">
        <f>BN36*BN41/100</f>
        <v/>
      </c>
      <c r="BO42" s="55">
        <f>BO36*BO41/100</f>
        <v/>
      </c>
      <c r="BP42" s="55">
        <f>BP36*BP41/100</f>
        <v/>
      </c>
      <c r="BQ42" s="12">
        <f>BQ36*BQ41/100</f>
        <v/>
      </c>
      <c r="BR42" s="55">
        <f>BR36*BR41/100</f>
        <v/>
      </c>
      <c r="BS42" s="55">
        <f>BS36*BS41/100</f>
        <v/>
      </c>
      <c r="BT42" s="12">
        <f>BT36*BT41/100</f>
        <v/>
      </c>
      <c r="BU42" s="55">
        <f>BU36*BU41/100</f>
        <v/>
      </c>
      <c r="BV42" s="55">
        <f>BV36*BV41/100</f>
        <v/>
      </c>
      <c r="BW42" s="12">
        <f>BW36*BW41/100</f>
        <v/>
      </c>
      <c r="BX42" s="55">
        <f>BX36*BX41/100</f>
        <v/>
      </c>
      <c r="BY42" s="55">
        <f>BY36*BY41/100</f>
        <v/>
      </c>
      <c r="BZ42" s="12">
        <f>BZ36*BZ41/100</f>
        <v/>
      </c>
      <c r="CA42" s="55">
        <f>CA36*CA41/100</f>
        <v/>
      </c>
      <c r="CB42" s="55">
        <f>CB36*CB41/100</f>
        <v/>
      </c>
      <c r="CC42" s="12">
        <f>CC36*CC41/100</f>
        <v/>
      </c>
      <c r="CD42" s="55">
        <f>CD36*CD41/100</f>
        <v/>
      </c>
      <c r="CE42" s="55">
        <f>CE36*CE41/100</f>
        <v/>
      </c>
      <c r="CF42" s="55">
        <f>CF36*CF41/100</f>
        <v/>
      </c>
      <c r="CG42" s="12">
        <f>CG36*CG41/100</f>
        <v/>
      </c>
      <c r="CH42" s="55">
        <f>CH36*CH41/100</f>
        <v/>
      </c>
      <c r="CI42" s="55">
        <f>CI36*CI41/100</f>
        <v/>
      </c>
      <c r="CJ42" s="12">
        <f>CJ36*CJ41/100</f>
        <v/>
      </c>
      <c r="CK42" s="55">
        <f>CK36*CK41/100</f>
        <v/>
      </c>
      <c r="CL42" s="55">
        <f>CL36*CL41/100</f>
        <v/>
      </c>
      <c r="CM42" s="12">
        <f>CM36*CM41/100</f>
        <v/>
      </c>
      <c r="CN42" s="55">
        <f>CN36*CN41/100</f>
        <v/>
      </c>
      <c r="CO42" s="55">
        <f>CO36*CO41/100</f>
        <v/>
      </c>
      <c r="CP42" s="12">
        <f>CP36*CP41/100</f>
        <v/>
      </c>
      <c r="CQ42" s="55">
        <f>CQ36*CQ41/100</f>
        <v/>
      </c>
      <c r="CR42" s="55">
        <f>CR36*CR41/100</f>
        <v/>
      </c>
      <c r="CS42" s="12">
        <f>CS36*CS41/100</f>
        <v/>
      </c>
      <c r="CT42" s="55">
        <f>CT36*CT41/100</f>
        <v/>
      </c>
      <c r="CU42" s="55">
        <f>CU36*CU41/100</f>
        <v/>
      </c>
      <c r="CV42" s="12">
        <f>CV36*CV41/100</f>
        <v/>
      </c>
      <c r="CW42" s="55">
        <f>CW36*CW41/100</f>
        <v/>
      </c>
      <c r="CX42" s="55">
        <f>CX36*CX41/100</f>
        <v/>
      </c>
      <c r="CY42" s="55">
        <f>CY36*CY41/100</f>
        <v/>
      </c>
      <c r="CZ42" s="12">
        <f>CZ36*CZ41/100</f>
        <v/>
      </c>
      <c r="DA42" s="55">
        <f>DA36*DA41/100</f>
        <v/>
      </c>
      <c r="DB42" s="55">
        <f>DB36*DB41/100</f>
        <v/>
      </c>
      <c r="DC42" s="12">
        <f>DC36*DC41/100</f>
        <v/>
      </c>
      <c r="DD42" s="55">
        <f>DD36*DD41/100</f>
        <v/>
      </c>
      <c r="DE42" s="55">
        <f>DE36*DE41/100</f>
        <v/>
      </c>
      <c r="DF42" s="12">
        <f>DF36*DF41/100</f>
        <v/>
      </c>
      <c r="DG42" s="55">
        <f>DG36*DG41/100</f>
        <v/>
      </c>
      <c r="DH42" s="55">
        <f>DH36*DH41/100</f>
        <v/>
      </c>
      <c r="DI42" s="12">
        <f>DI36*DI41/100</f>
        <v/>
      </c>
      <c r="DJ42" s="55">
        <f>DJ36*DJ41/100</f>
        <v/>
      </c>
      <c r="DK42" s="55">
        <f>DK36*DK41/100</f>
        <v/>
      </c>
      <c r="DL42" s="12">
        <f>DL36*DL41/100</f>
        <v/>
      </c>
      <c r="DM42" s="55">
        <f>DM36*DM41/100</f>
        <v/>
      </c>
      <c r="DN42" s="55">
        <f>DN36*DN41/100</f>
        <v/>
      </c>
      <c r="DO42" s="12">
        <f>DO36*DO41/100</f>
        <v/>
      </c>
      <c r="DP42" s="55">
        <f>DP36*DP41/100</f>
        <v/>
      </c>
      <c r="DQ42" s="55">
        <f>DQ36*DQ41/100</f>
        <v/>
      </c>
      <c r="DR42" s="55">
        <f>DR36*DR41/100</f>
        <v/>
      </c>
      <c r="DS42" s="12">
        <f>DS36*DS41/100</f>
        <v/>
      </c>
      <c r="DT42" s="55">
        <f>DT36*DT41/100</f>
        <v/>
      </c>
      <c r="DU42" s="55">
        <f>DU36*DU41/100</f>
        <v/>
      </c>
      <c r="DV42" s="12">
        <f>DV36*DV41/100</f>
        <v/>
      </c>
      <c r="DW42" s="55">
        <f>DW36*DW41/100</f>
        <v/>
      </c>
      <c r="DX42" s="55">
        <f>DX36*DX41/100</f>
        <v/>
      </c>
      <c r="DY42" s="12">
        <f>DY36*DY41/100</f>
        <v/>
      </c>
      <c r="DZ42" s="55">
        <f>DZ36*DZ41/100</f>
        <v/>
      </c>
      <c r="EA42" s="55">
        <f>EA36*EA41/100</f>
        <v/>
      </c>
      <c r="EB42" s="12">
        <f>EB36*EB41/100</f>
        <v/>
      </c>
      <c r="EC42" s="55">
        <f>EC36*EC41/100</f>
        <v/>
      </c>
      <c r="ED42" s="55">
        <f>ED36*ED41/100</f>
        <v/>
      </c>
      <c r="EE42" s="12">
        <f>EE36*EE41/100</f>
        <v/>
      </c>
      <c r="EF42" s="55">
        <f>EF36*EF41/100</f>
        <v/>
      </c>
      <c r="EG42" s="55">
        <f>EG36*EG41/100</f>
        <v/>
      </c>
      <c r="EH42" s="12">
        <f>EH36*EH41/100</f>
        <v/>
      </c>
      <c r="EI42" s="55">
        <f>EI36*EI41/100</f>
        <v/>
      </c>
      <c r="EJ42" s="55">
        <f>EJ36*EJ41/100</f>
        <v/>
      </c>
    </row>
    <row r="43">
      <c r="G43" s="55" t="n"/>
      <c r="H43" s="55" t="n"/>
      <c r="J43" s="55" t="n"/>
      <c r="K43" s="55" t="n"/>
      <c r="M43" s="55" t="n"/>
      <c r="N43" s="55" t="n"/>
      <c r="P43" s="55" t="n"/>
      <c r="Q43" s="55" t="n"/>
      <c r="S43" s="55" t="n"/>
      <c r="T43" s="55" t="n"/>
      <c r="V43" s="55" t="n"/>
      <c r="W43" s="55" t="n"/>
      <c r="Y43" s="55" t="n"/>
      <c r="Z43" s="55" t="n"/>
      <c r="AA43" s="55" t="n"/>
      <c r="AC43" s="55" t="n"/>
      <c r="AD43" s="55" t="n"/>
      <c r="AF43" s="55" t="n"/>
      <c r="AG43" s="55" t="n"/>
      <c r="AI43" s="55" t="n"/>
      <c r="AJ43" s="55" t="n"/>
      <c r="AL43" s="55" t="n"/>
      <c r="AM43" s="55" t="n"/>
      <c r="AO43" s="55" t="n"/>
      <c r="AP43" s="55" t="n"/>
      <c r="AR43" s="55" t="n"/>
      <c r="AS43" s="55" t="n"/>
      <c r="AT43" s="55" t="n"/>
      <c r="AV43" s="55" t="n"/>
      <c r="AW43" s="55" t="n"/>
      <c r="AY43" s="55" t="n"/>
      <c r="AZ43" s="55" t="n"/>
      <c r="BB43" s="55" t="n"/>
      <c r="BC43" s="55" t="n"/>
      <c r="BE43" s="55" t="n"/>
      <c r="BF43" s="55" t="n"/>
      <c r="BH43" s="55" t="n"/>
      <c r="BI43" s="55" t="n"/>
      <c r="BK43" s="55" t="n"/>
      <c r="BL43" s="55" t="n"/>
      <c r="BM43" s="55" t="n"/>
      <c r="BO43" s="55" t="n"/>
      <c r="BP43" s="55" t="n"/>
      <c r="BR43" s="55" t="n"/>
      <c r="BS43" s="55" t="n"/>
      <c r="BU43" s="55" t="n"/>
      <c r="BV43" s="55" t="n"/>
      <c r="BX43" s="55" t="n"/>
      <c r="BY43" s="55" t="n"/>
      <c r="CA43" s="55" t="n"/>
      <c r="CB43" s="55" t="n"/>
      <c r="CD43" s="55" t="n"/>
      <c r="CE43" s="55" t="n"/>
      <c r="CF43" s="55" t="n"/>
      <c r="CH43" s="55" t="n"/>
      <c r="CI43" s="55" t="n"/>
      <c r="CK43" s="55" t="n"/>
      <c r="CL43" s="55" t="n"/>
      <c r="CN43" s="55" t="n"/>
      <c r="CO43" s="55" t="n"/>
      <c r="CQ43" s="55" t="n"/>
      <c r="CR43" s="55" t="n"/>
      <c r="CT43" s="55" t="n"/>
      <c r="CU43" s="55" t="n"/>
      <c r="CW43" s="55" t="n"/>
      <c r="CX43" s="55" t="n"/>
      <c r="CY43" s="55" t="n"/>
      <c r="DA43" s="55" t="n"/>
      <c r="DB43" s="55" t="n"/>
      <c r="DD43" s="55" t="n"/>
      <c r="DE43" s="55" t="n"/>
      <c r="DG43" s="55" t="n"/>
      <c r="DH43" s="55" t="n"/>
      <c r="DJ43" s="55" t="n"/>
      <c r="DK43" s="55" t="n"/>
      <c r="DM43" s="55" t="n"/>
      <c r="DN43" s="55" t="n"/>
      <c r="DP43" s="55" t="n"/>
      <c r="DQ43" s="55" t="n"/>
      <c r="DR43" s="55" t="n"/>
      <c r="DT43" s="55" t="n"/>
      <c r="DU43" s="55" t="n"/>
      <c r="DW43" s="55" t="n"/>
      <c r="DX43" s="55" t="n"/>
      <c r="DZ43" s="55" t="n"/>
      <c r="EA43" s="55" t="n"/>
      <c r="EC43" s="55" t="n"/>
      <c r="ED43" s="55" t="n"/>
      <c r="EF43" s="55" t="n"/>
      <c r="EG43" s="55" t="n"/>
      <c r="EI43" s="55" t="n"/>
      <c r="EJ43" s="55" t="n"/>
    </row>
    <row r="44">
      <c r="A44" s="11" t="inlineStr">
        <is>
          <t>Helper Lipid Percent (molar)</t>
        </is>
      </c>
      <c r="B44" s="12" t="inlineStr">
        <is>
          <t>mol %</t>
        </is>
      </c>
      <c r="C44" s="75">
        <f>C11/(1+C18)</f>
        <v/>
      </c>
      <c r="D44" s="55">
        <f>D11/(1+D18)</f>
        <v/>
      </c>
      <c r="E44" s="13">
        <f>E11/(1+E18)</f>
        <v/>
      </c>
      <c r="F44" s="12">
        <f>F11/(1+F18)</f>
        <v/>
      </c>
      <c r="G44" s="55">
        <f>G11/(1+G18)</f>
        <v/>
      </c>
      <c r="H44" s="55">
        <f>H11/(1+H18)</f>
        <v/>
      </c>
      <c r="I44" s="12">
        <f>I11/(1+I18)</f>
        <v/>
      </c>
      <c r="J44" s="55">
        <f>J11/(1+J18)</f>
        <v/>
      </c>
      <c r="K44" s="55">
        <f>K11/(1+K18)</f>
        <v/>
      </c>
      <c r="L44" s="12">
        <f>L11/(1+L18)</f>
        <v/>
      </c>
      <c r="M44" s="55">
        <f>M11/(1+M18)</f>
        <v/>
      </c>
      <c r="N44" s="55">
        <f>N11/(1+N18)</f>
        <v/>
      </c>
      <c r="O44" s="12">
        <f>O11/(1+O18)</f>
        <v/>
      </c>
      <c r="P44" s="55">
        <f>P11/(1+P18)</f>
        <v/>
      </c>
      <c r="Q44" s="55">
        <f>Q11/(1+Q18)</f>
        <v/>
      </c>
      <c r="R44" s="12">
        <f>R11/(1+R18)</f>
        <v/>
      </c>
      <c r="S44" s="55">
        <f>S11/(1+S18)</f>
        <v/>
      </c>
      <c r="T44" s="55">
        <f>T11/(1+T18)</f>
        <v/>
      </c>
      <c r="U44" s="12">
        <f>U11/(1+U18)</f>
        <v/>
      </c>
      <c r="V44" s="55">
        <f>V11/(1+V18)</f>
        <v/>
      </c>
      <c r="W44" s="55">
        <f>W11/(1+W18)</f>
        <v/>
      </c>
      <c r="X44" s="12">
        <f>X11/(1+X18)</f>
        <v/>
      </c>
      <c r="Y44" s="55">
        <f>Y11/(1+Y18)</f>
        <v/>
      </c>
      <c r="Z44" s="55">
        <f>Z11/(1+Z18)</f>
        <v/>
      </c>
      <c r="AA44" s="55">
        <f>AA11/(1+AA18)</f>
        <v/>
      </c>
      <c r="AB44" s="12">
        <f>AB11/(1+AB18)</f>
        <v/>
      </c>
      <c r="AC44" s="55">
        <f>AC11/(1+AC18)</f>
        <v/>
      </c>
      <c r="AD44" s="55">
        <f>AD11/(1+AD18)</f>
        <v/>
      </c>
      <c r="AE44" s="12">
        <f>AE11/(1+AE18)</f>
        <v/>
      </c>
      <c r="AF44" s="55">
        <f>AF11/(1+AF18)</f>
        <v/>
      </c>
      <c r="AG44" s="55">
        <f>AG11/(1+AG18)</f>
        <v/>
      </c>
      <c r="AH44" s="12">
        <f>AH11/(1+AH18)</f>
        <v/>
      </c>
      <c r="AI44" s="55">
        <f>AI11/(1+AI18)</f>
        <v/>
      </c>
      <c r="AJ44" s="55">
        <f>AJ11/(1+AJ18)</f>
        <v/>
      </c>
      <c r="AK44" s="12">
        <f>AK11/(1+AK18)</f>
        <v/>
      </c>
      <c r="AL44" s="55">
        <f>AL11/(1+AL18)</f>
        <v/>
      </c>
      <c r="AM44" s="55">
        <f>AM11/(1+AM18)</f>
        <v/>
      </c>
      <c r="AN44" s="12">
        <f>AN11/(1+AN18)</f>
        <v/>
      </c>
      <c r="AO44" s="55">
        <f>AO11/(1+AO18)</f>
        <v/>
      </c>
      <c r="AP44" s="55">
        <f>AP11/(1+AP18)</f>
        <v/>
      </c>
      <c r="AQ44" s="12">
        <f>AQ11/(1+AQ18)</f>
        <v/>
      </c>
      <c r="AR44" s="55">
        <f>AR11/(1+AR18)</f>
        <v/>
      </c>
      <c r="AS44" s="55">
        <f>AS11/(1+AS18)</f>
        <v/>
      </c>
      <c r="AT44" s="55">
        <f>AT11/(1+AT18)</f>
        <v/>
      </c>
      <c r="AU44" s="12">
        <f>AU11/(1+AU18)</f>
        <v/>
      </c>
      <c r="AV44" s="55">
        <f>AV11/(1+AV18)</f>
        <v/>
      </c>
      <c r="AW44" s="55">
        <f>AW11/(1+AW18)</f>
        <v/>
      </c>
      <c r="AX44" s="12">
        <f>AX11/(1+AX18)</f>
        <v/>
      </c>
      <c r="AY44" s="55">
        <f>AY11/(1+AY18)</f>
        <v/>
      </c>
      <c r="AZ44" s="55">
        <f>AZ11/(1+AZ18)</f>
        <v/>
      </c>
      <c r="BA44" s="12">
        <f>BA11/(1+BA18)</f>
        <v/>
      </c>
      <c r="BB44" s="55">
        <f>BB11/(1+BB18)</f>
        <v/>
      </c>
      <c r="BC44" s="55">
        <f>BC11/(1+BC18)</f>
        <v/>
      </c>
      <c r="BD44" s="12">
        <f>BD11/(1+BD18)</f>
        <v/>
      </c>
      <c r="BE44" s="55">
        <f>BE11/(1+BE18)</f>
        <v/>
      </c>
      <c r="BF44" s="55">
        <f>BF11/(1+BF18)</f>
        <v/>
      </c>
      <c r="BG44" s="12">
        <f>BG11/(1+BG18)</f>
        <v/>
      </c>
      <c r="BH44" s="55">
        <f>BH11/(1+BH18)</f>
        <v/>
      </c>
      <c r="BI44" s="55">
        <f>BI11/(1+BI18)</f>
        <v/>
      </c>
      <c r="BJ44" s="12">
        <f>BJ11/(1+BJ18)</f>
        <v/>
      </c>
      <c r="BK44" s="55">
        <f>BK11/(1+BK18)</f>
        <v/>
      </c>
      <c r="BL44" s="55">
        <f>BL11/(1+BL18)</f>
        <v/>
      </c>
      <c r="BM44" s="55">
        <f>BM11/(1+BM18)</f>
        <v/>
      </c>
      <c r="BN44" s="12">
        <f>BN11/(1+BN18)</f>
        <v/>
      </c>
      <c r="BO44" s="55">
        <f>BO11/(1+BO18)</f>
        <v/>
      </c>
      <c r="BP44" s="55">
        <f>BP11/(1+BP18)</f>
        <v/>
      </c>
      <c r="BQ44" s="12">
        <f>BQ11/(1+BQ18)</f>
        <v/>
      </c>
      <c r="BR44" s="55">
        <f>BR11/(1+BR18)</f>
        <v/>
      </c>
      <c r="BS44" s="55">
        <f>BS11/(1+BS18)</f>
        <v/>
      </c>
      <c r="BT44" s="12">
        <f>BT11/(1+BT18)</f>
        <v/>
      </c>
      <c r="BU44" s="55">
        <f>BU11/(1+BU18)</f>
        <v/>
      </c>
      <c r="BV44" s="55">
        <f>BV11/(1+BV18)</f>
        <v/>
      </c>
      <c r="BW44" s="12">
        <f>BW11/(1+BW18)</f>
        <v/>
      </c>
      <c r="BX44" s="55">
        <f>BX11/(1+BX18)</f>
        <v/>
      </c>
      <c r="BY44" s="55">
        <f>BY11/(1+BY18)</f>
        <v/>
      </c>
      <c r="BZ44" s="12">
        <f>BZ11/(1+BZ18)</f>
        <v/>
      </c>
      <c r="CA44" s="55">
        <f>CA11/(1+CA18)</f>
        <v/>
      </c>
      <c r="CB44" s="55">
        <f>CB11/(1+CB18)</f>
        <v/>
      </c>
      <c r="CC44" s="12">
        <f>CC11/(1+CC18)</f>
        <v/>
      </c>
      <c r="CD44" s="55">
        <f>CD11/(1+CD18)</f>
        <v/>
      </c>
      <c r="CE44" s="55">
        <f>CE11/(1+CE18)</f>
        <v/>
      </c>
      <c r="CF44" s="55">
        <f>CF11/(1+CF18)</f>
        <v/>
      </c>
      <c r="CG44" s="12">
        <f>CG11/(1+CG18)</f>
        <v/>
      </c>
      <c r="CH44" s="55">
        <f>CH11/(1+CH18)</f>
        <v/>
      </c>
      <c r="CI44" s="55">
        <f>CI11/(1+CI18)</f>
        <v/>
      </c>
      <c r="CJ44" s="12">
        <f>CJ11/(1+CJ18)</f>
        <v/>
      </c>
      <c r="CK44" s="55">
        <f>CK11/(1+CK18)</f>
        <v/>
      </c>
      <c r="CL44" s="55">
        <f>CL11/(1+CL18)</f>
        <v/>
      </c>
      <c r="CM44" s="12">
        <f>CM11/(1+CM18)</f>
        <v/>
      </c>
      <c r="CN44" s="55">
        <f>CN11/(1+CN18)</f>
        <v/>
      </c>
      <c r="CO44" s="55">
        <f>CO11/(1+CO18)</f>
        <v/>
      </c>
      <c r="CP44" s="12">
        <f>CP11/(1+CP18)</f>
        <v/>
      </c>
      <c r="CQ44" s="55">
        <f>CQ11/(1+CQ18)</f>
        <v/>
      </c>
      <c r="CR44" s="55">
        <f>CR11/(1+CR18)</f>
        <v/>
      </c>
      <c r="CS44" s="12">
        <f>CS11/(1+CS18)</f>
        <v/>
      </c>
      <c r="CT44" s="55">
        <f>CT11/(1+CT18)</f>
        <v/>
      </c>
      <c r="CU44" s="55">
        <f>CU11/(1+CU18)</f>
        <v/>
      </c>
      <c r="CV44" s="12">
        <f>CV11/(1+CV18)</f>
        <v/>
      </c>
      <c r="CW44" s="55">
        <f>CW11/(1+CW18)</f>
        <v/>
      </c>
      <c r="CX44" s="55">
        <f>CX11/(1+CX18)</f>
        <v/>
      </c>
      <c r="CY44" s="55">
        <f>CY11/(1+CY18)</f>
        <v/>
      </c>
      <c r="CZ44" s="12">
        <f>CZ11/(1+CZ18)</f>
        <v/>
      </c>
      <c r="DA44" s="55">
        <f>DA11/(1+DA18)</f>
        <v/>
      </c>
      <c r="DB44" s="55">
        <f>DB11/(1+DB18)</f>
        <v/>
      </c>
      <c r="DC44" s="12">
        <f>DC11/(1+DC18)</f>
        <v/>
      </c>
      <c r="DD44" s="55">
        <f>DD11/(1+DD18)</f>
        <v/>
      </c>
      <c r="DE44" s="55">
        <f>DE11/(1+DE18)</f>
        <v/>
      </c>
      <c r="DF44" s="12">
        <f>DF11/(1+DF18)</f>
        <v/>
      </c>
      <c r="DG44" s="55">
        <f>DG11/(1+DG18)</f>
        <v/>
      </c>
      <c r="DH44" s="55">
        <f>DH11/(1+DH18)</f>
        <v/>
      </c>
      <c r="DI44" s="12">
        <f>DI11/(1+DI18)</f>
        <v/>
      </c>
      <c r="DJ44" s="55">
        <f>DJ11/(1+DJ18)</f>
        <v/>
      </c>
      <c r="DK44" s="55">
        <f>DK11/(1+DK18)</f>
        <v/>
      </c>
      <c r="DL44" s="12">
        <f>DL11/(1+DL18)</f>
        <v/>
      </c>
      <c r="DM44" s="55">
        <f>DM11/(1+DM18)</f>
        <v/>
      </c>
      <c r="DN44" s="55">
        <f>DN11/(1+DN18)</f>
        <v/>
      </c>
      <c r="DO44" s="12">
        <f>DO11/(1+DO18)</f>
        <v/>
      </c>
      <c r="DP44" s="55">
        <f>DP11/(1+DP18)</f>
        <v/>
      </c>
      <c r="DQ44" s="55">
        <f>DQ11/(1+DQ18)</f>
        <v/>
      </c>
      <c r="DR44" s="55">
        <f>DR11/(1+DR18)</f>
        <v/>
      </c>
      <c r="DS44" s="12">
        <f>DS11/(1+DS18)</f>
        <v/>
      </c>
      <c r="DT44" s="55">
        <f>DT11/(1+DT18)</f>
        <v/>
      </c>
      <c r="DU44" s="55">
        <f>DU11/(1+DU18)</f>
        <v/>
      </c>
      <c r="DV44" s="12">
        <f>DV11/(1+DV18)</f>
        <v/>
      </c>
      <c r="DW44" s="55">
        <f>DW11/(1+DW18)</f>
        <v/>
      </c>
      <c r="DX44" s="55">
        <f>DX11/(1+DX18)</f>
        <v/>
      </c>
      <c r="DY44" s="12">
        <f>DY11/(1+DY18)</f>
        <v/>
      </c>
      <c r="DZ44" s="55">
        <f>DZ11/(1+DZ18)</f>
        <v/>
      </c>
      <c r="EA44" s="55">
        <f>EA11/(1+EA18)</f>
        <v/>
      </c>
      <c r="EB44" s="12">
        <f>EB11/(1+EB18)</f>
        <v/>
      </c>
      <c r="EC44" s="55">
        <f>EC11/(1+EC18)</f>
        <v/>
      </c>
      <c r="ED44" s="55">
        <f>ED11/(1+ED18)</f>
        <v/>
      </c>
      <c r="EE44" s="12">
        <f>EE11/(1+EE18)</f>
        <v/>
      </c>
      <c r="EF44" s="55">
        <f>EF11/(1+EF18)</f>
        <v/>
      </c>
      <c r="EG44" s="55">
        <f>EG11/(1+EG18)</f>
        <v/>
      </c>
      <c r="EH44" s="12">
        <f>EH11/(1+EH18)</f>
        <v/>
      </c>
      <c r="EI44" s="55">
        <f>EI11/(1+EI18)</f>
        <v/>
      </c>
      <c r="EJ44" s="55">
        <f>EJ11/(1+EJ18)</f>
        <v/>
      </c>
    </row>
    <row r="45">
      <c r="A45" s="11" t="inlineStr">
        <is>
          <t>Total Helper lipid (nmol)</t>
        </is>
      </c>
      <c r="B45" s="12" t="inlineStr">
        <is>
          <t>nmol</t>
        </is>
      </c>
      <c r="C45" s="75">
        <f>C36*C44/100</f>
        <v/>
      </c>
      <c r="D45" s="55">
        <f>D36*D44/100</f>
        <v/>
      </c>
      <c r="E45" s="13">
        <f>E36*E44/100</f>
        <v/>
      </c>
      <c r="F45" s="12">
        <f>F36*F44/100</f>
        <v/>
      </c>
      <c r="G45" s="55">
        <f>G36*G44/100</f>
        <v/>
      </c>
      <c r="H45" s="55">
        <f>H36*H44/100</f>
        <v/>
      </c>
      <c r="I45" s="12">
        <f>I36*I44/100</f>
        <v/>
      </c>
      <c r="J45" s="55">
        <f>J36*J44/100</f>
        <v/>
      </c>
      <c r="K45" s="55">
        <f>K36*K44/100</f>
        <v/>
      </c>
      <c r="L45" s="12">
        <f>L36*L44/100</f>
        <v/>
      </c>
      <c r="M45" s="55">
        <f>M36*M44/100</f>
        <v/>
      </c>
      <c r="N45" s="55">
        <f>N36*N44/100</f>
        <v/>
      </c>
      <c r="O45" s="12">
        <f>O36*O44/100</f>
        <v/>
      </c>
      <c r="P45" s="55">
        <f>P36*P44/100</f>
        <v/>
      </c>
      <c r="Q45" s="55">
        <f>Q36*Q44/100</f>
        <v/>
      </c>
      <c r="R45" s="12">
        <f>R36*R44/100</f>
        <v/>
      </c>
      <c r="S45" s="55">
        <f>S36*S44/100</f>
        <v/>
      </c>
      <c r="T45" s="55">
        <f>T36*T44/100</f>
        <v/>
      </c>
      <c r="U45" s="12">
        <f>U36*U44/100</f>
        <v/>
      </c>
      <c r="V45" s="55">
        <f>V36*V44/100</f>
        <v/>
      </c>
      <c r="W45" s="55">
        <f>W36*W44/100</f>
        <v/>
      </c>
      <c r="X45" s="12">
        <f>X36*X44/100</f>
        <v/>
      </c>
      <c r="Y45" s="55">
        <f>Y36*Y44/100</f>
        <v/>
      </c>
      <c r="Z45" s="55">
        <f>Z36*Z44/100</f>
        <v/>
      </c>
      <c r="AA45" s="55">
        <f>AA36*AA44/100</f>
        <v/>
      </c>
      <c r="AB45" s="12">
        <f>AB36*AB44/100</f>
        <v/>
      </c>
      <c r="AC45" s="55">
        <f>AC36*AC44/100</f>
        <v/>
      </c>
      <c r="AD45" s="55">
        <f>AD36*AD44/100</f>
        <v/>
      </c>
      <c r="AE45" s="12">
        <f>AE36*AE44/100</f>
        <v/>
      </c>
      <c r="AF45" s="55">
        <f>AF36*AF44/100</f>
        <v/>
      </c>
      <c r="AG45" s="55">
        <f>AG36*AG44/100</f>
        <v/>
      </c>
      <c r="AH45" s="12">
        <f>AH36*AH44/100</f>
        <v/>
      </c>
      <c r="AI45" s="55">
        <f>AI36*AI44/100</f>
        <v/>
      </c>
      <c r="AJ45" s="55">
        <f>AJ36*AJ44/100</f>
        <v/>
      </c>
      <c r="AK45" s="12">
        <f>AK36*AK44/100</f>
        <v/>
      </c>
      <c r="AL45" s="55">
        <f>AL36*AL44/100</f>
        <v/>
      </c>
      <c r="AM45" s="55">
        <f>AM36*AM44/100</f>
        <v/>
      </c>
      <c r="AN45" s="12">
        <f>AN36*AN44/100</f>
        <v/>
      </c>
      <c r="AO45" s="55">
        <f>AO36*AO44/100</f>
        <v/>
      </c>
      <c r="AP45" s="55">
        <f>AP36*AP44/100</f>
        <v/>
      </c>
      <c r="AQ45" s="12">
        <f>AQ36*AQ44/100</f>
        <v/>
      </c>
      <c r="AR45" s="55">
        <f>AR36*AR44/100</f>
        <v/>
      </c>
      <c r="AS45" s="55">
        <f>AS36*AS44/100</f>
        <v/>
      </c>
      <c r="AT45" s="55">
        <f>AT36*AT44/100</f>
        <v/>
      </c>
      <c r="AU45" s="12">
        <f>AU36*AU44/100</f>
        <v/>
      </c>
      <c r="AV45" s="55">
        <f>AV36*AV44/100</f>
        <v/>
      </c>
      <c r="AW45" s="55">
        <f>AW36*AW44/100</f>
        <v/>
      </c>
      <c r="AX45" s="12">
        <f>AX36*AX44/100</f>
        <v/>
      </c>
      <c r="AY45" s="55">
        <f>AY36*AY44/100</f>
        <v/>
      </c>
      <c r="AZ45" s="55">
        <f>AZ36*AZ44/100</f>
        <v/>
      </c>
      <c r="BA45" s="12">
        <f>BA36*BA44/100</f>
        <v/>
      </c>
      <c r="BB45" s="55">
        <f>BB36*BB44/100</f>
        <v/>
      </c>
      <c r="BC45" s="55">
        <f>BC36*BC44/100</f>
        <v/>
      </c>
      <c r="BD45" s="12">
        <f>BD36*BD44/100</f>
        <v/>
      </c>
      <c r="BE45" s="55">
        <f>BE36*BE44/100</f>
        <v/>
      </c>
      <c r="BF45" s="55">
        <f>BF36*BF44/100</f>
        <v/>
      </c>
      <c r="BG45" s="12">
        <f>BG36*BG44/100</f>
        <v/>
      </c>
      <c r="BH45" s="55">
        <f>BH36*BH44/100</f>
        <v/>
      </c>
      <c r="BI45" s="55">
        <f>BI36*BI44/100</f>
        <v/>
      </c>
      <c r="BJ45" s="12">
        <f>BJ36*BJ44/100</f>
        <v/>
      </c>
      <c r="BK45" s="55">
        <f>BK36*BK44/100</f>
        <v/>
      </c>
      <c r="BL45" s="55">
        <f>BL36*BL44/100</f>
        <v/>
      </c>
      <c r="BM45" s="55">
        <f>BM36*BM44/100</f>
        <v/>
      </c>
      <c r="BN45" s="12">
        <f>BN36*BN44/100</f>
        <v/>
      </c>
      <c r="BO45" s="55">
        <f>BO36*BO44/100</f>
        <v/>
      </c>
      <c r="BP45" s="55">
        <f>BP36*BP44/100</f>
        <v/>
      </c>
      <c r="BQ45" s="12">
        <f>BQ36*BQ44/100</f>
        <v/>
      </c>
      <c r="BR45" s="55">
        <f>BR36*BR44/100</f>
        <v/>
      </c>
      <c r="BS45" s="55">
        <f>BS36*BS44/100</f>
        <v/>
      </c>
      <c r="BT45" s="12">
        <f>BT36*BT44/100</f>
        <v/>
      </c>
      <c r="BU45" s="55">
        <f>BU36*BU44/100</f>
        <v/>
      </c>
      <c r="BV45" s="55">
        <f>BV36*BV44/100</f>
        <v/>
      </c>
      <c r="BW45" s="12">
        <f>BW36*BW44/100</f>
        <v/>
      </c>
      <c r="BX45" s="55">
        <f>BX36*BX44/100</f>
        <v/>
      </c>
      <c r="BY45" s="55">
        <f>BY36*BY44/100</f>
        <v/>
      </c>
      <c r="BZ45" s="12">
        <f>BZ36*BZ44/100</f>
        <v/>
      </c>
      <c r="CA45" s="55">
        <f>CA36*CA44/100</f>
        <v/>
      </c>
      <c r="CB45" s="55">
        <f>CB36*CB44/100</f>
        <v/>
      </c>
      <c r="CC45" s="12">
        <f>CC36*CC44/100</f>
        <v/>
      </c>
      <c r="CD45" s="55">
        <f>CD36*CD44/100</f>
        <v/>
      </c>
      <c r="CE45" s="55">
        <f>CE36*CE44/100</f>
        <v/>
      </c>
      <c r="CF45" s="55">
        <f>CF36*CF44/100</f>
        <v/>
      </c>
      <c r="CG45" s="12">
        <f>CG36*CG44/100</f>
        <v/>
      </c>
      <c r="CH45" s="55">
        <f>CH36*CH44/100</f>
        <v/>
      </c>
      <c r="CI45" s="55">
        <f>CI36*CI44/100</f>
        <v/>
      </c>
      <c r="CJ45" s="12">
        <f>CJ36*CJ44/100</f>
        <v/>
      </c>
      <c r="CK45" s="55">
        <f>CK36*CK44/100</f>
        <v/>
      </c>
      <c r="CL45" s="55">
        <f>CL36*CL44/100</f>
        <v/>
      </c>
      <c r="CM45" s="12">
        <f>CM36*CM44/100</f>
        <v/>
      </c>
      <c r="CN45" s="55">
        <f>CN36*CN44/100</f>
        <v/>
      </c>
      <c r="CO45" s="55">
        <f>CO36*CO44/100</f>
        <v/>
      </c>
      <c r="CP45" s="12">
        <f>CP36*CP44/100</f>
        <v/>
      </c>
      <c r="CQ45" s="55">
        <f>CQ36*CQ44/100</f>
        <v/>
      </c>
      <c r="CR45" s="55">
        <f>CR36*CR44/100</f>
        <v/>
      </c>
      <c r="CS45" s="12">
        <f>CS36*CS44/100</f>
        <v/>
      </c>
      <c r="CT45" s="55">
        <f>CT36*CT44/100</f>
        <v/>
      </c>
      <c r="CU45" s="55">
        <f>CU36*CU44/100</f>
        <v/>
      </c>
      <c r="CV45" s="12">
        <f>CV36*CV44/100</f>
        <v/>
      </c>
      <c r="CW45" s="55">
        <f>CW36*CW44/100</f>
        <v/>
      </c>
      <c r="CX45" s="55">
        <f>CX36*CX44/100</f>
        <v/>
      </c>
      <c r="CY45" s="55">
        <f>CY36*CY44/100</f>
        <v/>
      </c>
      <c r="CZ45" s="12">
        <f>CZ36*CZ44/100</f>
        <v/>
      </c>
      <c r="DA45" s="55">
        <f>DA36*DA44/100</f>
        <v/>
      </c>
      <c r="DB45" s="55">
        <f>DB36*DB44/100</f>
        <v/>
      </c>
      <c r="DC45" s="12">
        <f>DC36*DC44/100</f>
        <v/>
      </c>
      <c r="DD45" s="55">
        <f>DD36*DD44/100</f>
        <v/>
      </c>
      <c r="DE45" s="55">
        <f>DE36*DE44/100</f>
        <v/>
      </c>
      <c r="DF45" s="12">
        <f>DF36*DF44/100</f>
        <v/>
      </c>
      <c r="DG45" s="55">
        <f>DG36*DG44/100</f>
        <v/>
      </c>
      <c r="DH45" s="55">
        <f>DH36*DH44/100</f>
        <v/>
      </c>
      <c r="DI45" s="12">
        <f>DI36*DI44/100</f>
        <v/>
      </c>
      <c r="DJ45" s="55">
        <f>DJ36*DJ44/100</f>
        <v/>
      </c>
      <c r="DK45" s="55">
        <f>DK36*DK44/100</f>
        <v/>
      </c>
      <c r="DL45" s="12">
        <f>DL36*DL44/100</f>
        <v/>
      </c>
      <c r="DM45" s="55">
        <f>DM36*DM44/100</f>
        <v/>
      </c>
      <c r="DN45" s="55">
        <f>DN36*DN44/100</f>
        <v/>
      </c>
      <c r="DO45" s="12">
        <f>DO36*DO44/100</f>
        <v/>
      </c>
      <c r="DP45" s="55">
        <f>DP36*DP44/100</f>
        <v/>
      </c>
      <c r="DQ45" s="55">
        <f>DQ36*DQ44/100</f>
        <v/>
      </c>
      <c r="DR45" s="55">
        <f>DR36*DR44/100</f>
        <v/>
      </c>
      <c r="DS45" s="12">
        <f>DS36*DS44/100</f>
        <v/>
      </c>
      <c r="DT45" s="55">
        <f>DT36*DT44/100</f>
        <v/>
      </c>
      <c r="DU45" s="55">
        <f>DU36*DU44/100</f>
        <v/>
      </c>
      <c r="DV45" s="12">
        <f>DV36*DV44/100</f>
        <v/>
      </c>
      <c r="DW45" s="55">
        <f>DW36*DW44/100</f>
        <v/>
      </c>
      <c r="DX45" s="55">
        <f>DX36*DX44/100</f>
        <v/>
      </c>
      <c r="DY45" s="12">
        <f>DY36*DY44/100</f>
        <v/>
      </c>
      <c r="DZ45" s="55">
        <f>DZ36*DZ44/100</f>
        <v/>
      </c>
      <c r="EA45" s="55">
        <f>EA36*EA44/100</f>
        <v/>
      </c>
      <c r="EB45" s="12">
        <f>EB36*EB44/100</f>
        <v/>
      </c>
      <c r="EC45" s="55">
        <f>EC36*EC44/100</f>
        <v/>
      </c>
      <c r="ED45" s="55">
        <f>ED36*ED44/100</f>
        <v/>
      </c>
      <c r="EE45" s="12">
        <f>EE36*EE44/100</f>
        <v/>
      </c>
      <c r="EF45" s="55">
        <f>EF36*EF44/100</f>
        <v/>
      </c>
      <c r="EG45" s="55">
        <f>EG36*EG44/100</f>
        <v/>
      </c>
      <c r="EH45" s="12">
        <f>EH36*EH44/100</f>
        <v/>
      </c>
      <c r="EI45" s="55">
        <f>EI36*EI44/100</f>
        <v/>
      </c>
      <c r="EJ45" s="55">
        <f>EJ36*EJ44/100</f>
        <v/>
      </c>
    </row>
    <row r="46">
      <c r="G46" s="55" t="n"/>
      <c r="H46" s="55" t="n"/>
      <c r="J46" s="55" t="n"/>
      <c r="K46" s="55" t="n"/>
      <c r="M46" s="55" t="n"/>
      <c r="N46" s="55" t="n"/>
      <c r="P46" s="55" t="n"/>
      <c r="Q46" s="55" t="n"/>
      <c r="S46" s="55" t="n"/>
      <c r="T46" s="55" t="n"/>
      <c r="V46" s="55" t="n"/>
      <c r="W46" s="55" t="n"/>
      <c r="Y46" s="55" t="n"/>
      <c r="Z46" s="55" t="n"/>
      <c r="AA46" s="55" t="n"/>
      <c r="AC46" s="55" t="n"/>
      <c r="AD46" s="55" t="n"/>
      <c r="AF46" s="55" t="n"/>
      <c r="AG46" s="55" t="n"/>
      <c r="AI46" s="55" t="n"/>
      <c r="AJ46" s="55" t="n"/>
      <c r="AL46" s="55" t="n"/>
      <c r="AM46" s="55" t="n"/>
      <c r="AO46" s="55" t="n"/>
      <c r="AP46" s="55" t="n"/>
      <c r="AR46" s="55" t="n"/>
      <c r="AS46" s="55" t="n"/>
      <c r="AT46" s="55" t="n"/>
      <c r="AV46" s="55" t="n"/>
      <c r="AW46" s="55" t="n"/>
      <c r="AY46" s="55" t="n"/>
      <c r="AZ46" s="55" t="n"/>
      <c r="BB46" s="55" t="n"/>
      <c r="BC46" s="55" t="n"/>
      <c r="BE46" s="55" t="n"/>
      <c r="BF46" s="55" t="n"/>
      <c r="BH46" s="55" t="n"/>
      <c r="BI46" s="55" t="n"/>
      <c r="BK46" s="55" t="n"/>
      <c r="BL46" s="55" t="n"/>
      <c r="BM46" s="55" t="n"/>
      <c r="BO46" s="55" t="n"/>
      <c r="BP46" s="55" t="n"/>
      <c r="BR46" s="55" t="n"/>
      <c r="BS46" s="55" t="n"/>
      <c r="BU46" s="55" t="n"/>
      <c r="BV46" s="55" t="n"/>
      <c r="BX46" s="55" t="n"/>
      <c r="BY46" s="55" t="n"/>
      <c r="CA46" s="55" t="n"/>
      <c r="CB46" s="55" t="n"/>
      <c r="CD46" s="55" t="n"/>
      <c r="CE46" s="55" t="n"/>
      <c r="CF46" s="55" t="n"/>
      <c r="CH46" s="55" t="n"/>
      <c r="CI46" s="55" t="n"/>
      <c r="CK46" s="55" t="n"/>
      <c r="CL46" s="55" t="n"/>
      <c r="CN46" s="55" t="n"/>
      <c r="CO46" s="55" t="n"/>
      <c r="CQ46" s="55" t="n"/>
      <c r="CR46" s="55" t="n"/>
      <c r="CT46" s="55" t="n"/>
      <c r="CU46" s="55" t="n"/>
      <c r="CW46" s="55" t="n"/>
      <c r="CX46" s="55" t="n"/>
      <c r="CY46" s="55" t="n"/>
      <c r="DA46" s="55" t="n"/>
      <c r="DB46" s="55" t="n"/>
      <c r="DD46" s="55" t="n"/>
      <c r="DE46" s="55" t="n"/>
      <c r="DG46" s="55" t="n"/>
      <c r="DH46" s="55" t="n"/>
      <c r="DJ46" s="55" t="n"/>
      <c r="DK46" s="55" t="n"/>
      <c r="DM46" s="55" t="n"/>
      <c r="DN46" s="55" t="n"/>
      <c r="DP46" s="55" t="n"/>
      <c r="DQ46" s="55" t="n"/>
      <c r="DR46" s="55" t="n"/>
      <c r="DT46" s="55" t="n"/>
      <c r="DU46" s="55" t="n"/>
      <c r="DW46" s="55" t="n"/>
      <c r="DX46" s="55" t="n"/>
      <c r="DZ46" s="55" t="n"/>
      <c r="EA46" s="55" t="n"/>
      <c r="EC46" s="55" t="n"/>
      <c r="ED46" s="55" t="n"/>
      <c r="EF46" s="55" t="n"/>
      <c r="EG46" s="55" t="n"/>
      <c r="EI46" s="55" t="n"/>
      <c r="EJ46" s="55" t="n"/>
    </row>
    <row r="47">
      <c r="A47" s="11" t="inlineStr">
        <is>
          <t>Cholesterol Percent (Molar)</t>
        </is>
      </c>
      <c r="B47" s="12" t="inlineStr">
        <is>
          <t>mol %</t>
        </is>
      </c>
      <c r="C47" s="75">
        <f>(100-C11)*C19/(C19+1)</f>
        <v/>
      </c>
      <c r="D47" s="55">
        <f>(100-D11)*D19/(D19+1)</f>
        <v/>
      </c>
      <c r="E47" s="13">
        <f>(100-E11)*E19/(E19+1)</f>
        <v/>
      </c>
      <c r="F47" s="12">
        <f>(100-F11)*F19/(F19+1)</f>
        <v/>
      </c>
      <c r="G47" s="55">
        <f>(100-G11)*G19/(G19+1)</f>
        <v/>
      </c>
      <c r="H47" s="55">
        <f>(100-H11)*H19/(H19+1)</f>
        <v/>
      </c>
      <c r="I47" s="12">
        <f>(100-I11)*I19/(I19+1)</f>
        <v/>
      </c>
      <c r="J47" s="55">
        <f>(100-J11)*J19/(J19+1)</f>
        <v/>
      </c>
      <c r="K47" s="55">
        <f>(100-K11)*K19/(K19+1)</f>
        <v/>
      </c>
      <c r="L47" s="12">
        <f>(100-L11)*L19/(L19+1)</f>
        <v/>
      </c>
      <c r="M47" s="55">
        <f>(100-M11)*M19/(M19+1)</f>
        <v/>
      </c>
      <c r="N47" s="55">
        <f>(100-N11)*N19/(N19+1)</f>
        <v/>
      </c>
      <c r="O47" s="12">
        <f>(100-O11)*O19/(O19+1)</f>
        <v/>
      </c>
      <c r="P47" s="55">
        <f>(100-P11)*P19/(P19+1)</f>
        <v/>
      </c>
      <c r="Q47" s="55">
        <f>(100-Q11)*Q19/(Q19+1)</f>
        <v/>
      </c>
      <c r="R47" s="12">
        <f>(100-R11)*R19/(R19+1)</f>
        <v/>
      </c>
      <c r="S47" s="55">
        <f>(100-S11)*S19/(S19+1)</f>
        <v/>
      </c>
      <c r="T47" s="55">
        <f>(100-T11)*T19/(T19+1)</f>
        <v/>
      </c>
      <c r="U47" s="12">
        <f>(100-U11)*U19/(U19+1)</f>
        <v/>
      </c>
      <c r="V47" s="55">
        <f>(100-V11)*V19/(V19+1)</f>
        <v/>
      </c>
      <c r="W47" s="55">
        <f>(100-W11)*W19/(W19+1)</f>
        <v/>
      </c>
      <c r="X47" s="12">
        <f>(100-X11)*X19/(X19+1)</f>
        <v/>
      </c>
      <c r="Y47" s="55">
        <f>(100-Y11)*Y19/(Y19+1)</f>
        <v/>
      </c>
      <c r="Z47" s="55">
        <f>(100-Z11)*Z19/(Z19+1)</f>
        <v/>
      </c>
      <c r="AA47" s="55">
        <f>(100-AA11)*AA19/(AA19+1)</f>
        <v/>
      </c>
      <c r="AB47" s="12">
        <f>(100-AB11)*AB19/(AB19+1)</f>
        <v/>
      </c>
      <c r="AC47" s="55">
        <f>(100-AC11)*AC19/(AC19+1)</f>
        <v/>
      </c>
      <c r="AD47" s="55">
        <f>(100-AD11)*AD19/(AD19+1)</f>
        <v/>
      </c>
      <c r="AE47" s="12">
        <f>(100-AE11)*AE19/(AE19+1)</f>
        <v/>
      </c>
      <c r="AF47" s="55">
        <f>(100-AF11)*AF19/(AF19+1)</f>
        <v/>
      </c>
      <c r="AG47" s="55">
        <f>(100-AG11)*AG19/(AG19+1)</f>
        <v/>
      </c>
      <c r="AH47" s="12">
        <f>(100-AH11)*AH19/(AH19+1)</f>
        <v/>
      </c>
      <c r="AI47" s="55">
        <f>(100-AI11)*AI19/(AI19+1)</f>
        <v/>
      </c>
      <c r="AJ47" s="55">
        <f>(100-AJ11)*AJ19/(AJ19+1)</f>
        <v/>
      </c>
      <c r="AK47" s="12">
        <f>(100-AK11)*AK19/(AK19+1)</f>
        <v/>
      </c>
      <c r="AL47" s="55">
        <f>(100-AL11)*AL19/(AL19+1)</f>
        <v/>
      </c>
      <c r="AM47" s="55">
        <f>(100-AM11)*AM19/(AM19+1)</f>
        <v/>
      </c>
      <c r="AN47" s="12">
        <f>(100-AN11)*AN19/(AN19+1)</f>
        <v/>
      </c>
      <c r="AO47" s="55">
        <f>(100-AO11)*AO19/(AO19+1)</f>
        <v/>
      </c>
      <c r="AP47" s="55">
        <f>(100-AP11)*AP19/(AP19+1)</f>
        <v/>
      </c>
      <c r="AQ47" s="12">
        <f>(100-AQ11)*AQ19/(AQ19+1)</f>
        <v/>
      </c>
      <c r="AR47" s="55">
        <f>(100-AR11)*AR19/(AR19+1)</f>
        <v/>
      </c>
      <c r="AS47" s="55">
        <f>(100-AS11)*AS19/(AS19+1)</f>
        <v/>
      </c>
      <c r="AT47" s="55">
        <f>(100-AT11)*AT19/(AT19+1)</f>
        <v/>
      </c>
      <c r="AU47" s="12">
        <f>(100-AU11)*AU19/(AU19+1)</f>
        <v/>
      </c>
      <c r="AV47" s="55">
        <f>(100-AV11)*AV19/(AV19+1)</f>
        <v/>
      </c>
      <c r="AW47" s="55">
        <f>(100-AW11)*AW19/(AW19+1)</f>
        <v/>
      </c>
      <c r="AX47" s="12">
        <f>(100-AX11)*AX19/(AX19+1)</f>
        <v/>
      </c>
      <c r="AY47" s="55">
        <f>(100-AY11)*AY19/(AY19+1)</f>
        <v/>
      </c>
      <c r="AZ47" s="55">
        <f>(100-AZ11)*AZ19/(AZ19+1)</f>
        <v/>
      </c>
      <c r="BA47" s="12">
        <f>(100-BA11)*BA19/(BA19+1)</f>
        <v/>
      </c>
      <c r="BB47" s="55">
        <f>(100-BB11)*BB19/(BB19+1)</f>
        <v/>
      </c>
      <c r="BC47" s="55">
        <f>(100-BC11)*BC19/(BC19+1)</f>
        <v/>
      </c>
      <c r="BD47" s="12">
        <f>(100-BD11)*BD19/(BD19+1)</f>
        <v/>
      </c>
      <c r="BE47" s="55">
        <f>(100-BE11)*BE19/(BE19+1)</f>
        <v/>
      </c>
      <c r="BF47" s="55">
        <f>(100-BF11)*BF19/(BF19+1)</f>
        <v/>
      </c>
      <c r="BG47" s="12">
        <f>(100-BG11)*BG19/(BG19+1)</f>
        <v/>
      </c>
      <c r="BH47" s="55">
        <f>(100-BH11)*BH19/(BH19+1)</f>
        <v/>
      </c>
      <c r="BI47" s="55">
        <f>(100-BI11)*BI19/(BI19+1)</f>
        <v/>
      </c>
      <c r="BJ47" s="12">
        <f>(100-BJ11)*BJ19/(BJ19+1)</f>
        <v/>
      </c>
      <c r="BK47" s="55">
        <f>(100-BK11)*BK19/(BK19+1)</f>
        <v/>
      </c>
      <c r="BL47" s="55">
        <f>(100-BL11)*BL19/(BL19+1)</f>
        <v/>
      </c>
      <c r="BM47" s="55">
        <f>(100-BM11)*BM19/(BM19+1)</f>
        <v/>
      </c>
      <c r="BN47" s="12">
        <f>(100-BN11)*BN19/(BN19+1)</f>
        <v/>
      </c>
      <c r="BO47" s="55">
        <f>(100-BO11)*BO19/(BO19+1)</f>
        <v/>
      </c>
      <c r="BP47" s="55">
        <f>(100-BP11)*BP19/(BP19+1)</f>
        <v/>
      </c>
      <c r="BQ47" s="12">
        <f>(100-BQ11)*BQ19/(BQ19+1)</f>
        <v/>
      </c>
      <c r="BR47" s="55">
        <f>(100-BR11)*BR19/(BR19+1)</f>
        <v/>
      </c>
      <c r="BS47" s="55">
        <f>(100-BS11)*BS19/(BS19+1)</f>
        <v/>
      </c>
      <c r="BT47" s="12">
        <f>(100-BT11)*BT19/(BT19+1)</f>
        <v/>
      </c>
      <c r="BU47" s="55">
        <f>(100-BU11)*BU19/(BU19+1)</f>
        <v/>
      </c>
      <c r="BV47" s="55">
        <f>(100-BV11)*BV19/(BV19+1)</f>
        <v/>
      </c>
      <c r="BW47" s="12">
        <f>(100-BW11)*BW19/(BW19+1)</f>
        <v/>
      </c>
      <c r="BX47" s="55">
        <f>(100-BX11)*BX19/(BX19+1)</f>
        <v/>
      </c>
      <c r="BY47" s="55">
        <f>(100-BY11)*BY19/(BY19+1)</f>
        <v/>
      </c>
      <c r="BZ47" s="12">
        <f>(100-BZ11)*BZ19/(BZ19+1)</f>
        <v/>
      </c>
      <c r="CA47" s="55">
        <f>(100-CA11)*CA19/(CA19+1)</f>
        <v/>
      </c>
      <c r="CB47" s="55">
        <f>(100-CB11)*CB19/(CB19+1)</f>
        <v/>
      </c>
      <c r="CC47" s="12">
        <f>(100-CC11)*CC19/(CC19+1)</f>
        <v/>
      </c>
      <c r="CD47" s="55">
        <f>(100-CD11)*CD19/(CD19+1)</f>
        <v/>
      </c>
      <c r="CE47" s="55">
        <f>(100-CE11)*CE19/(CE19+1)</f>
        <v/>
      </c>
      <c r="CF47" s="55">
        <f>(100-CF11)*CF19/(CF19+1)</f>
        <v/>
      </c>
      <c r="CG47" s="12">
        <f>(100-CG11)*CG19/(CG19+1)</f>
        <v/>
      </c>
      <c r="CH47" s="55">
        <f>(100-CH11)*CH19/(CH19+1)</f>
        <v/>
      </c>
      <c r="CI47" s="55">
        <f>(100-CI11)*CI19/(CI19+1)</f>
        <v/>
      </c>
      <c r="CJ47" s="12">
        <f>(100-CJ11)*CJ19/(CJ19+1)</f>
        <v/>
      </c>
      <c r="CK47" s="55">
        <f>(100-CK11)*CK19/(CK19+1)</f>
        <v/>
      </c>
      <c r="CL47" s="55">
        <f>(100-CL11)*CL19/(CL19+1)</f>
        <v/>
      </c>
      <c r="CM47" s="12">
        <f>(100-CM11)*CM19/(CM19+1)</f>
        <v/>
      </c>
      <c r="CN47" s="55">
        <f>(100-CN11)*CN19/(CN19+1)</f>
        <v/>
      </c>
      <c r="CO47" s="55">
        <f>(100-CO11)*CO19/(CO19+1)</f>
        <v/>
      </c>
      <c r="CP47" s="12">
        <f>(100-CP11)*CP19/(CP19+1)</f>
        <v/>
      </c>
      <c r="CQ47" s="55">
        <f>(100-CQ11)*CQ19/(CQ19+1)</f>
        <v/>
      </c>
      <c r="CR47" s="55">
        <f>(100-CR11)*CR19/(CR19+1)</f>
        <v/>
      </c>
      <c r="CS47" s="12">
        <f>(100-CS11)*CS19/(CS19+1)</f>
        <v/>
      </c>
      <c r="CT47" s="55">
        <f>(100-CT11)*CT19/(CT19+1)</f>
        <v/>
      </c>
      <c r="CU47" s="55">
        <f>(100-CU11)*CU19/(CU19+1)</f>
        <v/>
      </c>
      <c r="CV47" s="12">
        <f>(100-CV11)*CV19/(CV19+1)</f>
        <v/>
      </c>
      <c r="CW47" s="55">
        <f>(100-CW11)*CW19/(CW19+1)</f>
        <v/>
      </c>
      <c r="CX47" s="55">
        <f>(100-CX11)*CX19/(CX19+1)</f>
        <v/>
      </c>
      <c r="CY47" s="55">
        <f>(100-CY11)*CY19/(CY19+1)</f>
        <v/>
      </c>
      <c r="CZ47" s="12">
        <f>(100-CZ11)*CZ19/(CZ19+1)</f>
        <v/>
      </c>
      <c r="DA47" s="55">
        <f>(100-DA11)*DA19/(DA19+1)</f>
        <v/>
      </c>
      <c r="DB47" s="55">
        <f>(100-DB11)*DB19/(DB19+1)</f>
        <v/>
      </c>
      <c r="DC47" s="12">
        <f>(100-DC11)*DC19/(DC19+1)</f>
        <v/>
      </c>
      <c r="DD47" s="55">
        <f>(100-DD11)*DD19/(DD19+1)</f>
        <v/>
      </c>
      <c r="DE47" s="55">
        <f>(100-DE11)*DE19/(DE19+1)</f>
        <v/>
      </c>
      <c r="DF47" s="12">
        <f>(100-DF11)*DF19/(DF19+1)</f>
        <v/>
      </c>
      <c r="DG47" s="55">
        <f>(100-DG11)*DG19/(DG19+1)</f>
        <v/>
      </c>
      <c r="DH47" s="55">
        <f>(100-DH11)*DH19/(DH19+1)</f>
        <v/>
      </c>
      <c r="DI47" s="12">
        <f>(100-DI11)*DI19/(DI19+1)</f>
        <v/>
      </c>
      <c r="DJ47" s="55">
        <f>(100-DJ11)*DJ19/(DJ19+1)</f>
        <v/>
      </c>
      <c r="DK47" s="55">
        <f>(100-DK11)*DK19/(DK19+1)</f>
        <v/>
      </c>
      <c r="DL47" s="12">
        <f>(100-DL11)*DL19/(DL19+1)</f>
        <v/>
      </c>
      <c r="DM47" s="55">
        <f>(100-DM11)*DM19/(DM19+1)</f>
        <v/>
      </c>
      <c r="DN47" s="55">
        <f>(100-DN11)*DN19/(DN19+1)</f>
        <v/>
      </c>
      <c r="DO47" s="12">
        <f>(100-DO11)*DO19/(DO19+1)</f>
        <v/>
      </c>
      <c r="DP47" s="55">
        <f>(100-DP11)*DP19/(DP19+1)</f>
        <v/>
      </c>
      <c r="DQ47" s="55">
        <f>(100-DQ11)*DQ19/(DQ19+1)</f>
        <v/>
      </c>
      <c r="DR47" s="55">
        <f>(100-DR11)*DR19/(DR19+1)</f>
        <v/>
      </c>
      <c r="DS47" s="12">
        <f>(100-DS11)*DS19/(DS19+1)</f>
        <v/>
      </c>
      <c r="DT47" s="55">
        <f>(100-DT11)*DT19/(DT19+1)</f>
        <v/>
      </c>
      <c r="DU47" s="55">
        <f>(100-DU11)*DU19/(DU19+1)</f>
        <v/>
      </c>
      <c r="DV47" s="12">
        <f>(100-DV11)*DV19/(DV19+1)</f>
        <v/>
      </c>
      <c r="DW47" s="55">
        <f>(100-DW11)*DW19/(DW19+1)</f>
        <v/>
      </c>
      <c r="DX47" s="55">
        <f>(100-DX11)*DX19/(DX19+1)</f>
        <v/>
      </c>
      <c r="DY47" s="12">
        <f>(100-DY11)*DY19/(DY19+1)</f>
        <v/>
      </c>
      <c r="DZ47" s="55">
        <f>(100-DZ11)*DZ19/(DZ19+1)</f>
        <v/>
      </c>
      <c r="EA47" s="55">
        <f>(100-EA11)*EA19/(EA19+1)</f>
        <v/>
      </c>
      <c r="EB47" s="12">
        <f>(100-EB11)*EB19/(EB19+1)</f>
        <v/>
      </c>
      <c r="EC47" s="55">
        <f>(100-EC11)*EC19/(EC19+1)</f>
        <v/>
      </c>
      <c r="ED47" s="55">
        <f>(100-ED11)*ED19/(ED19+1)</f>
        <v/>
      </c>
      <c r="EE47" s="12">
        <f>(100-EE11)*EE19/(EE19+1)</f>
        <v/>
      </c>
      <c r="EF47" s="55">
        <f>(100-EF11)*EF19/(EF19+1)</f>
        <v/>
      </c>
      <c r="EG47" s="55">
        <f>(100-EG11)*EG19/(EG19+1)</f>
        <v/>
      </c>
      <c r="EH47" s="12">
        <f>(100-EH11)*EH19/(EH19+1)</f>
        <v/>
      </c>
      <c r="EI47" s="55">
        <f>(100-EI11)*EI19/(EI19+1)</f>
        <v/>
      </c>
      <c r="EJ47" s="55">
        <f>(100-EJ11)*EJ19/(EJ19+1)</f>
        <v/>
      </c>
    </row>
    <row r="48">
      <c r="A48" s="11" t="inlineStr">
        <is>
          <t>Total Cholestrol (mg)</t>
        </is>
      </c>
      <c r="B48" s="12" t="inlineStr">
        <is>
          <t>mg</t>
        </is>
      </c>
      <c r="C48" s="75">
        <f>C36*C47/100*C24/10^6</f>
        <v/>
      </c>
      <c r="D48" s="55">
        <f>D36*D47/100*D24/10^6</f>
        <v/>
      </c>
      <c r="E48" s="13">
        <f>E36*E47/100*E24/10^6</f>
        <v/>
      </c>
      <c r="F48" s="12">
        <f>F36*F47/100*F24/10^6</f>
        <v/>
      </c>
      <c r="G48" s="55">
        <f>G36*G47/100*G24/10^6</f>
        <v/>
      </c>
      <c r="H48" s="55">
        <f>H36*H47/100*H24/10^6</f>
        <v/>
      </c>
      <c r="I48" s="12">
        <f>I36*I47/100*I24/10^6</f>
        <v/>
      </c>
      <c r="J48" s="55">
        <f>J36*J47/100*J24/10^6</f>
        <v/>
      </c>
      <c r="K48" s="55">
        <f>K36*K47/100*K24/10^6</f>
        <v/>
      </c>
      <c r="L48" s="12">
        <f>L36*L47/100*L24/10^6</f>
        <v/>
      </c>
      <c r="M48" s="55">
        <f>M36*M47/100*M24/10^6</f>
        <v/>
      </c>
      <c r="N48" s="55">
        <f>N36*N47/100*N24/10^6</f>
        <v/>
      </c>
      <c r="O48" s="12">
        <f>O36*O47/100*O24/10^6</f>
        <v/>
      </c>
      <c r="P48" s="55">
        <f>P36*P47/100*P24/10^6</f>
        <v/>
      </c>
      <c r="Q48" s="55">
        <f>Q36*Q47/100*Q24/10^6</f>
        <v/>
      </c>
      <c r="R48" s="12">
        <f>R36*R47/100*R24/10^6</f>
        <v/>
      </c>
      <c r="S48" s="55">
        <f>S36*S47/100*S24/10^6</f>
        <v/>
      </c>
      <c r="T48" s="55">
        <f>T36*T47/100*T24/10^6</f>
        <v/>
      </c>
      <c r="U48" s="12">
        <f>U36*U47/100*U24/10^6</f>
        <v/>
      </c>
      <c r="V48" s="55">
        <f>V36*V47/100*V24/10^6</f>
        <v/>
      </c>
      <c r="W48" s="55">
        <f>W36*W47/100*W24/10^6</f>
        <v/>
      </c>
      <c r="X48" s="12">
        <f>X36*X47/100*X24/10^6</f>
        <v/>
      </c>
      <c r="Y48" s="55">
        <f>Y36*Y47/100*Y24/10^6</f>
        <v/>
      </c>
      <c r="Z48" s="55">
        <f>Z36*Z47/100*Z24/10^6</f>
        <v/>
      </c>
      <c r="AA48" s="55">
        <f>AA36*AA47/100*AA24/10^6</f>
        <v/>
      </c>
      <c r="AB48" s="12">
        <f>AB36*AB47/100*AB24/10^6</f>
        <v/>
      </c>
      <c r="AC48" s="55">
        <f>AC36*AC47/100*AC24/10^6</f>
        <v/>
      </c>
      <c r="AD48" s="55">
        <f>AD36*AD47/100*AD24/10^6</f>
        <v/>
      </c>
      <c r="AE48" s="12">
        <f>AE36*AE47/100*AE24/10^6</f>
        <v/>
      </c>
      <c r="AF48" s="55">
        <f>AF36*AF47/100*AF24/10^6</f>
        <v/>
      </c>
      <c r="AG48" s="55">
        <f>AG36*AG47/100*AG24/10^6</f>
        <v/>
      </c>
      <c r="AH48" s="12">
        <f>AH36*AH47/100*AH24/10^6</f>
        <v/>
      </c>
      <c r="AI48" s="55">
        <f>AI36*AI47/100*AI24/10^6</f>
        <v/>
      </c>
      <c r="AJ48" s="55">
        <f>AJ36*AJ47/100*AJ24/10^6</f>
        <v/>
      </c>
      <c r="AK48" s="12">
        <f>AK36*AK47/100*AK24/10^6</f>
        <v/>
      </c>
      <c r="AL48" s="55">
        <f>AL36*AL47/100*AL24/10^6</f>
        <v/>
      </c>
      <c r="AM48" s="55">
        <f>AM36*AM47/100*AM24/10^6</f>
        <v/>
      </c>
      <c r="AN48" s="12">
        <f>AN36*AN47/100*AN24/10^6</f>
        <v/>
      </c>
      <c r="AO48" s="55">
        <f>AO36*AO47/100*AO24/10^6</f>
        <v/>
      </c>
      <c r="AP48" s="55">
        <f>AP36*AP47/100*AP24/10^6</f>
        <v/>
      </c>
      <c r="AQ48" s="12">
        <f>AQ36*AQ47/100*AQ24/10^6</f>
        <v/>
      </c>
      <c r="AR48" s="55">
        <f>AR36*AR47/100*AR24/10^6</f>
        <v/>
      </c>
      <c r="AS48" s="55">
        <f>AS36*AS47/100*AS24/10^6</f>
        <v/>
      </c>
      <c r="AT48" s="55">
        <f>AT36*AT47/100*AT24/10^6</f>
        <v/>
      </c>
      <c r="AU48" s="12">
        <f>AU36*AU47/100*AU24/10^6</f>
        <v/>
      </c>
      <c r="AV48" s="55">
        <f>AV36*AV47/100*AV24/10^6</f>
        <v/>
      </c>
      <c r="AW48" s="55">
        <f>AW36*AW47/100*AW24/10^6</f>
        <v/>
      </c>
      <c r="AX48" s="12">
        <f>AX36*AX47/100*AX24/10^6</f>
        <v/>
      </c>
      <c r="AY48" s="55">
        <f>AY36*AY47/100*AY24/10^6</f>
        <v/>
      </c>
      <c r="AZ48" s="55">
        <f>AZ36*AZ47/100*AZ24/10^6</f>
        <v/>
      </c>
      <c r="BA48" s="12">
        <f>BA36*BA47/100*BA24/10^6</f>
        <v/>
      </c>
      <c r="BB48" s="55">
        <f>BB36*BB47/100*BB24/10^6</f>
        <v/>
      </c>
      <c r="BC48" s="55">
        <f>BC36*BC47/100*BC24/10^6</f>
        <v/>
      </c>
      <c r="BD48" s="12">
        <f>BD36*BD47/100*BD24/10^6</f>
        <v/>
      </c>
      <c r="BE48" s="55">
        <f>BE36*BE47/100*BE24/10^6</f>
        <v/>
      </c>
      <c r="BF48" s="55">
        <f>BF36*BF47/100*BF24/10^6</f>
        <v/>
      </c>
      <c r="BG48" s="12">
        <f>BG36*BG47/100*BG24/10^6</f>
        <v/>
      </c>
      <c r="BH48" s="55">
        <f>BH36*BH47/100*BH24/10^6</f>
        <v/>
      </c>
      <c r="BI48" s="55">
        <f>BI36*BI47/100*BI24/10^6</f>
        <v/>
      </c>
      <c r="BJ48" s="12">
        <f>BJ36*BJ47/100*BJ24/10^6</f>
        <v/>
      </c>
      <c r="BK48" s="55">
        <f>BK36*BK47/100*BK24/10^6</f>
        <v/>
      </c>
      <c r="BL48" s="55">
        <f>BL36*BL47/100*BL24/10^6</f>
        <v/>
      </c>
      <c r="BM48" s="55">
        <f>BM36*BM47/100*BM24/10^6</f>
        <v/>
      </c>
      <c r="BN48" s="12">
        <f>BN36*BN47/100*BN24/10^6</f>
        <v/>
      </c>
      <c r="BO48" s="55">
        <f>BO36*BO47/100*BO24/10^6</f>
        <v/>
      </c>
      <c r="BP48" s="55">
        <f>BP36*BP47/100*BP24/10^6</f>
        <v/>
      </c>
      <c r="BQ48" s="12">
        <f>BQ36*BQ47/100*BQ24/10^6</f>
        <v/>
      </c>
      <c r="BR48" s="55">
        <f>BR36*BR47/100*BR24/10^6</f>
        <v/>
      </c>
      <c r="BS48" s="55">
        <f>BS36*BS47/100*BS24/10^6</f>
        <v/>
      </c>
      <c r="BT48" s="12">
        <f>BT36*BT47/100*BT24/10^6</f>
        <v/>
      </c>
      <c r="BU48" s="55">
        <f>BU36*BU47/100*BU24/10^6</f>
        <v/>
      </c>
      <c r="BV48" s="55">
        <f>BV36*BV47/100*BV24/10^6</f>
        <v/>
      </c>
      <c r="BW48" s="12">
        <f>BW36*BW47/100*BW24/10^6</f>
        <v/>
      </c>
      <c r="BX48" s="55">
        <f>BX36*BX47/100*BX24/10^6</f>
        <v/>
      </c>
      <c r="BY48" s="55">
        <f>BY36*BY47/100*BY24/10^6</f>
        <v/>
      </c>
      <c r="BZ48" s="12">
        <f>BZ36*BZ47/100*BZ24/10^6</f>
        <v/>
      </c>
      <c r="CA48" s="55">
        <f>CA36*CA47/100*CA24/10^6</f>
        <v/>
      </c>
      <c r="CB48" s="55">
        <f>CB36*CB47/100*CB24/10^6</f>
        <v/>
      </c>
      <c r="CC48" s="12">
        <f>CC36*CC47/100*CC24/10^6</f>
        <v/>
      </c>
      <c r="CD48" s="55">
        <f>CD36*CD47/100*CD24/10^6</f>
        <v/>
      </c>
      <c r="CE48" s="55">
        <f>CE36*CE47/100*CE24/10^6</f>
        <v/>
      </c>
      <c r="CF48" s="55">
        <f>CF36*CF47/100*CF24/10^6</f>
        <v/>
      </c>
      <c r="CG48" s="12">
        <f>CG36*CG47/100*CG24/10^6</f>
        <v/>
      </c>
      <c r="CH48" s="55">
        <f>CH36*CH47/100*CH24/10^6</f>
        <v/>
      </c>
      <c r="CI48" s="55">
        <f>CI36*CI47/100*CI24/10^6</f>
        <v/>
      </c>
      <c r="CJ48" s="12">
        <f>CJ36*CJ47/100*CJ24/10^6</f>
        <v/>
      </c>
      <c r="CK48" s="55">
        <f>CK36*CK47/100*CK24/10^6</f>
        <v/>
      </c>
      <c r="CL48" s="55">
        <f>CL36*CL47/100*CL24/10^6</f>
        <v/>
      </c>
      <c r="CM48" s="12">
        <f>CM36*CM47/100*CM24/10^6</f>
        <v/>
      </c>
      <c r="CN48" s="55">
        <f>CN36*CN47/100*CN24/10^6</f>
        <v/>
      </c>
      <c r="CO48" s="55">
        <f>CO36*CO47/100*CO24/10^6</f>
        <v/>
      </c>
      <c r="CP48" s="12">
        <f>CP36*CP47/100*CP24/10^6</f>
        <v/>
      </c>
      <c r="CQ48" s="55">
        <f>CQ36*CQ47/100*CQ24/10^6</f>
        <v/>
      </c>
      <c r="CR48" s="55">
        <f>CR36*CR47/100*CR24/10^6</f>
        <v/>
      </c>
      <c r="CS48" s="12">
        <f>CS36*CS47/100*CS24/10^6</f>
        <v/>
      </c>
      <c r="CT48" s="55">
        <f>CT36*CT47/100*CT24/10^6</f>
        <v/>
      </c>
      <c r="CU48" s="55">
        <f>CU36*CU47/100*CU24/10^6</f>
        <v/>
      </c>
      <c r="CV48" s="12">
        <f>CV36*CV47/100*CV24/10^6</f>
        <v/>
      </c>
      <c r="CW48" s="55">
        <f>CW36*CW47/100*CW24/10^6</f>
        <v/>
      </c>
      <c r="CX48" s="55">
        <f>CX36*CX47/100*CX24/10^6</f>
        <v/>
      </c>
      <c r="CY48" s="55">
        <f>CY36*CY47/100*CY24/10^6</f>
        <v/>
      </c>
      <c r="CZ48" s="12">
        <f>CZ36*CZ47/100*CZ24/10^6</f>
        <v/>
      </c>
      <c r="DA48" s="55">
        <f>DA36*DA47/100*DA24/10^6</f>
        <v/>
      </c>
      <c r="DB48" s="55">
        <f>DB36*DB47/100*DB24/10^6</f>
        <v/>
      </c>
      <c r="DC48" s="12">
        <f>DC36*DC47/100*DC24/10^6</f>
        <v/>
      </c>
      <c r="DD48" s="55">
        <f>DD36*DD47/100*DD24/10^6</f>
        <v/>
      </c>
      <c r="DE48" s="55">
        <f>DE36*DE47/100*DE24/10^6</f>
        <v/>
      </c>
      <c r="DF48" s="12">
        <f>DF36*DF47/100*DF24/10^6</f>
        <v/>
      </c>
      <c r="DG48" s="55">
        <f>DG36*DG47/100*DG24/10^6</f>
        <v/>
      </c>
      <c r="DH48" s="55">
        <f>DH36*DH47/100*DH24/10^6</f>
        <v/>
      </c>
      <c r="DI48" s="12">
        <f>DI36*DI47/100*DI24/10^6</f>
        <v/>
      </c>
      <c r="DJ48" s="55">
        <f>DJ36*DJ47/100*DJ24/10^6</f>
        <v/>
      </c>
      <c r="DK48" s="55">
        <f>DK36*DK47/100*DK24/10^6</f>
        <v/>
      </c>
      <c r="DL48" s="12">
        <f>DL36*DL47/100*DL24/10^6</f>
        <v/>
      </c>
      <c r="DM48" s="55">
        <f>DM36*DM47/100*DM24/10^6</f>
        <v/>
      </c>
      <c r="DN48" s="55">
        <f>DN36*DN47/100*DN24/10^6</f>
        <v/>
      </c>
      <c r="DO48" s="12">
        <f>DO36*DO47/100*DO24/10^6</f>
        <v/>
      </c>
      <c r="DP48" s="55">
        <f>DP36*DP47/100*DP24/10^6</f>
        <v/>
      </c>
      <c r="DQ48" s="55">
        <f>DQ36*DQ47/100*DQ24/10^6</f>
        <v/>
      </c>
      <c r="DR48" s="55">
        <f>DR36*DR47/100*DR24/10^6</f>
        <v/>
      </c>
      <c r="DS48" s="12">
        <f>DS36*DS47/100*DS24/10^6</f>
        <v/>
      </c>
      <c r="DT48" s="55">
        <f>DT36*DT47/100*DT24/10^6</f>
        <v/>
      </c>
      <c r="DU48" s="55">
        <f>DU36*DU47/100*DU24/10^6</f>
        <v/>
      </c>
      <c r="DV48" s="12">
        <f>DV36*DV47/100*DV24/10^6</f>
        <v/>
      </c>
      <c r="DW48" s="55">
        <f>DW36*DW47/100*DW24/10^6</f>
        <v/>
      </c>
      <c r="DX48" s="55">
        <f>DX36*DX47/100*DX24/10^6</f>
        <v/>
      </c>
      <c r="DY48" s="12">
        <f>DY36*DY47/100*DY24/10^6</f>
        <v/>
      </c>
      <c r="DZ48" s="55">
        <f>DZ36*DZ47/100*DZ24/10^6</f>
        <v/>
      </c>
      <c r="EA48" s="55">
        <f>EA36*EA47/100*EA24/10^6</f>
        <v/>
      </c>
      <c r="EB48" s="12">
        <f>EB36*EB47/100*EB24/10^6</f>
        <v/>
      </c>
      <c r="EC48" s="55">
        <f>EC36*EC47/100*EC24/10^6</f>
        <v/>
      </c>
      <c r="ED48" s="55">
        <f>ED36*ED47/100*ED24/10^6</f>
        <v/>
      </c>
      <c r="EE48" s="12">
        <f>EE36*EE47/100*EE24/10^6</f>
        <v/>
      </c>
      <c r="EF48" s="55">
        <f>EF36*EF47/100*EF24/10^6</f>
        <v/>
      </c>
      <c r="EG48" s="55">
        <f>EG36*EG47/100*EG24/10^6</f>
        <v/>
      </c>
      <c r="EH48" s="12">
        <f>EH36*EH47/100*EH24/10^6</f>
        <v/>
      </c>
      <c r="EI48" s="55">
        <f>EI36*EI47/100*EI24/10^6</f>
        <v/>
      </c>
      <c r="EJ48" s="55">
        <f>EJ36*EJ47/100*EJ24/10^6</f>
        <v/>
      </c>
    </row>
    <row r="49">
      <c r="G49" s="55" t="n"/>
      <c r="H49" s="55" t="n"/>
      <c r="J49" s="55" t="n"/>
      <c r="K49" s="55" t="n"/>
      <c r="M49" s="55" t="n"/>
      <c r="N49" s="55" t="n"/>
      <c r="P49" s="55" t="n"/>
      <c r="Q49" s="55" t="n"/>
      <c r="S49" s="55" t="n"/>
      <c r="T49" s="55" t="n"/>
      <c r="V49" s="55" t="n"/>
      <c r="W49" s="55" t="n"/>
      <c r="Y49" s="55" t="n"/>
      <c r="Z49" s="55" t="n"/>
      <c r="AA49" s="55" t="n"/>
      <c r="AC49" s="55" t="n"/>
      <c r="AD49" s="55" t="n"/>
      <c r="AF49" s="55" t="n"/>
      <c r="AG49" s="55" t="n"/>
      <c r="AI49" s="55" t="n"/>
      <c r="AJ49" s="55" t="n"/>
      <c r="AL49" s="55" t="n"/>
      <c r="AM49" s="55" t="n"/>
      <c r="AO49" s="55" t="n"/>
      <c r="AP49" s="55" t="n"/>
      <c r="AR49" s="55" t="n"/>
      <c r="AS49" s="55" t="n"/>
      <c r="AT49" s="55" t="n"/>
      <c r="AV49" s="55" t="n"/>
      <c r="AW49" s="55" t="n"/>
      <c r="AY49" s="55" t="n"/>
      <c r="AZ49" s="55" t="n"/>
      <c r="BB49" s="55" t="n"/>
      <c r="BC49" s="55" t="n"/>
      <c r="BE49" s="55" t="n"/>
      <c r="BF49" s="55" t="n"/>
      <c r="BH49" s="55" t="n"/>
      <c r="BI49" s="55" t="n"/>
      <c r="BK49" s="55" t="n"/>
      <c r="BL49" s="55" t="n"/>
      <c r="BM49" s="55" t="n"/>
      <c r="BO49" s="55" t="n"/>
      <c r="BP49" s="55" t="n"/>
      <c r="BR49" s="55" t="n"/>
      <c r="BS49" s="55" t="n"/>
      <c r="BU49" s="55" t="n"/>
      <c r="BV49" s="55" t="n"/>
      <c r="BX49" s="55" t="n"/>
      <c r="BY49" s="55" t="n"/>
      <c r="CA49" s="55" t="n"/>
      <c r="CB49" s="55" t="n"/>
      <c r="CD49" s="55" t="n"/>
      <c r="CE49" s="55" t="n"/>
      <c r="CF49" s="55" t="n"/>
      <c r="CH49" s="55" t="n"/>
      <c r="CI49" s="55" t="n"/>
      <c r="CK49" s="55" t="n"/>
      <c r="CL49" s="55" t="n"/>
      <c r="CN49" s="55" t="n"/>
      <c r="CO49" s="55" t="n"/>
      <c r="CQ49" s="55" t="n"/>
      <c r="CR49" s="55" t="n"/>
      <c r="CT49" s="55" t="n"/>
      <c r="CU49" s="55" t="n"/>
      <c r="CW49" s="55" t="n"/>
      <c r="CX49" s="55" t="n"/>
      <c r="CY49" s="55" t="n"/>
      <c r="DA49" s="55" t="n"/>
      <c r="DB49" s="55" t="n"/>
      <c r="DD49" s="55" t="n"/>
      <c r="DE49" s="55" t="n"/>
      <c r="DG49" s="55" t="n"/>
      <c r="DH49" s="55" t="n"/>
      <c r="DJ49" s="55" t="n"/>
      <c r="DK49" s="55" t="n"/>
      <c r="DM49" s="55" t="n"/>
      <c r="DN49" s="55" t="n"/>
      <c r="DP49" s="55" t="n"/>
      <c r="DQ49" s="55" t="n"/>
      <c r="DR49" s="55" t="n"/>
      <c r="DT49" s="55" t="n"/>
      <c r="DU49" s="55" t="n"/>
      <c r="DW49" s="55" t="n"/>
      <c r="DX49" s="55" t="n"/>
      <c r="DZ49" s="55" t="n"/>
      <c r="EA49" s="55" t="n"/>
      <c r="EC49" s="55" t="n"/>
      <c r="ED49" s="55" t="n"/>
      <c r="EF49" s="55" t="n"/>
      <c r="EG49" s="55" t="n"/>
      <c r="EI49" s="55" t="n"/>
      <c r="EJ49" s="55" t="n"/>
    </row>
    <row r="50">
      <c r="A50" s="11" t="inlineStr">
        <is>
          <t>DMG-PEG Percent (molar)</t>
        </is>
      </c>
      <c r="B50" s="12" t="inlineStr">
        <is>
          <t>mol %</t>
        </is>
      </c>
      <c r="C50" s="75">
        <f>(100-C11)/(C19+1)</f>
        <v/>
      </c>
      <c r="D50" s="55">
        <f>(100-D11)/(D19+1)</f>
        <v/>
      </c>
      <c r="E50" s="13">
        <f>(100-E11)/(E19+1)</f>
        <v/>
      </c>
      <c r="F50" s="12">
        <f>(100-F11)/(F19+1)</f>
        <v/>
      </c>
      <c r="G50" s="55">
        <f>(100-G11)/(G19+1)</f>
        <v/>
      </c>
      <c r="H50" s="55">
        <f>(100-H11)/(H19+1)</f>
        <v/>
      </c>
      <c r="I50" s="12">
        <f>(100-I11)/(I19+1)</f>
        <v/>
      </c>
      <c r="J50" s="55">
        <f>(100-J11)/(J19+1)</f>
        <v/>
      </c>
      <c r="K50" s="55">
        <f>(100-K11)/(K19+1)</f>
        <v/>
      </c>
      <c r="L50" s="12">
        <f>(100-L11)/(L19+1)</f>
        <v/>
      </c>
      <c r="M50" s="55">
        <f>(100-M11)/(M19+1)</f>
        <v/>
      </c>
      <c r="N50" s="55">
        <f>(100-N11)/(N19+1)</f>
        <v/>
      </c>
      <c r="O50" s="12">
        <f>(100-O11)/(O19+1)</f>
        <v/>
      </c>
      <c r="P50" s="55">
        <f>(100-P11)/(P19+1)</f>
        <v/>
      </c>
      <c r="Q50" s="55">
        <f>(100-Q11)/(Q19+1)</f>
        <v/>
      </c>
      <c r="R50" s="12">
        <f>(100-R11)/(R19+1)</f>
        <v/>
      </c>
      <c r="S50" s="55">
        <f>(100-S11)/(S19+1)</f>
        <v/>
      </c>
      <c r="T50" s="55">
        <f>(100-T11)/(T19+1)</f>
        <v/>
      </c>
      <c r="U50" s="12">
        <f>(100-U11)/(U19+1)</f>
        <v/>
      </c>
      <c r="V50" s="55">
        <f>(100-V11)/(V19+1)</f>
        <v/>
      </c>
      <c r="W50" s="55">
        <f>(100-W11)/(W19+1)</f>
        <v/>
      </c>
      <c r="X50" s="12">
        <f>(100-X11)/(X19+1)</f>
        <v/>
      </c>
      <c r="Y50" s="55">
        <f>(100-Y11)/(Y19+1)</f>
        <v/>
      </c>
      <c r="Z50" s="55">
        <f>(100-Z11)/(Z19+1)</f>
        <v/>
      </c>
      <c r="AA50" s="55">
        <f>(100-AA11)/(AA19+1)</f>
        <v/>
      </c>
      <c r="AB50" s="12">
        <f>(100-AB11)/(AB19+1)</f>
        <v/>
      </c>
      <c r="AC50" s="55">
        <f>(100-AC11)/(AC19+1)</f>
        <v/>
      </c>
      <c r="AD50" s="55">
        <f>(100-AD11)/(AD19+1)</f>
        <v/>
      </c>
      <c r="AE50" s="12">
        <f>(100-AE11)/(AE19+1)</f>
        <v/>
      </c>
      <c r="AF50" s="55">
        <f>(100-AF11)/(AF19+1)</f>
        <v/>
      </c>
      <c r="AG50" s="55">
        <f>(100-AG11)/(AG19+1)</f>
        <v/>
      </c>
      <c r="AH50" s="12">
        <f>(100-AH11)/(AH19+1)</f>
        <v/>
      </c>
      <c r="AI50" s="55">
        <f>(100-AI11)/(AI19+1)</f>
        <v/>
      </c>
      <c r="AJ50" s="55">
        <f>(100-AJ11)/(AJ19+1)</f>
        <v/>
      </c>
      <c r="AK50" s="12">
        <f>(100-AK11)/(AK19+1)</f>
        <v/>
      </c>
      <c r="AL50" s="55">
        <f>(100-AL11)/(AL19+1)</f>
        <v/>
      </c>
      <c r="AM50" s="55">
        <f>(100-AM11)/(AM19+1)</f>
        <v/>
      </c>
      <c r="AN50" s="12">
        <f>(100-AN11)/(AN19+1)</f>
        <v/>
      </c>
      <c r="AO50" s="55">
        <f>(100-AO11)/(AO19+1)</f>
        <v/>
      </c>
      <c r="AP50" s="55">
        <f>(100-AP11)/(AP19+1)</f>
        <v/>
      </c>
      <c r="AQ50" s="12">
        <f>(100-AQ11)/(AQ19+1)</f>
        <v/>
      </c>
      <c r="AR50" s="55">
        <f>(100-AR11)/(AR19+1)</f>
        <v/>
      </c>
      <c r="AS50" s="55">
        <f>(100-AS11)/(AS19+1)</f>
        <v/>
      </c>
      <c r="AT50" s="55">
        <f>(100-AT11)/(AT19+1)</f>
        <v/>
      </c>
      <c r="AU50" s="12">
        <f>(100-AU11)/(AU19+1)</f>
        <v/>
      </c>
      <c r="AV50" s="55">
        <f>(100-AV11)/(AV19+1)</f>
        <v/>
      </c>
      <c r="AW50" s="55">
        <f>(100-AW11)/(AW19+1)</f>
        <v/>
      </c>
      <c r="AX50" s="12">
        <f>(100-AX11)/(AX19+1)</f>
        <v/>
      </c>
      <c r="AY50" s="55">
        <f>(100-AY11)/(AY19+1)</f>
        <v/>
      </c>
      <c r="AZ50" s="55">
        <f>(100-AZ11)/(AZ19+1)</f>
        <v/>
      </c>
      <c r="BA50" s="12">
        <f>(100-BA11)/(BA19+1)</f>
        <v/>
      </c>
      <c r="BB50" s="55">
        <f>(100-BB11)/(BB19+1)</f>
        <v/>
      </c>
      <c r="BC50" s="55">
        <f>(100-BC11)/(BC19+1)</f>
        <v/>
      </c>
      <c r="BD50" s="12">
        <f>(100-BD11)/(BD19+1)</f>
        <v/>
      </c>
      <c r="BE50" s="55">
        <f>(100-BE11)/(BE19+1)</f>
        <v/>
      </c>
      <c r="BF50" s="55">
        <f>(100-BF11)/(BF19+1)</f>
        <v/>
      </c>
      <c r="BG50" s="12">
        <f>(100-BG11)/(BG19+1)</f>
        <v/>
      </c>
      <c r="BH50" s="55">
        <f>(100-BH11)/(BH19+1)</f>
        <v/>
      </c>
      <c r="BI50" s="55">
        <f>(100-BI11)/(BI19+1)</f>
        <v/>
      </c>
      <c r="BJ50" s="12">
        <f>(100-BJ11)/(BJ19+1)</f>
        <v/>
      </c>
      <c r="BK50" s="55">
        <f>(100-BK11)/(BK19+1)</f>
        <v/>
      </c>
      <c r="BL50" s="55">
        <f>(100-BL11)/(BL19+1)</f>
        <v/>
      </c>
      <c r="BM50" s="55">
        <f>(100-BM11)/(BM19+1)</f>
        <v/>
      </c>
      <c r="BN50" s="12">
        <f>(100-BN11)/(BN19+1)</f>
        <v/>
      </c>
      <c r="BO50" s="55">
        <f>(100-BO11)/(BO19+1)</f>
        <v/>
      </c>
      <c r="BP50" s="55">
        <f>(100-BP11)/(BP19+1)</f>
        <v/>
      </c>
      <c r="BQ50" s="12">
        <f>(100-BQ11)/(BQ19+1)</f>
        <v/>
      </c>
      <c r="BR50" s="55">
        <f>(100-BR11)/(BR19+1)</f>
        <v/>
      </c>
      <c r="BS50" s="55">
        <f>(100-BS11)/(BS19+1)</f>
        <v/>
      </c>
      <c r="BT50" s="12">
        <f>(100-BT11)/(BT19+1)</f>
        <v/>
      </c>
      <c r="BU50" s="55">
        <f>(100-BU11)/(BU19+1)</f>
        <v/>
      </c>
      <c r="BV50" s="55">
        <f>(100-BV11)/(BV19+1)</f>
        <v/>
      </c>
      <c r="BW50" s="12">
        <f>(100-BW11)/(BW19+1)</f>
        <v/>
      </c>
      <c r="BX50" s="55">
        <f>(100-BX11)/(BX19+1)</f>
        <v/>
      </c>
      <c r="BY50" s="55">
        <f>(100-BY11)/(BY19+1)</f>
        <v/>
      </c>
      <c r="BZ50" s="12">
        <f>(100-BZ11)/(BZ19+1)</f>
        <v/>
      </c>
      <c r="CA50" s="55">
        <f>(100-CA11)/(CA19+1)</f>
        <v/>
      </c>
      <c r="CB50" s="55">
        <f>(100-CB11)/(CB19+1)</f>
        <v/>
      </c>
      <c r="CC50" s="12">
        <f>(100-CC11)/(CC19+1)</f>
        <v/>
      </c>
      <c r="CD50" s="55">
        <f>(100-CD11)/(CD19+1)</f>
        <v/>
      </c>
      <c r="CE50" s="55">
        <f>(100-CE11)/(CE19+1)</f>
        <v/>
      </c>
      <c r="CF50" s="55">
        <f>(100-CF11)/(CF19+1)</f>
        <v/>
      </c>
      <c r="CG50" s="12">
        <f>(100-CG11)/(CG19+1)</f>
        <v/>
      </c>
      <c r="CH50" s="55">
        <f>(100-CH11)/(CH19+1)</f>
        <v/>
      </c>
      <c r="CI50" s="55">
        <f>(100-CI11)/(CI19+1)</f>
        <v/>
      </c>
      <c r="CJ50" s="12">
        <f>(100-CJ11)/(CJ19+1)</f>
        <v/>
      </c>
      <c r="CK50" s="55">
        <f>(100-CK11)/(CK19+1)</f>
        <v/>
      </c>
      <c r="CL50" s="55">
        <f>(100-CL11)/(CL19+1)</f>
        <v/>
      </c>
      <c r="CM50" s="12">
        <f>(100-CM11)/(CM19+1)</f>
        <v/>
      </c>
      <c r="CN50" s="55">
        <f>(100-CN11)/(CN19+1)</f>
        <v/>
      </c>
      <c r="CO50" s="55">
        <f>(100-CO11)/(CO19+1)</f>
        <v/>
      </c>
      <c r="CP50" s="12">
        <f>(100-CP11)/(CP19+1)</f>
        <v/>
      </c>
      <c r="CQ50" s="55">
        <f>(100-CQ11)/(CQ19+1)</f>
        <v/>
      </c>
      <c r="CR50" s="55">
        <f>(100-CR11)/(CR19+1)</f>
        <v/>
      </c>
      <c r="CS50" s="12">
        <f>(100-CS11)/(CS19+1)</f>
        <v/>
      </c>
      <c r="CT50" s="55">
        <f>(100-CT11)/(CT19+1)</f>
        <v/>
      </c>
      <c r="CU50" s="55">
        <f>(100-CU11)/(CU19+1)</f>
        <v/>
      </c>
      <c r="CV50" s="12">
        <f>(100-CV11)/(CV19+1)</f>
        <v/>
      </c>
      <c r="CW50" s="55">
        <f>(100-CW11)/(CW19+1)</f>
        <v/>
      </c>
      <c r="CX50" s="55">
        <f>(100-CX11)/(CX19+1)</f>
        <v/>
      </c>
      <c r="CY50" s="55">
        <f>(100-CY11)/(CY19+1)</f>
        <v/>
      </c>
      <c r="CZ50" s="12">
        <f>(100-CZ11)/(CZ19+1)</f>
        <v/>
      </c>
      <c r="DA50" s="55">
        <f>(100-DA11)/(DA19+1)</f>
        <v/>
      </c>
      <c r="DB50" s="55">
        <f>(100-DB11)/(DB19+1)</f>
        <v/>
      </c>
      <c r="DC50" s="12">
        <f>(100-DC11)/(DC19+1)</f>
        <v/>
      </c>
      <c r="DD50" s="55">
        <f>(100-DD11)/(DD19+1)</f>
        <v/>
      </c>
      <c r="DE50" s="55">
        <f>(100-DE11)/(DE19+1)</f>
        <v/>
      </c>
      <c r="DF50" s="12">
        <f>(100-DF11)/(DF19+1)</f>
        <v/>
      </c>
      <c r="DG50" s="55">
        <f>(100-DG11)/(DG19+1)</f>
        <v/>
      </c>
      <c r="DH50" s="55">
        <f>(100-DH11)/(DH19+1)</f>
        <v/>
      </c>
      <c r="DI50" s="12">
        <f>(100-DI11)/(DI19+1)</f>
        <v/>
      </c>
      <c r="DJ50" s="55">
        <f>(100-DJ11)/(DJ19+1)</f>
        <v/>
      </c>
      <c r="DK50" s="55">
        <f>(100-DK11)/(DK19+1)</f>
        <v/>
      </c>
      <c r="DL50" s="12">
        <f>(100-DL11)/(DL19+1)</f>
        <v/>
      </c>
      <c r="DM50" s="55">
        <f>(100-DM11)/(DM19+1)</f>
        <v/>
      </c>
      <c r="DN50" s="55">
        <f>(100-DN11)/(DN19+1)</f>
        <v/>
      </c>
      <c r="DO50" s="12">
        <f>(100-DO11)/(DO19+1)</f>
        <v/>
      </c>
      <c r="DP50" s="55">
        <f>(100-DP11)/(DP19+1)</f>
        <v/>
      </c>
      <c r="DQ50" s="55">
        <f>(100-DQ11)/(DQ19+1)</f>
        <v/>
      </c>
      <c r="DR50" s="55">
        <f>(100-DR11)/(DR19+1)</f>
        <v/>
      </c>
      <c r="DS50" s="12">
        <f>(100-DS11)/(DS19+1)</f>
        <v/>
      </c>
      <c r="DT50" s="55">
        <f>(100-DT11)/(DT19+1)</f>
        <v/>
      </c>
      <c r="DU50" s="55">
        <f>(100-DU11)/(DU19+1)</f>
        <v/>
      </c>
      <c r="DV50" s="12">
        <f>(100-DV11)/(DV19+1)</f>
        <v/>
      </c>
      <c r="DW50" s="55">
        <f>(100-DW11)/(DW19+1)</f>
        <v/>
      </c>
      <c r="DX50" s="55">
        <f>(100-DX11)/(DX19+1)</f>
        <v/>
      </c>
      <c r="DY50" s="12">
        <f>(100-DY11)/(DY19+1)</f>
        <v/>
      </c>
      <c r="DZ50" s="55">
        <f>(100-DZ11)/(DZ19+1)</f>
        <v/>
      </c>
      <c r="EA50" s="55">
        <f>(100-EA11)/(EA19+1)</f>
        <v/>
      </c>
      <c r="EB50" s="12">
        <f>(100-EB11)/(EB19+1)</f>
        <v/>
      </c>
      <c r="EC50" s="55">
        <f>(100-EC11)/(EC19+1)</f>
        <v/>
      </c>
      <c r="ED50" s="55">
        <f>(100-ED11)/(ED19+1)</f>
        <v/>
      </c>
      <c r="EE50" s="12">
        <f>(100-EE11)/(EE19+1)</f>
        <v/>
      </c>
      <c r="EF50" s="55">
        <f>(100-EF11)/(EF19+1)</f>
        <v/>
      </c>
      <c r="EG50" s="55">
        <f>(100-EG11)/(EG19+1)</f>
        <v/>
      </c>
      <c r="EH50" s="12">
        <f>(100-EH11)/(EH19+1)</f>
        <v/>
      </c>
      <c r="EI50" s="55">
        <f>(100-EI11)/(EI19+1)</f>
        <v/>
      </c>
      <c r="EJ50" s="55">
        <f>(100-EJ11)/(EJ19+1)</f>
        <v/>
      </c>
    </row>
    <row r="51">
      <c r="A51" s="11" t="inlineStr">
        <is>
          <t>Total DMG-PEG (mg)</t>
        </is>
      </c>
      <c r="B51" s="12" t="inlineStr">
        <is>
          <t>mg</t>
        </is>
      </c>
      <c r="C51" s="75">
        <f>C36*C50/100*C25/10^6</f>
        <v/>
      </c>
      <c r="D51" s="55">
        <f>D36*D50/100*D25/10^6</f>
        <v/>
      </c>
      <c r="E51" s="13">
        <f>E36*E50/100*E25/10^6</f>
        <v/>
      </c>
      <c r="F51" s="12">
        <f>F36*F50/100*F25/10^6</f>
        <v/>
      </c>
      <c r="G51" s="55">
        <f>G36*G50/100*G25/10^6</f>
        <v/>
      </c>
      <c r="H51" s="55">
        <f>H36*H50/100*H25/10^6</f>
        <v/>
      </c>
      <c r="I51" s="12">
        <f>I36*I50/100*I25/10^6</f>
        <v/>
      </c>
      <c r="J51" s="55">
        <f>J36*J50/100*J25/10^6</f>
        <v/>
      </c>
      <c r="K51" s="55">
        <f>K36*K50/100*K25/10^6</f>
        <v/>
      </c>
      <c r="L51" s="12">
        <f>L36*L50/100*L25/10^6</f>
        <v/>
      </c>
      <c r="M51" s="55">
        <f>M36*M50/100*M25/10^6</f>
        <v/>
      </c>
      <c r="N51" s="55">
        <f>N36*N50/100*N25/10^6</f>
        <v/>
      </c>
      <c r="O51" s="12">
        <f>O36*O50/100*O25/10^6</f>
        <v/>
      </c>
      <c r="P51" s="55">
        <f>P36*P50/100*P25/10^6</f>
        <v/>
      </c>
      <c r="Q51" s="55">
        <f>Q36*Q50/100*Q25/10^6</f>
        <v/>
      </c>
      <c r="R51" s="12">
        <f>R36*R50/100*R25/10^6</f>
        <v/>
      </c>
      <c r="S51" s="55">
        <f>S36*S50/100*S25/10^6</f>
        <v/>
      </c>
      <c r="T51" s="55">
        <f>T36*T50/100*T25/10^6</f>
        <v/>
      </c>
      <c r="U51" s="12">
        <f>U36*U50/100*U25/10^6</f>
        <v/>
      </c>
      <c r="V51" s="55">
        <f>V36*V50/100*V25/10^6</f>
        <v/>
      </c>
      <c r="W51" s="55">
        <f>W36*W50/100*W25/10^6</f>
        <v/>
      </c>
      <c r="X51" s="12">
        <f>X36*X50/100*X25/10^6</f>
        <v/>
      </c>
      <c r="Y51" s="55">
        <f>Y36*Y50/100*Y25/10^6</f>
        <v/>
      </c>
      <c r="Z51" s="55">
        <f>Z36*Z50/100*Z25/10^6</f>
        <v/>
      </c>
      <c r="AA51" s="55">
        <f>AA36*AA50/100*AA25/10^6</f>
        <v/>
      </c>
      <c r="AB51" s="12">
        <f>AB36*AB50/100*AB25/10^6</f>
        <v/>
      </c>
      <c r="AC51" s="55">
        <f>AC36*AC50/100*AC25/10^6</f>
        <v/>
      </c>
      <c r="AD51" s="55">
        <f>AD36*AD50/100*AD25/10^6</f>
        <v/>
      </c>
      <c r="AE51" s="12">
        <f>AE36*AE50/100*AE25/10^6</f>
        <v/>
      </c>
      <c r="AF51" s="55">
        <f>AF36*AF50/100*AF25/10^6</f>
        <v/>
      </c>
      <c r="AG51" s="55">
        <f>AG36*AG50/100*AG25/10^6</f>
        <v/>
      </c>
      <c r="AH51" s="12">
        <f>AH36*AH50/100*AH25/10^6</f>
        <v/>
      </c>
      <c r="AI51" s="55">
        <f>AI36*AI50/100*AI25/10^6</f>
        <v/>
      </c>
      <c r="AJ51" s="55">
        <f>AJ36*AJ50/100*AJ25/10^6</f>
        <v/>
      </c>
      <c r="AK51" s="12">
        <f>AK36*AK50/100*AK25/10^6</f>
        <v/>
      </c>
      <c r="AL51" s="55">
        <f>AL36*AL50/100*AL25/10^6</f>
        <v/>
      </c>
      <c r="AM51" s="55">
        <f>AM36*AM50/100*AM25/10^6</f>
        <v/>
      </c>
      <c r="AN51" s="12">
        <f>AN36*AN50/100*AN25/10^6</f>
        <v/>
      </c>
      <c r="AO51" s="55">
        <f>AO36*AO50/100*AO25/10^6</f>
        <v/>
      </c>
      <c r="AP51" s="55">
        <f>AP36*AP50/100*AP25/10^6</f>
        <v/>
      </c>
      <c r="AQ51" s="12">
        <f>AQ36*AQ50/100*AQ25/10^6</f>
        <v/>
      </c>
      <c r="AR51" s="55">
        <f>AR36*AR50/100*AR25/10^6</f>
        <v/>
      </c>
      <c r="AS51" s="55">
        <f>AS36*AS50/100*AS25/10^6</f>
        <v/>
      </c>
      <c r="AT51" s="55">
        <f>AT36*AT50/100*AT25/10^6</f>
        <v/>
      </c>
      <c r="AU51" s="12">
        <f>AU36*AU50/100*AU25/10^6</f>
        <v/>
      </c>
      <c r="AV51" s="55">
        <f>AV36*AV50/100*AV25/10^6</f>
        <v/>
      </c>
      <c r="AW51" s="55">
        <f>AW36*AW50/100*AW25/10^6</f>
        <v/>
      </c>
      <c r="AX51" s="12">
        <f>AX36*AX50/100*AX25/10^6</f>
        <v/>
      </c>
      <c r="AY51" s="55">
        <f>AY36*AY50/100*AY25/10^6</f>
        <v/>
      </c>
      <c r="AZ51" s="55">
        <f>AZ36*AZ50/100*AZ25/10^6</f>
        <v/>
      </c>
      <c r="BA51" s="12">
        <f>BA36*BA50/100*BA25/10^6</f>
        <v/>
      </c>
      <c r="BB51" s="55">
        <f>BB36*BB50/100*BB25/10^6</f>
        <v/>
      </c>
      <c r="BC51" s="55">
        <f>BC36*BC50/100*BC25/10^6</f>
        <v/>
      </c>
      <c r="BD51" s="12">
        <f>BD36*BD50/100*BD25/10^6</f>
        <v/>
      </c>
      <c r="BE51" s="55">
        <f>BE36*BE50/100*BE25/10^6</f>
        <v/>
      </c>
      <c r="BF51" s="55">
        <f>BF36*BF50/100*BF25/10^6</f>
        <v/>
      </c>
      <c r="BG51" s="12">
        <f>BG36*BG50/100*BG25/10^6</f>
        <v/>
      </c>
      <c r="BH51" s="55">
        <f>BH36*BH50/100*BH25/10^6</f>
        <v/>
      </c>
      <c r="BI51" s="55">
        <f>BI36*BI50/100*BI25/10^6</f>
        <v/>
      </c>
      <c r="BJ51" s="12">
        <f>BJ36*BJ50/100*BJ25/10^6</f>
        <v/>
      </c>
      <c r="BK51" s="55">
        <f>BK36*BK50/100*BK25/10^6</f>
        <v/>
      </c>
      <c r="BL51" s="55">
        <f>BL36*BL50/100*BL25/10^6</f>
        <v/>
      </c>
      <c r="BM51" s="55">
        <f>BM36*BM50/100*BM25/10^6</f>
        <v/>
      </c>
      <c r="BN51" s="12">
        <f>BN36*BN50/100*BN25/10^6</f>
        <v/>
      </c>
      <c r="BO51" s="55">
        <f>BO36*BO50/100*BO25/10^6</f>
        <v/>
      </c>
      <c r="BP51" s="55">
        <f>BP36*BP50/100*BP25/10^6</f>
        <v/>
      </c>
      <c r="BQ51" s="12">
        <f>BQ36*BQ50/100*BQ25/10^6</f>
        <v/>
      </c>
      <c r="BR51" s="55">
        <f>BR36*BR50/100*BR25/10^6</f>
        <v/>
      </c>
      <c r="BS51" s="55">
        <f>BS36*BS50/100*BS25/10^6</f>
        <v/>
      </c>
      <c r="BT51" s="12">
        <f>BT36*BT50/100*BT25/10^6</f>
        <v/>
      </c>
      <c r="BU51" s="55">
        <f>BU36*BU50/100*BU25/10^6</f>
        <v/>
      </c>
      <c r="BV51" s="55">
        <f>BV36*BV50/100*BV25/10^6</f>
        <v/>
      </c>
      <c r="BW51" s="12">
        <f>BW36*BW50/100*BW25/10^6</f>
        <v/>
      </c>
      <c r="BX51" s="55">
        <f>BX36*BX50/100*BX25/10^6</f>
        <v/>
      </c>
      <c r="BY51" s="55">
        <f>BY36*BY50/100*BY25/10^6</f>
        <v/>
      </c>
      <c r="BZ51" s="12">
        <f>BZ36*BZ50/100*BZ25/10^6</f>
        <v/>
      </c>
      <c r="CA51" s="55">
        <f>CA36*CA50/100*CA25/10^6</f>
        <v/>
      </c>
      <c r="CB51" s="55">
        <f>CB36*CB50/100*CB25/10^6</f>
        <v/>
      </c>
      <c r="CC51" s="12">
        <f>CC36*CC50/100*CC25/10^6</f>
        <v/>
      </c>
      <c r="CD51" s="55">
        <f>CD36*CD50/100*CD25/10^6</f>
        <v/>
      </c>
      <c r="CE51" s="55">
        <f>CE36*CE50/100*CE25/10^6</f>
        <v/>
      </c>
      <c r="CF51" s="55">
        <f>CF36*CF50/100*CF25/10^6</f>
        <v/>
      </c>
      <c r="CG51" s="12">
        <f>CG36*CG50/100*CG25/10^6</f>
        <v/>
      </c>
      <c r="CH51" s="55">
        <f>CH36*CH50/100*CH25/10^6</f>
        <v/>
      </c>
      <c r="CI51" s="55">
        <f>CI36*CI50/100*CI25/10^6</f>
        <v/>
      </c>
      <c r="CJ51" s="12">
        <f>CJ36*CJ50/100*CJ25/10^6</f>
        <v/>
      </c>
      <c r="CK51" s="55">
        <f>CK36*CK50/100*CK25/10^6</f>
        <v/>
      </c>
      <c r="CL51" s="55">
        <f>CL36*CL50/100*CL25/10^6</f>
        <v/>
      </c>
      <c r="CM51" s="12">
        <f>CM36*CM50/100*CM25/10^6</f>
        <v/>
      </c>
      <c r="CN51" s="55">
        <f>CN36*CN50/100*CN25/10^6</f>
        <v/>
      </c>
      <c r="CO51" s="55">
        <f>CO36*CO50/100*CO25/10^6</f>
        <v/>
      </c>
      <c r="CP51" s="12">
        <f>CP36*CP50/100*CP25/10^6</f>
        <v/>
      </c>
      <c r="CQ51" s="55">
        <f>CQ36*CQ50/100*CQ25/10^6</f>
        <v/>
      </c>
      <c r="CR51" s="55">
        <f>CR36*CR50/100*CR25/10^6</f>
        <v/>
      </c>
      <c r="CS51" s="12">
        <f>CS36*CS50/100*CS25/10^6</f>
        <v/>
      </c>
      <c r="CT51" s="55">
        <f>CT36*CT50/100*CT25/10^6</f>
        <v/>
      </c>
      <c r="CU51" s="55">
        <f>CU36*CU50/100*CU25/10^6</f>
        <v/>
      </c>
      <c r="CV51" s="12">
        <f>CV36*CV50/100*CV25/10^6</f>
        <v/>
      </c>
      <c r="CW51" s="55">
        <f>CW36*CW50/100*CW25/10^6</f>
        <v/>
      </c>
      <c r="CX51" s="55">
        <f>CX36*CX50/100*CX25/10^6</f>
        <v/>
      </c>
      <c r="CY51" s="55">
        <f>CY36*CY50/100*CY25/10^6</f>
        <v/>
      </c>
      <c r="CZ51" s="12">
        <f>CZ36*CZ50/100*CZ25/10^6</f>
        <v/>
      </c>
      <c r="DA51" s="55">
        <f>DA36*DA50/100*DA25/10^6</f>
        <v/>
      </c>
      <c r="DB51" s="55">
        <f>DB36*DB50/100*DB25/10^6</f>
        <v/>
      </c>
      <c r="DC51" s="12">
        <f>DC36*DC50/100*DC25/10^6</f>
        <v/>
      </c>
      <c r="DD51" s="55">
        <f>DD36*DD50/100*DD25/10^6</f>
        <v/>
      </c>
      <c r="DE51" s="55">
        <f>DE36*DE50/100*DE25/10^6</f>
        <v/>
      </c>
      <c r="DF51" s="12">
        <f>DF36*DF50/100*DF25/10^6</f>
        <v/>
      </c>
      <c r="DG51" s="55">
        <f>DG36*DG50/100*DG25/10^6</f>
        <v/>
      </c>
      <c r="DH51" s="55">
        <f>DH36*DH50/100*DH25/10^6</f>
        <v/>
      </c>
      <c r="DI51" s="12">
        <f>DI36*DI50/100*DI25/10^6</f>
        <v/>
      </c>
      <c r="DJ51" s="55">
        <f>DJ36*DJ50/100*DJ25/10^6</f>
        <v/>
      </c>
      <c r="DK51" s="55">
        <f>DK36*DK50/100*DK25/10^6</f>
        <v/>
      </c>
      <c r="DL51" s="12">
        <f>DL36*DL50/100*DL25/10^6</f>
        <v/>
      </c>
      <c r="DM51" s="55">
        <f>DM36*DM50/100*DM25/10^6</f>
        <v/>
      </c>
      <c r="DN51" s="55">
        <f>DN36*DN50/100*DN25/10^6</f>
        <v/>
      </c>
      <c r="DO51" s="12">
        <f>DO36*DO50/100*DO25/10^6</f>
        <v/>
      </c>
      <c r="DP51" s="55">
        <f>DP36*DP50/100*DP25/10^6</f>
        <v/>
      </c>
      <c r="DQ51" s="55">
        <f>DQ36*DQ50/100*DQ25/10^6</f>
        <v/>
      </c>
      <c r="DR51" s="55">
        <f>DR36*DR50/100*DR25/10^6</f>
        <v/>
      </c>
      <c r="DS51" s="12">
        <f>DS36*DS50/100*DS25/10^6</f>
        <v/>
      </c>
      <c r="DT51" s="55">
        <f>DT36*DT50/100*DT25/10^6</f>
        <v/>
      </c>
      <c r="DU51" s="55">
        <f>DU36*DU50/100*DU25/10^6</f>
        <v/>
      </c>
      <c r="DV51" s="12">
        <f>DV36*DV50/100*DV25/10^6</f>
        <v/>
      </c>
      <c r="DW51" s="55">
        <f>DW36*DW50/100*DW25/10^6</f>
        <v/>
      </c>
      <c r="DX51" s="55">
        <f>DX36*DX50/100*DX25/10^6</f>
        <v/>
      </c>
      <c r="DY51" s="12">
        <f>DY36*DY50/100*DY25/10^6</f>
        <v/>
      </c>
      <c r="DZ51" s="55">
        <f>DZ36*DZ50/100*DZ25/10^6</f>
        <v/>
      </c>
      <c r="EA51" s="55">
        <f>EA36*EA50/100*EA25/10^6</f>
        <v/>
      </c>
      <c r="EB51" s="12">
        <f>EB36*EB50/100*EB25/10^6</f>
        <v/>
      </c>
      <c r="EC51" s="55">
        <f>EC36*EC50/100*EC25/10^6</f>
        <v/>
      </c>
      <c r="ED51" s="55">
        <f>ED36*ED50/100*ED25/10^6</f>
        <v/>
      </c>
      <c r="EE51" s="12">
        <f>EE36*EE50/100*EE25/10^6</f>
        <v/>
      </c>
      <c r="EF51" s="55">
        <f>EF36*EF50/100*EF25/10^6</f>
        <v/>
      </c>
      <c r="EG51" s="55">
        <f>EG36*EG50/100*EG25/10^6</f>
        <v/>
      </c>
      <c r="EH51" s="12">
        <f>EH36*EH50/100*EH25/10^6</f>
        <v/>
      </c>
      <c r="EI51" s="55">
        <f>EI36*EI50/100*EI25/10^6</f>
        <v/>
      </c>
      <c r="EJ51" s="55">
        <f>EJ36*EJ50/100*EJ25/10^6</f>
        <v/>
      </c>
    </row>
    <row r="52">
      <c r="G52" s="55" t="n"/>
      <c r="H52" s="55" t="n"/>
      <c r="J52" s="55" t="n"/>
      <c r="K52" s="55" t="n"/>
      <c r="M52" s="55" t="n"/>
      <c r="N52" s="55" t="n"/>
      <c r="P52" s="55" t="n"/>
      <c r="Q52" s="55" t="n"/>
      <c r="S52" s="55" t="n"/>
      <c r="T52" s="55" t="n"/>
      <c r="V52" s="55" t="n"/>
      <c r="W52" s="55" t="n"/>
      <c r="Y52" s="55" t="n"/>
      <c r="Z52" s="55" t="n"/>
      <c r="AA52" s="55" t="n"/>
      <c r="AC52" s="55" t="n"/>
      <c r="AD52" s="55" t="n"/>
      <c r="AF52" s="55" t="n"/>
      <c r="AG52" s="55" t="n"/>
      <c r="AI52" s="55" t="n"/>
      <c r="AJ52" s="55" t="n"/>
      <c r="AL52" s="55" t="n"/>
      <c r="AM52" s="55" t="n"/>
      <c r="AO52" s="55" t="n"/>
      <c r="AP52" s="55" t="n"/>
      <c r="AR52" s="55" t="n"/>
      <c r="AS52" s="55" t="n"/>
      <c r="AT52" s="55" t="n"/>
      <c r="AV52" s="55" t="n"/>
      <c r="AW52" s="55" t="n"/>
      <c r="AY52" s="55" t="n"/>
      <c r="AZ52" s="55" t="n"/>
      <c r="BB52" s="55" t="n"/>
      <c r="BC52" s="55" t="n"/>
      <c r="BE52" s="55" t="n"/>
      <c r="BF52" s="55" t="n"/>
      <c r="BH52" s="55" t="n"/>
      <c r="BI52" s="55" t="n"/>
      <c r="BK52" s="55" t="n"/>
      <c r="BL52" s="55" t="n"/>
      <c r="BM52" s="55" t="n"/>
      <c r="BO52" s="55" t="n"/>
      <c r="BP52" s="55" t="n"/>
      <c r="BR52" s="55" t="n"/>
      <c r="BS52" s="55" t="n"/>
      <c r="BU52" s="55" t="n"/>
      <c r="BV52" s="55" t="n"/>
      <c r="BX52" s="55" t="n"/>
      <c r="BY52" s="55" t="n"/>
      <c r="CA52" s="55" t="n"/>
      <c r="CB52" s="55" t="n"/>
      <c r="CD52" s="55" t="n"/>
      <c r="CE52" s="55" t="n"/>
      <c r="CF52" s="55" t="n"/>
      <c r="CH52" s="55" t="n"/>
      <c r="CI52" s="55" t="n"/>
      <c r="CK52" s="55" t="n"/>
      <c r="CL52" s="55" t="n"/>
      <c r="CN52" s="55" t="n"/>
      <c r="CO52" s="55" t="n"/>
      <c r="CQ52" s="55" t="n"/>
      <c r="CR52" s="55" t="n"/>
      <c r="CT52" s="55" t="n"/>
      <c r="CU52" s="55" t="n"/>
      <c r="CW52" s="55" t="n"/>
      <c r="CX52" s="55" t="n"/>
      <c r="CY52" s="55" t="n"/>
      <c r="DA52" s="55" t="n"/>
      <c r="DB52" s="55" t="n"/>
      <c r="DD52" s="55" t="n"/>
      <c r="DE52" s="55" t="n"/>
      <c r="DG52" s="55" t="n"/>
      <c r="DH52" s="55" t="n"/>
      <c r="DJ52" s="55" t="n"/>
      <c r="DK52" s="55" t="n"/>
      <c r="DM52" s="55" t="n"/>
      <c r="DN52" s="55" t="n"/>
      <c r="DP52" s="55" t="n"/>
      <c r="DQ52" s="55" t="n"/>
      <c r="DR52" s="55" t="n"/>
      <c r="DT52" s="55" t="n"/>
      <c r="DU52" s="55" t="n"/>
      <c r="DW52" s="55" t="n"/>
      <c r="DX52" s="55" t="n"/>
      <c r="DZ52" s="55" t="n"/>
      <c r="EA52" s="55" t="n"/>
      <c r="EC52" s="55" t="n"/>
      <c r="ED52" s="55" t="n"/>
      <c r="EF52" s="55" t="n"/>
      <c r="EG52" s="55" t="n"/>
      <c r="EI52" s="55" t="n"/>
      <c r="EJ52" s="55" t="n"/>
    </row>
    <row r="53" ht="16" customHeight="1" thickBot="1">
      <c r="A53" s="29" t="inlineStr">
        <is>
          <t>Solution Prep Parameters</t>
        </is>
      </c>
      <c r="B53" s="91" t="n"/>
      <c r="C53" s="78" t="n"/>
      <c r="D53" s="58" t="n"/>
      <c r="E53" s="1" t="n"/>
      <c r="F53" s="15" t="n"/>
      <c r="G53" s="58" t="n"/>
      <c r="H53" s="58" t="n"/>
      <c r="I53" s="15" t="n"/>
      <c r="J53" s="58" t="n"/>
      <c r="K53" s="58" t="n"/>
      <c r="L53" s="15" t="n"/>
      <c r="M53" s="58" t="n"/>
      <c r="N53" s="58" t="n"/>
      <c r="O53" s="15" t="n"/>
      <c r="P53" s="58" t="n"/>
      <c r="Q53" s="58" t="n"/>
      <c r="R53" s="15" t="n"/>
      <c r="S53" s="58" t="n"/>
      <c r="T53" s="58" t="n"/>
      <c r="U53" s="15" t="n"/>
      <c r="V53" s="58" t="n"/>
      <c r="W53" s="58" t="n"/>
      <c r="X53" s="15" t="n"/>
      <c r="Y53" s="58" t="n"/>
      <c r="Z53" s="58" t="n"/>
      <c r="AA53" s="58" t="n"/>
      <c r="AB53" s="15" t="n"/>
      <c r="AC53" s="58" t="n"/>
      <c r="AD53" s="58" t="n"/>
      <c r="AE53" s="15" t="n"/>
      <c r="AF53" s="58" t="n"/>
      <c r="AG53" s="58" t="n"/>
      <c r="AH53" s="15" t="n"/>
      <c r="AI53" s="58" t="n"/>
      <c r="AJ53" s="58" t="n"/>
      <c r="AK53" s="15" t="n"/>
      <c r="AL53" s="58" t="n"/>
      <c r="AM53" s="58" t="n"/>
      <c r="AN53" s="15" t="n"/>
      <c r="AO53" s="58" t="n"/>
      <c r="AP53" s="58" t="n"/>
      <c r="AQ53" s="15" t="n"/>
      <c r="AR53" s="58" t="n"/>
      <c r="AS53" s="58" t="n"/>
      <c r="AT53" s="58" t="n"/>
      <c r="AU53" s="15" t="n"/>
      <c r="AV53" s="58" t="n"/>
      <c r="AW53" s="58" t="n"/>
      <c r="AX53" s="15" t="n"/>
      <c r="AY53" s="58" t="n"/>
      <c r="AZ53" s="58" t="n"/>
      <c r="BA53" s="15" t="n"/>
      <c r="BB53" s="58" t="n"/>
      <c r="BC53" s="58" t="n"/>
      <c r="BD53" s="15" t="n"/>
      <c r="BE53" s="58" t="n"/>
      <c r="BF53" s="58" t="n"/>
      <c r="BG53" s="15" t="n"/>
      <c r="BH53" s="58" t="n"/>
      <c r="BI53" s="58" t="n"/>
      <c r="BJ53" s="15" t="n"/>
      <c r="BK53" s="58" t="n"/>
      <c r="BL53" s="58" t="n"/>
      <c r="BM53" s="58" t="n"/>
      <c r="BN53" s="15" t="n"/>
      <c r="BO53" s="58" t="n"/>
      <c r="BP53" s="58" t="n"/>
      <c r="BQ53" s="15" t="n"/>
      <c r="BR53" s="58" t="n"/>
      <c r="BS53" s="58" t="n"/>
      <c r="BT53" s="15" t="n"/>
      <c r="BU53" s="58" t="n"/>
      <c r="BV53" s="58" t="n"/>
      <c r="BW53" s="15" t="n"/>
      <c r="BX53" s="58" t="n"/>
      <c r="BY53" s="58" t="n"/>
      <c r="BZ53" s="15" t="n"/>
      <c r="CA53" s="58" t="n"/>
      <c r="CB53" s="58" t="n"/>
      <c r="CC53" s="15" t="n"/>
      <c r="CD53" s="58" t="n"/>
      <c r="CE53" s="58" t="n"/>
      <c r="CF53" s="58" t="n"/>
      <c r="CG53" s="15" t="n"/>
      <c r="CH53" s="58" t="n"/>
      <c r="CI53" s="58" t="n"/>
      <c r="CJ53" s="15" t="n"/>
      <c r="CK53" s="58" t="n"/>
      <c r="CL53" s="58" t="n"/>
      <c r="CM53" s="15" t="n"/>
      <c r="CN53" s="58" t="n"/>
      <c r="CO53" s="58" t="n"/>
      <c r="CP53" s="15" t="n"/>
      <c r="CQ53" s="58" t="n"/>
      <c r="CR53" s="58" t="n"/>
      <c r="CS53" s="15" t="n"/>
      <c r="CT53" s="58" t="n"/>
      <c r="CU53" s="58" t="n"/>
      <c r="CV53" s="15" t="n"/>
      <c r="CW53" s="58" t="n"/>
      <c r="CX53" s="58" t="n"/>
      <c r="CY53" s="58" t="n"/>
      <c r="CZ53" s="15" t="n"/>
      <c r="DA53" s="58" t="n"/>
      <c r="DB53" s="58" t="n"/>
      <c r="DC53" s="15" t="n"/>
      <c r="DD53" s="58" t="n"/>
      <c r="DE53" s="58" t="n"/>
      <c r="DF53" s="15" t="n"/>
      <c r="DG53" s="58" t="n"/>
      <c r="DH53" s="58" t="n"/>
      <c r="DI53" s="15" t="n"/>
      <c r="DJ53" s="58" t="n"/>
      <c r="DK53" s="58" t="n"/>
      <c r="DL53" s="15" t="n"/>
      <c r="DM53" s="58" t="n"/>
      <c r="DN53" s="58" t="n"/>
      <c r="DO53" s="15" t="n"/>
      <c r="DP53" s="58" t="n"/>
      <c r="DQ53" s="58" t="n"/>
      <c r="DR53" s="58" t="n"/>
      <c r="DS53" s="15" t="n"/>
      <c r="DT53" s="58" t="n"/>
      <c r="DU53" s="58" t="n"/>
      <c r="DV53" s="15" t="n"/>
      <c r="DW53" s="58" t="n"/>
      <c r="DX53" s="58" t="n"/>
      <c r="DY53" s="15" t="n"/>
      <c r="DZ53" s="58" t="n"/>
      <c r="EA53" s="58" t="n"/>
      <c r="EB53" s="15" t="n"/>
      <c r="EC53" s="58" t="n"/>
      <c r="ED53" s="58" t="n"/>
      <c r="EE53" s="15" t="n"/>
      <c r="EF53" s="58" t="n"/>
      <c r="EG53" s="58" t="n"/>
      <c r="EH53" s="15" t="n"/>
      <c r="EI53" s="58" t="n"/>
      <c r="EJ53" s="58" t="n"/>
    </row>
    <row r="54" customFormat="1" s="2">
      <c r="A54" s="30" t="inlineStr">
        <is>
          <t>Ionizable Lipid Concentration</t>
        </is>
      </c>
      <c r="B54" s="31" t="inlineStr">
        <is>
          <t>mg/ml</t>
        </is>
      </c>
      <c r="C54" s="79" t="n"/>
      <c r="D54" s="59" t="n"/>
      <c r="E54" s="30" t="n"/>
      <c r="F54" s="31" t="n"/>
      <c r="G54" s="59" t="n"/>
      <c r="H54" s="59" t="n"/>
      <c r="I54" s="31" t="n"/>
      <c r="J54" s="59" t="n"/>
      <c r="K54" s="59" t="n"/>
      <c r="L54" s="31" t="n"/>
      <c r="M54" s="59" t="n"/>
      <c r="N54" s="59" t="n"/>
      <c r="O54" s="31" t="n"/>
      <c r="P54" s="59" t="n"/>
      <c r="Q54" s="59" t="n"/>
      <c r="R54" s="31" t="n"/>
      <c r="S54" s="59" t="n"/>
      <c r="T54" s="59" t="n"/>
      <c r="U54" s="31" t="n"/>
      <c r="V54" s="59" t="n"/>
      <c r="W54" s="59" t="n"/>
      <c r="X54" s="31" t="n"/>
      <c r="Y54" s="59" t="n"/>
      <c r="Z54" s="59" t="n"/>
      <c r="AA54" s="59" t="n"/>
      <c r="AB54" s="31" t="n"/>
      <c r="AC54" s="59" t="n"/>
      <c r="AD54" s="59" t="n"/>
      <c r="AE54" s="31" t="n"/>
      <c r="AF54" s="59" t="n"/>
      <c r="AG54" s="59" t="n"/>
      <c r="AH54" s="31" t="n"/>
      <c r="AI54" s="59" t="n"/>
      <c r="AJ54" s="59" t="n"/>
      <c r="AK54" s="31" t="n"/>
      <c r="AL54" s="59" t="n"/>
      <c r="AM54" s="59" t="n"/>
      <c r="AN54" s="31" t="n"/>
      <c r="AO54" s="59" t="n"/>
      <c r="AP54" s="59" t="n"/>
      <c r="AQ54" s="31" t="n"/>
      <c r="AR54" s="59" t="n"/>
      <c r="AS54" s="59" t="n"/>
      <c r="AT54" s="59" t="n"/>
      <c r="AU54" s="31" t="n"/>
      <c r="AV54" s="59" t="n"/>
      <c r="AW54" s="59" t="n"/>
      <c r="AX54" s="31" t="n"/>
      <c r="AY54" s="59" t="n"/>
      <c r="AZ54" s="59" t="n"/>
      <c r="BA54" s="31" t="n"/>
      <c r="BB54" s="59" t="n"/>
      <c r="BC54" s="59" t="n"/>
      <c r="BD54" s="31" t="n"/>
      <c r="BE54" s="59" t="n"/>
      <c r="BF54" s="59" t="n"/>
      <c r="BG54" s="31" t="n"/>
      <c r="BH54" s="59" t="n"/>
      <c r="BI54" s="59" t="n"/>
      <c r="BJ54" s="31" t="n"/>
      <c r="BK54" s="59" t="n"/>
      <c r="BL54" s="59" t="n"/>
      <c r="BM54" s="59" t="n"/>
      <c r="BN54" s="31" t="n"/>
      <c r="BO54" s="59" t="n"/>
      <c r="BP54" s="59" t="n"/>
      <c r="BQ54" s="31" t="n"/>
      <c r="BR54" s="59" t="n"/>
      <c r="BS54" s="59" t="n"/>
      <c r="BT54" s="31" t="n"/>
      <c r="BU54" s="59" t="n"/>
      <c r="BV54" s="59" t="n"/>
      <c r="BW54" s="31" t="n"/>
      <c r="BX54" s="59" t="n"/>
      <c r="BY54" s="59" t="n"/>
      <c r="BZ54" s="31" t="n"/>
      <c r="CA54" s="59" t="n"/>
      <c r="CB54" s="59" t="n"/>
      <c r="CC54" s="31" t="n"/>
      <c r="CD54" s="59" t="n"/>
      <c r="CE54" s="59" t="n"/>
      <c r="CF54" s="59" t="n"/>
      <c r="CG54" s="31" t="n"/>
      <c r="CH54" s="59" t="n"/>
      <c r="CI54" s="59" t="n"/>
      <c r="CJ54" s="31" t="n"/>
      <c r="CK54" s="59" t="n"/>
      <c r="CL54" s="59" t="n"/>
      <c r="CM54" s="31" t="n"/>
      <c r="CN54" s="59" t="n"/>
      <c r="CO54" s="59" t="n"/>
      <c r="CP54" s="31" t="n"/>
      <c r="CQ54" s="59" t="n"/>
      <c r="CR54" s="59" t="n"/>
      <c r="CS54" s="31" t="n"/>
      <c r="CT54" s="59" t="n"/>
      <c r="CU54" s="59" t="n"/>
      <c r="CV54" s="31" t="n"/>
      <c r="CW54" s="59" t="n"/>
      <c r="CX54" s="59" t="n"/>
      <c r="CY54" s="59" t="n"/>
      <c r="CZ54" s="31" t="n"/>
      <c r="DA54" s="59" t="n"/>
      <c r="DB54" s="59" t="n"/>
      <c r="DC54" s="31" t="n"/>
      <c r="DD54" s="59" t="n"/>
      <c r="DE54" s="59" t="n"/>
      <c r="DF54" s="31" t="n"/>
      <c r="DG54" s="59" t="n"/>
      <c r="DH54" s="59" t="n"/>
      <c r="DI54" s="31" t="n"/>
      <c r="DJ54" s="59" t="n"/>
      <c r="DK54" s="59" t="n"/>
      <c r="DL54" s="31" t="n"/>
      <c r="DM54" s="59" t="n"/>
      <c r="DN54" s="59" t="n"/>
      <c r="DO54" s="31" t="n"/>
      <c r="DP54" s="59" t="n"/>
      <c r="DQ54" s="59" t="n"/>
      <c r="DR54" s="59" t="n"/>
      <c r="DS54" s="31" t="n"/>
      <c r="DT54" s="59" t="n"/>
      <c r="DU54" s="59" t="n"/>
      <c r="DV54" s="31" t="n"/>
      <c r="DW54" s="59" t="n"/>
      <c r="DX54" s="59" t="n"/>
      <c r="DY54" s="31" t="n"/>
      <c r="DZ54" s="59" t="n"/>
      <c r="EA54" s="59" t="n"/>
      <c r="EB54" s="31" t="n"/>
      <c r="EC54" s="59" t="n"/>
      <c r="ED54" s="59" t="n"/>
      <c r="EE54" s="31" t="n"/>
      <c r="EF54" s="59" t="n"/>
      <c r="EG54" s="59" t="n"/>
      <c r="EH54" s="31" t="n"/>
      <c r="EI54" s="59" t="n"/>
      <c r="EJ54" s="59" t="n"/>
    </row>
    <row r="55" customFormat="1" s="3">
      <c r="A55" s="32" t="inlineStr">
        <is>
          <t xml:space="preserve">Helper Lipid Concentration </t>
        </is>
      </c>
      <c r="B55" s="33" t="inlineStr">
        <is>
          <t>mg/ml</t>
        </is>
      </c>
      <c r="C55" s="80" t="n"/>
      <c r="D55" s="60" t="n"/>
      <c r="E55" s="32" t="n"/>
      <c r="F55" s="33" t="n"/>
      <c r="G55" s="60" t="n"/>
      <c r="H55" s="60" t="n"/>
      <c r="I55" s="33" t="n"/>
      <c r="J55" s="60" t="n"/>
      <c r="K55" s="60" t="n"/>
      <c r="L55" s="33" t="n"/>
      <c r="M55" s="60" t="n"/>
      <c r="N55" s="60" t="n"/>
      <c r="O55" s="33" t="n"/>
      <c r="P55" s="60" t="n"/>
      <c r="Q55" s="60" t="n"/>
      <c r="R55" s="33" t="n"/>
      <c r="S55" s="60" t="n"/>
      <c r="T55" s="60" t="n"/>
      <c r="U55" s="33" t="n"/>
      <c r="V55" s="60" t="n"/>
      <c r="W55" s="60" t="n"/>
      <c r="X55" s="33" t="n"/>
      <c r="Y55" s="60" t="n"/>
      <c r="Z55" s="60" t="n"/>
      <c r="AA55" s="60" t="n"/>
      <c r="AB55" s="33" t="n"/>
      <c r="AC55" s="60" t="n"/>
      <c r="AD55" s="60" t="n"/>
      <c r="AE55" s="33" t="n"/>
      <c r="AF55" s="60" t="n"/>
      <c r="AG55" s="60" t="n"/>
      <c r="AH55" s="33" t="n"/>
      <c r="AI55" s="60" t="n"/>
      <c r="AJ55" s="60" t="n"/>
      <c r="AK55" s="33" t="n"/>
      <c r="AL55" s="60" t="n"/>
      <c r="AM55" s="60" t="n"/>
      <c r="AN55" s="33" t="n"/>
      <c r="AO55" s="60" t="n"/>
      <c r="AP55" s="60" t="n"/>
      <c r="AQ55" s="33" t="n"/>
      <c r="AR55" s="60" t="n"/>
      <c r="AS55" s="60" t="n"/>
      <c r="AT55" s="60" t="n"/>
      <c r="AU55" s="33" t="n"/>
      <c r="AV55" s="60" t="n"/>
      <c r="AW55" s="60" t="n"/>
      <c r="AX55" s="33" t="n"/>
      <c r="AY55" s="60" t="n"/>
      <c r="AZ55" s="60" t="n"/>
      <c r="BA55" s="33" t="n"/>
      <c r="BB55" s="60" t="n"/>
      <c r="BC55" s="60" t="n"/>
      <c r="BD55" s="33" t="n"/>
      <c r="BE55" s="60" t="n"/>
      <c r="BF55" s="60" t="n"/>
      <c r="BG55" s="33" t="n"/>
      <c r="BH55" s="60" t="n"/>
      <c r="BI55" s="60" t="n"/>
      <c r="BJ55" s="33" t="n"/>
      <c r="BK55" s="60" t="n"/>
      <c r="BL55" s="60" t="n"/>
      <c r="BM55" s="60" t="n"/>
      <c r="BN55" s="33" t="n"/>
      <c r="BO55" s="60" t="n"/>
      <c r="BP55" s="60" t="n"/>
      <c r="BQ55" s="33" t="n"/>
      <c r="BR55" s="60" t="n"/>
      <c r="BS55" s="60" t="n"/>
      <c r="BT55" s="33" t="n"/>
      <c r="BU55" s="60" t="n"/>
      <c r="BV55" s="60" t="n"/>
      <c r="BW55" s="33" t="n"/>
      <c r="BX55" s="60" t="n"/>
      <c r="BY55" s="60" t="n"/>
      <c r="BZ55" s="33" t="n"/>
      <c r="CA55" s="60" t="n"/>
      <c r="CB55" s="60" t="n"/>
      <c r="CC55" s="33" t="n"/>
      <c r="CD55" s="60" t="n"/>
      <c r="CE55" s="60" t="n"/>
      <c r="CF55" s="60" t="n"/>
      <c r="CG55" s="33" t="n"/>
      <c r="CH55" s="60" t="n"/>
      <c r="CI55" s="60" t="n"/>
      <c r="CJ55" s="33" t="n"/>
      <c r="CK55" s="60" t="n"/>
      <c r="CL55" s="60" t="n"/>
      <c r="CM55" s="33" t="n"/>
      <c r="CN55" s="60" t="n"/>
      <c r="CO55" s="60" t="n"/>
      <c r="CP55" s="33" t="n"/>
      <c r="CQ55" s="60" t="n"/>
      <c r="CR55" s="60" t="n"/>
      <c r="CS55" s="33" t="n"/>
      <c r="CT55" s="60" t="n"/>
      <c r="CU55" s="60" t="n"/>
      <c r="CV55" s="33" t="n"/>
      <c r="CW55" s="60" t="n"/>
      <c r="CX55" s="60" t="n"/>
      <c r="CY55" s="60" t="n"/>
      <c r="CZ55" s="33" t="n"/>
      <c r="DA55" s="60" t="n"/>
      <c r="DB55" s="60" t="n"/>
      <c r="DC55" s="33" t="n"/>
      <c r="DD55" s="60" t="n"/>
      <c r="DE55" s="60" t="n"/>
      <c r="DF55" s="33" t="n"/>
      <c r="DG55" s="60" t="n"/>
      <c r="DH55" s="60" t="n"/>
      <c r="DI55" s="33" t="n"/>
      <c r="DJ55" s="60" t="n"/>
      <c r="DK55" s="60" t="n"/>
      <c r="DL55" s="33" t="n"/>
      <c r="DM55" s="60" t="n"/>
      <c r="DN55" s="60" t="n"/>
      <c r="DO55" s="33" t="n"/>
      <c r="DP55" s="60" t="n"/>
      <c r="DQ55" s="60" t="n"/>
      <c r="DR55" s="60" t="n"/>
      <c r="DS55" s="33" t="n"/>
      <c r="DT55" s="60" t="n"/>
      <c r="DU55" s="60" t="n"/>
      <c r="DV55" s="33" t="n"/>
      <c r="DW55" s="60" t="n"/>
      <c r="DX55" s="60" t="n"/>
      <c r="DY55" s="33" t="n"/>
      <c r="DZ55" s="60" t="n"/>
      <c r="EA55" s="60" t="n"/>
      <c r="EB55" s="33" t="n"/>
      <c r="EC55" s="60" t="n"/>
      <c r="ED55" s="60" t="n"/>
      <c r="EE55" s="33" t="n"/>
      <c r="EF55" s="60" t="n"/>
      <c r="EG55" s="60" t="n"/>
      <c r="EH55" s="33" t="n"/>
      <c r="EI55" s="60" t="n"/>
      <c r="EJ55" s="60" t="n"/>
    </row>
    <row r="56" customFormat="1" s="3">
      <c r="A56" s="32" t="inlineStr">
        <is>
          <t>Cholesterol Concentration</t>
        </is>
      </c>
      <c r="B56" s="33" t="inlineStr">
        <is>
          <t>mg/ml</t>
        </is>
      </c>
      <c r="C56" s="80" t="n"/>
      <c r="D56" s="60" t="n"/>
      <c r="E56" s="32" t="n"/>
      <c r="F56" s="33" t="n"/>
      <c r="G56" s="60" t="n"/>
      <c r="H56" s="60" t="n"/>
      <c r="I56" s="33" t="n"/>
      <c r="J56" s="60" t="n"/>
      <c r="K56" s="60" t="n"/>
      <c r="L56" s="33" t="n"/>
      <c r="M56" s="60" t="n"/>
      <c r="N56" s="60" t="n"/>
      <c r="O56" s="33" t="n"/>
      <c r="P56" s="60" t="n"/>
      <c r="Q56" s="60" t="n"/>
      <c r="R56" s="33" t="n"/>
      <c r="S56" s="60" t="n"/>
      <c r="T56" s="60" t="n"/>
      <c r="U56" s="33" t="n"/>
      <c r="V56" s="60" t="n"/>
      <c r="W56" s="60" t="n"/>
      <c r="X56" s="33" t="n"/>
      <c r="Y56" s="60" t="n"/>
      <c r="Z56" s="60" t="n"/>
      <c r="AA56" s="60" t="n"/>
      <c r="AB56" s="33" t="n"/>
      <c r="AC56" s="60" t="n"/>
      <c r="AD56" s="60" t="n"/>
      <c r="AE56" s="33" t="n"/>
      <c r="AF56" s="60" t="n"/>
      <c r="AG56" s="60" t="n"/>
      <c r="AH56" s="33" t="n"/>
      <c r="AI56" s="60" t="n"/>
      <c r="AJ56" s="60" t="n"/>
      <c r="AK56" s="33" t="n"/>
      <c r="AL56" s="60" t="n"/>
      <c r="AM56" s="60" t="n"/>
      <c r="AN56" s="33" t="n"/>
      <c r="AO56" s="60" t="n"/>
      <c r="AP56" s="60" t="n"/>
      <c r="AQ56" s="33" t="n"/>
      <c r="AR56" s="60" t="n"/>
      <c r="AS56" s="60" t="n"/>
      <c r="AT56" s="60" t="n"/>
      <c r="AU56" s="33" t="n"/>
      <c r="AV56" s="60" t="n"/>
      <c r="AW56" s="60" t="n"/>
      <c r="AX56" s="33" t="n"/>
      <c r="AY56" s="60" t="n"/>
      <c r="AZ56" s="60" t="n"/>
      <c r="BA56" s="33" t="n"/>
      <c r="BB56" s="60" t="n"/>
      <c r="BC56" s="60" t="n"/>
      <c r="BD56" s="33" t="n"/>
      <c r="BE56" s="60" t="n"/>
      <c r="BF56" s="60" t="n"/>
      <c r="BG56" s="33" t="n"/>
      <c r="BH56" s="60" t="n"/>
      <c r="BI56" s="60" t="n"/>
      <c r="BJ56" s="33" t="n"/>
      <c r="BK56" s="60" t="n"/>
      <c r="BL56" s="60" t="n"/>
      <c r="BM56" s="60" t="n"/>
      <c r="BN56" s="33" t="n"/>
      <c r="BO56" s="60" t="n"/>
      <c r="BP56" s="60" t="n"/>
      <c r="BQ56" s="33" t="n"/>
      <c r="BR56" s="60" t="n"/>
      <c r="BS56" s="60" t="n"/>
      <c r="BT56" s="33" t="n"/>
      <c r="BU56" s="60" t="n"/>
      <c r="BV56" s="60" t="n"/>
      <c r="BW56" s="33" t="n"/>
      <c r="BX56" s="60" t="n"/>
      <c r="BY56" s="60" t="n"/>
      <c r="BZ56" s="33" t="n"/>
      <c r="CA56" s="60" t="n"/>
      <c r="CB56" s="60" t="n"/>
      <c r="CC56" s="33" t="n"/>
      <c r="CD56" s="60" t="n"/>
      <c r="CE56" s="60" t="n"/>
      <c r="CF56" s="60" t="n"/>
      <c r="CG56" s="33" t="n"/>
      <c r="CH56" s="60" t="n"/>
      <c r="CI56" s="60" t="n"/>
      <c r="CJ56" s="33" t="n"/>
      <c r="CK56" s="60" t="n"/>
      <c r="CL56" s="60" t="n"/>
      <c r="CM56" s="33" t="n"/>
      <c r="CN56" s="60" t="n"/>
      <c r="CO56" s="60" t="n"/>
      <c r="CP56" s="33" t="n"/>
      <c r="CQ56" s="60" t="n"/>
      <c r="CR56" s="60" t="n"/>
      <c r="CS56" s="33" t="n"/>
      <c r="CT56" s="60" t="n"/>
      <c r="CU56" s="60" t="n"/>
      <c r="CV56" s="33" t="n"/>
      <c r="CW56" s="60" t="n"/>
      <c r="CX56" s="60" t="n"/>
      <c r="CY56" s="60" t="n"/>
      <c r="CZ56" s="33" t="n"/>
      <c r="DA56" s="60" t="n"/>
      <c r="DB56" s="60" t="n"/>
      <c r="DC56" s="33" t="n"/>
      <c r="DD56" s="60" t="n"/>
      <c r="DE56" s="60" t="n"/>
      <c r="DF56" s="33" t="n"/>
      <c r="DG56" s="60" t="n"/>
      <c r="DH56" s="60" t="n"/>
      <c r="DI56" s="33" t="n"/>
      <c r="DJ56" s="60" t="n"/>
      <c r="DK56" s="60" t="n"/>
      <c r="DL56" s="33" t="n"/>
      <c r="DM56" s="60" t="n"/>
      <c r="DN56" s="60" t="n"/>
      <c r="DO56" s="33" t="n"/>
      <c r="DP56" s="60" t="n"/>
      <c r="DQ56" s="60" t="n"/>
      <c r="DR56" s="60" t="n"/>
      <c r="DS56" s="33" t="n"/>
      <c r="DT56" s="60" t="n"/>
      <c r="DU56" s="60" t="n"/>
      <c r="DV56" s="33" t="n"/>
      <c r="DW56" s="60" t="n"/>
      <c r="DX56" s="60" t="n"/>
      <c r="DY56" s="33" t="n"/>
      <c r="DZ56" s="60" t="n"/>
      <c r="EA56" s="60" t="n"/>
      <c r="EB56" s="33" t="n"/>
      <c r="EC56" s="60" t="n"/>
      <c r="ED56" s="60" t="n"/>
      <c r="EE56" s="33" t="n"/>
      <c r="EF56" s="60" t="n"/>
      <c r="EG56" s="60" t="n"/>
      <c r="EH56" s="33" t="n"/>
      <c r="EI56" s="60" t="n"/>
      <c r="EJ56" s="60" t="n"/>
    </row>
    <row r="57" ht="16" customFormat="1" customHeight="1" s="4" thickBot="1">
      <c r="A57" s="34" t="inlineStr">
        <is>
          <t>DMG-PEG Concentration</t>
        </is>
      </c>
      <c r="B57" s="35" t="inlineStr">
        <is>
          <t>mg/ml</t>
        </is>
      </c>
      <c r="C57" s="81" t="n"/>
      <c r="D57" s="61" t="n"/>
      <c r="E57" s="34" t="n"/>
      <c r="F57" s="35" t="n"/>
      <c r="G57" s="61" t="n"/>
      <c r="H57" s="61" t="n"/>
      <c r="I57" s="35" t="n"/>
      <c r="J57" s="61" t="n"/>
      <c r="K57" s="61" t="n"/>
      <c r="L57" s="35" t="n"/>
      <c r="M57" s="61" t="n"/>
      <c r="N57" s="61" t="n"/>
      <c r="O57" s="35" t="n"/>
      <c r="P57" s="61" t="n"/>
      <c r="Q57" s="61" t="n"/>
      <c r="R57" s="35" t="n"/>
      <c r="S57" s="61" t="n"/>
      <c r="T57" s="61" t="n"/>
      <c r="U57" s="35" t="n"/>
      <c r="V57" s="61" t="n"/>
      <c r="W57" s="61" t="n"/>
      <c r="X57" s="35" t="n"/>
      <c r="Y57" s="61" t="n"/>
      <c r="Z57" s="61" t="n"/>
      <c r="AA57" s="61" t="n"/>
      <c r="AB57" s="35" t="n"/>
      <c r="AC57" s="61" t="n"/>
      <c r="AD57" s="61" t="n"/>
      <c r="AE57" s="35" t="n"/>
      <c r="AF57" s="61" t="n"/>
      <c r="AG57" s="61" t="n"/>
      <c r="AH57" s="35" t="n"/>
      <c r="AI57" s="61" t="n"/>
      <c r="AJ57" s="61" t="n"/>
      <c r="AK57" s="35" t="n"/>
      <c r="AL57" s="61" t="n"/>
      <c r="AM57" s="61" t="n"/>
      <c r="AN57" s="35" t="n"/>
      <c r="AO57" s="61" t="n"/>
      <c r="AP57" s="61" t="n"/>
      <c r="AQ57" s="35" t="n"/>
      <c r="AR57" s="61" t="n"/>
      <c r="AS57" s="61" t="n"/>
      <c r="AT57" s="61" t="n"/>
      <c r="AU57" s="35" t="n"/>
      <c r="AV57" s="61" t="n"/>
      <c r="AW57" s="61" t="n"/>
      <c r="AX57" s="35" t="n"/>
      <c r="AY57" s="61" t="n"/>
      <c r="AZ57" s="61" t="n"/>
      <c r="BA57" s="35" t="n"/>
      <c r="BB57" s="61" t="n"/>
      <c r="BC57" s="61" t="n"/>
      <c r="BD57" s="35" t="n"/>
      <c r="BE57" s="61" t="n"/>
      <c r="BF57" s="61" t="n"/>
      <c r="BG57" s="35" t="n"/>
      <c r="BH57" s="61" t="n"/>
      <c r="BI57" s="61" t="n"/>
      <c r="BJ57" s="35" t="n"/>
      <c r="BK57" s="61" t="n"/>
      <c r="BL57" s="61" t="n"/>
      <c r="BM57" s="61" t="n"/>
      <c r="BN57" s="35" t="n"/>
      <c r="BO57" s="61" t="n"/>
      <c r="BP57" s="61" t="n"/>
      <c r="BQ57" s="35" t="n"/>
      <c r="BR57" s="61" t="n"/>
      <c r="BS57" s="61" t="n"/>
      <c r="BT57" s="35" t="n"/>
      <c r="BU57" s="61" t="n"/>
      <c r="BV57" s="61" t="n"/>
      <c r="BW57" s="35" t="n"/>
      <c r="BX57" s="61" t="n"/>
      <c r="BY57" s="61" t="n"/>
      <c r="BZ57" s="35" t="n"/>
      <c r="CA57" s="61" t="n"/>
      <c r="CB57" s="61" t="n"/>
      <c r="CC57" s="35" t="n"/>
      <c r="CD57" s="61" t="n"/>
      <c r="CE57" s="61" t="n"/>
      <c r="CF57" s="61" t="n"/>
      <c r="CG57" s="35" t="n"/>
      <c r="CH57" s="61" t="n"/>
      <c r="CI57" s="61" t="n"/>
      <c r="CJ57" s="35" t="n"/>
      <c r="CK57" s="61" t="n"/>
      <c r="CL57" s="61" t="n"/>
      <c r="CM57" s="35" t="n"/>
      <c r="CN57" s="61" t="n"/>
      <c r="CO57" s="61" t="n"/>
      <c r="CP57" s="35" t="n"/>
      <c r="CQ57" s="61" t="n"/>
      <c r="CR57" s="61" t="n"/>
      <c r="CS57" s="35" t="n"/>
      <c r="CT57" s="61" t="n"/>
      <c r="CU57" s="61" t="n"/>
      <c r="CV57" s="35" t="n"/>
      <c r="CW57" s="61" t="n"/>
      <c r="CX57" s="61" t="n"/>
      <c r="CY57" s="61" t="n"/>
      <c r="CZ57" s="35" t="n"/>
      <c r="DA57" s="61" t="n"/>
      <c r="DB57" s="61" t="n"/>
      <c r="DC57" s="35" t="n"/>
      <c r="DD57" s="61" t="n"/>
      <c r="DE57" s="61" t="n"/>
      <c r="DF57" s="35" t="n"/>
      <c r="DG57" s="61" t="n"/>
      <c r="DH57" s="61" t="n"/>
      <c r="DI57" s="35" t="n"/>
      <c r="DJ57" s="61" t="n"/>
      <c r="DK57" s="61" t="n"/>
      <c r="DL57" s="35" t="n"/>
      <c r="DM57" s="61" t="n"/>
      <c r="DN57" s="61" t="n"/>
      <c r="DO57" s="35" t="n"/>
      <c r="DP57" s="61" t="n"/>
      <c r="DQ57" s="61" t="n"/>
      <c r="DR57" s="61" t="n"/>
      <c r="DS57" s="35" t="n"/>
      <c r="DT57" s="61" t="n"/>
      <c r="DU57" s="61" t="n"/>
      <c r="DV57" s="35" t="n"/>
      <c r="DW57" s="61" t="n"/>
      <c r="DX57" s="61" t="n"/>
      <c r="DY57" s="35" t="n"/>
      <c r="DZ57" s="61" t="n"/>
      <c r="EA57" s="61" t="n"/>
      <c r="EB57" s="35" t="n"/>
      <c r="EC57" s="61" t="n"/>
      <c r="ED57" s="61" t="n"/>
      <c r="EE57" s="35" t="n"/>
      <c r="EF57" s="61" t="n"/>
      <c r="EG57" s="61" t="n"/>
      <c r="EH57" s="35" t="n"/>
      <c r="EI57" s="61" t="n"/>
      <c r="EJ57" s="61" t="n"/>
    </row>
    <row r="58">
      <c r="A58" t="inlineStr">
        <is>
          <t>Nucleic Acid:Lipid ratio (v/v)</t>
        </is>
      </c>
      <c r="B58" s="15" t="n"/>
      <c r="C58" s="78" t="n">
        <v>3</v>
      </c>
      <c r="D58" s="58" t="n">
        <v>3</v>
      </c>
      <c r="E58" s="1" t="n">
        <v>3</v>
      </c>
      <c r="F58" s="15" t="n">
        <v>3</v>
      </c>
      <c r="G58" s="58" t="n">
        <v>3</v>
      </c>
      <c r="H58" s="58" t="n">
        <v>3</v>
      </c>
      <c r="I58" s="15" t="n">
        <v>3</v>
      </c>
      <c r="J58" s="58" t="n">
        <v>3</v>
      </c>
      <c r="K58" s="58" t="n">
        <v>3</v>
      </c>
      <c r="L58" s="15" t="n">
        <v>3</v>
      </c>
      <c r="M58" s="58" t="n">
        <v>3</v>
      </c>
      <c r="N58" s="58" t="n">
        <v>3</v>
      </c>
      <c r="O58" s="15" t="n">
        <v>3</v>
      </c>
      <c r="P58" s="58" t="n">
        <v>3</v>
      </c>
      <c r="Q58" s="58" t="n">
        <v>3</v>
      </c>
      <c r="R58" s="15" t="n">
        <v>3</v>
      </c>
      <c r="S58" s="58" t="n">
        <v>3</v>
      </c>
      <c r="T58" s="58" t="n">
        <v>3</v>
      </c>
      <c r="U58" s="15" t="n">
        <v>3</v>
      </c>
      <c r="V58" s="58" t="n">
        <v>3</v>
      </c>
      <c r="W58" s="58" t="n">
        <v>3</v>
      </c>
      <c r="X58" s="15" t="n">
        <v>3</v>
      </c>
      <c r="Y58" s="58" t="n">
        <v>3</v>
      </c>
      <c r="Z58" s="58" t="n">
        <v>3</v>
      </c>
      <c r="AA58" s="58" t="n">
        <v>3</v>
      </c>
      <c r="AB58" s="15" t="n">
        <v>3</v>
      </c>
      <c r="AC58" s="58" t="n">
        <v>3</v>
      </c>
      <c r="AD58" s="58" t="n">
        <v>3</v>
      </c>
      <c r="AE58" s="15" t="n">
        <v>3</v>
      </c>
      <c r="AF58" s="58" t="n">
        <v>3</v>
      </c>
      <c r="AG58" s="58" t="n">
        <v>3</v>
      </c>
      <c r="AH58" s="15" t="n">
        <v>3</v>
      </c>
      <c r="AI58" s="58" t="n">
        <v>3</v>
      </c>
      <c r="AJ58" s="58" t="n">
        <v>3</v>
      </c>
      <c r="AK58" s="15" t="n">
        <v>3</v>
      </c>
      <c r="AL58" s="58" t="n">
        <v>3</v>
      </c>
      <c r="AM58" s="58" t="n">
        <v>3</v>
      </c>
      <c r="AN58" s="15" t="n">
        <v>3</v>
      </c>
      <c r="AO58" s="58" t="n">
        <v>3</v>
      </c>
      <c r="AP58" s="58" t="n">
        <v>3</v>
      </c>
      <c r="AQ58" s="15" t="n">
        <v>3</v>
      </c>
      <c r="AR58" s="58" t="n">
        <v>3</v>
      </c>
      <c r="AS58" s="58" t="n">
        <v>3</v>
      </c>
      <c r="AT58" s="58" t="n">
        <v>3</v>
      </c>
      <c r="AU58" s="15" t="n">
        <v>3</v>
      </c>
      <c r="AV58" s="58" t="n">
        <v>3</v>
      </c>
      <c r="AW58" s="58" t="n">
        <v>3</v>
      </c>
      <c r="AX58" s="15" t="n">
        <v>3</v>
      </c>
      <c r="AY58" s="58" t="n">
        <v>3</v>
      </c>
      <c r="AZ58" s="58" t="n">
        <v>3</v>
      </c>
      <c r="BA58" s="15" t="n">
        <v>3</v>
      </c>
      <c r="BB58" s="58" t="n">
        <v>3</v>
      </c>
      <c r="BC58" s="58" t="n">
        <v>3</v>
      </c>
      <c r="BD58" s="15" t="n">
        <v>3</v>
      </c>
      <c r="BE58" s="58" t="n">
        <v>3</v>
      </c>
      <c r="BF58" s="58" t="n">
        <v>3</v>
      </c>
      <c r="BG58" s="15" t="n">
        <v>3</v>
      </c>
      <c r="BH58" s="58" t="n">
        <v>3</v>
      </c>
      <c r="BI58" s="58" t="n">
        <v>3</v>
      </c>
      <c r="BJ58" s="15" t="n">
        <v>3</v>
      </c>
      <c r="BK58" s="58" t="n">
        <v>3</v>
      </c>
      <c r="BL58" s="58" t="n">
        <v>3</v>
      </c>
      <c r="BM58" s="58" t="n">
        <v>3</v>
      </c>
      <c r="BN58" s="15" t="n">
        <v>3</v>
      </c>
      <c r="BO58" s="58" t="n">
        <v>3</v>
      </c>
      <c r="BP58" s="58" t="n">
        <v>3</v>
      </c>
      <c r="BQ58" s="15" t="n">
        <v>3</v>
      </c>
      <c r="BR58" s="58" t="n">
        <v>3</v>
      </c>
      <c r="BS58" s="58" t="n">
        <v>3</v>
      </c>
      <c r="BT58" s="15" t="n">
        <v>3</v>
      </c>
      <c r="BU58" s="58" t="n">
        <v>3</v>
      </c>
      <c r="BV58" s="58" t="n">
        <v>3</v>
      </c>
      <c r="BW58" s="15" t="n">
        <v>3</v>
      </c>
      <c r="BX58" s="58" t="n">
        <v>3</v>
      </c>
      <c r="BY58" s="58" t="n">
        <v>3</v>
      </c>
      <c r="BZ58" s="15" t="n">
        <v>3</v>
      </c>
      <c r="CA58" s="58" t="n">
        <v>3</v>
      </c>
      <c r="CB58" s="58" t="n">
        <v>3</v>
      </c>
      <c r="CC58" s="15" t="n">
        <v>3</v>
      </c>
      <c r="CD58" s="58" t="n">
        <v>3</v>
      </c>
      <c r="CE58" s="58" t="n">
        <v>3</v>
      </c>
      <c r="CF58" s="58" t="n">
        <v>3</v>
      </c>
      <c r="CG58" s="15" t="n">
        <v>3</v>
      </c>
      <c r="CH58" s="58" t="n">
        <v>3</v>
      </c>
      <c r="CI58" s="58" t="n">
        <v>3</v>
      </c>
      <c r="CJ58" s="15" t="n">
        <v>3</v>
      </c>
      <c r="CK58" s="58" t="n">
        <v>3</v>
      </c>
      <c r="CL58" s="58" t="n">
        <v>3</v>
      </c>
      <c r="CM58" s="15" t="n">
        <v>3</v>
      </c>
      <c r="CN58" s="58" t="n">
        <v>3</v>
      </c>
      <c r="CO58" s="58" t="n">
        <v>3</v>
      </c>
      <c r="CP58" s="15" t="n">
        <v>3</v>
      </c>
      <c r="CQ58" s="58" t="n">
        <v>3</v>
      </c>
      <c r="CR58" s="58" t="n">
        <v>3</v>
      </c>
      <c r="CS58" s="15" t="n">
        <v>3</v>
      </c>
      <c r="CT58" s="58" t="n">
        <v>3</v>
      </c>
      <c r="CU58" s="58" t="n">
        <v>3</v>
      </c>
      <c r="CV58" s="15" t="n">
        <v>3</v>
      </c>
      <c r="CW58" s="58" t="n">
        <v>3</v>
      </c>
      <c r="CX58" s="58" t="n">
        <v>3</v>
      </c>
      <c r="CY58" s="58" t="n">
        <v>3</v>
      </c>
      <c r="CZ58" s="15" t="n">
        <v>3</v>
      </c>
      <c r="DA58" s="58" t="n">
        <v>3</v>
      </c>
      <c r="DB58" s="58" t="n">
        <v>3</v>
      </c>
      <c r="DC58" s="15" t="n">
        <v>3</v>
      </c>
      <c r="DD58" s="58" t="n">
        <v>3</v>
      </c>
      <c r="DE58" s="58" t="n">
        <v>3</v>
      </c>
      <c r="DF58" s="15" t="n">
        <v>3</v>
      </c>
      <c r="DG58" s="58" t="n">
        <v>3</v>
      </c>
      <c r="DH58" s="58" t="n">
        <v>3</v>
      </c>
      <c r="DI58" s="15" t="n">
        <v>3</v>
      </c>
      <c r="DJ58" s="58" t="n">
        <v>3</v>
      </c>
      <c r="DK58" s="58" t="n">
        <v>3</v>
      </c>
      <c r="DL58" s="15" t="n">
        <v>3</v>
      </c>
      <c r="DM58" s="58" t="n">
        <v>3</v>
      </c>
      <c r="DN58" s="58" t="n">
        <v>3</v>
      </c>
      <c r="DO58" s="15" t="n">
        <v>3</v>
      </c>
      <c r="DP58" s="58" t="n">
        <v>3</v>
      </c>
      <c r="DQ58" s="58" t="n">
        <v>3</v>
      </c>
      <c r="DR58" s="58" t="n">
        <v>3</v>
      </c>
      <c r="DS58" s="15" t="n">
        <v>3</v>
      </c>
      <c r="DT58" s="58" t="n">
        <v>3</v>
      </c>
      <c r="DU58" s="58" t="n">
        <v>3</v>
      </c>
      <c r="DV58" s="15" t="n">
        <v>3</v>
      </c>
      <c r="DW58" s="58" t="n">
        <v>3</v>
      </c>
      <c r="DX58" s="58" t="n">
        <v>3</v>
      </c>
      <c r="DY58" s="15" t="n">
        <v>3</v>
      </c>
      <c r="DZ58" s="58" t="n">
        <v>3</v>
      </c>
      <c r="EA58" s="58" t="n">
        <v>3</v>
      </c>
      <c r="EB58" s="15" t="n">
        <v>3</v>
      </c>
      <c r="EC58" s="58" t="n">
        <v>3</v>
      </c>
      <c r="ED58" s="58" t="n">
        <v>3</v>
      </c>
      <c r="EE58" s="15" t="n">
        <v>3</v>
      </c>
      <c r="EF58" s="58" t="n">
        <v>3</v>
      </c>
      <c r="EG58" s="58" t="n">
        <v>3</v>
      </c>
      <c r="EH58" s="15" t="n">
        <v>3</v>
      </c>
      <c r="EI58" s="58" t="n">
        <v>3</v>
      </c>
      <c r="EJ58" s="58" t="n">
        <v>3</v>
      </c>
    </row>
    <row r="59">
      <c r="A59" t="inlineStr">
        <is>
          <t>Nucleic Acid Stock Concentration</t>
        </is>
      </c>
      <c r="B59" s="15" t="inlineStr">
        <is>
          <t>ug/ml</t>
        </is>
      </c>
      <c r="C59" s="78" t="n">
        <v>1000</v>
      </c>
      <c r="D59" s="58" t="n">
        <v>1000</v>
      </c>
      <c r="E59" s="1" t="n">
        <v>1000</v>
      </c>
      <c r="F59" s="15" t="n">
        <v>1000</v>
      </c>
      <c r="G59" s="58" t="n">
        <v>1000</v>
      </c>
      <c r="H59" s="58" t="n">
        <v>1000</v>
      </c>
      <c r="I59" s="15" t="n">
        <v>1000</v>
      </c>
      <c r="J59" s="58" t="n">
        <v>1000</v>
      </c>
      <c r="K59" s="58" t="n">
        <v>1000</v>
      </c>
      <c r="L59" s="15" t="n">
        <v>1000</v>
      </c>
      <c r="M59" s="58" t="n">
        <v>1000</v>
      </c>
      <c r="N59" s="58" t="n">
        <v>1000</v>
      </c>
      <c r="O59" s="15" t="n">
        <v>1000</v>
      </c>
      <c r="P59" s="58" t="n">
        <v>1000</v>
      </c>
      <c r="Q59" s="58" t="n">
        <v>1000</v>
      </c>
      <c r="R59" s="15" t="n">
        <v>1000</v>
      </c>
      <c r="S59" s="58" t="n">
        <v>1000</v>
      </c>
      <c r="T59" s="58" t="n">
        <v>1000</v>
      </c>
      <c r="U59" s="15" t="n">
        <v>1000</v>
      </c>
      <c r="V59" s="58" t="n">
        <v>1000</v>
      </c>
      <c r="W59" s="58" t="n">
        <v>1000</v>
      </c>
      <c r="X59" s="15" t="n">
        <v>1000</v>
      </c>
      <c r="Y59" s="58" t="n">
        <v>1000</v>
      </c>
      <c r="Z59" s="58" t="n">
        <v>1000</v>
      </c>
      <c r="AA59" s="58" t="n">
        <v>1000</v>
      </c>
      <c r="AB59" s="15" t="n">
        <v>1000</v>
      </c>
      <c r="AC59" s="58" t="n">
        <v>1000</v>
      </c>
      <c r="AD59" s="58" t="n">
        <v>1000</v>
      </c>
      <c r="AE59" s="15" t="n">
        <v>1000</v>
      </c>
      <c r="AF59" s="58" t="n">
        <v>1000</v>
      </c>
      <c r="AG59" s="58" t="n">
        <v>1000</v>
      </c>
      <c r="AH59" s="15" t="n">
        <v>1000</v>
      </c>
      <c r="AI59" s="58" t="n">
        <v>1000</v>
      </c>
      <c r="AJ59" s="58" t="n">
        <v>1000</v>
      </c>
      <c r="AK59" s="15" t="n">
        <v>1000</v>
      </c>
      <c r="AL59" s="58" t="n">
        <v>1000</v>
      </c>
      <c r="AM59" s="58" t="n">
        <v>1000</v>
      </c>
      <c r="AN59" s="15" t="n">
        <v>1000</v>
      </c>
      <c r="AO59" s="58" t="n">
        <v>1000</v>
      </c>
      <c r="AP59" s="58" t="n">
        <v>1000</v>
      </c>
      <c r="AQ59" s="15" t="n">
        <v>1000</v>
      </c>
      <c r="AR59" s="58" t="n">
        <v>1000</v>
      </c>
      <c r="AS59" s="58" t="n">
        <v>1000</v>
      </c>
      <c r="AT59" s="58" t="n">
        <v>1000</v>
      </c>
      <c r="AU59" s="15" t="n">
        <v>1000</v>
      </c>
      <c r="AV59" s="58" t="n">
        <v>1000</v>
      </c>
      <c r="AW59" s="58" t="n">
        <v>1000</v>
      </c>
      <c r="AX59" s="15" t="n">
        <v>1000</v>
      </c>
      <c r="AY59" s="58" t="n">
        <v>1000</v>
      </c>
      <c r="AZ59" s="58" t="n">
        <v>1000</v>
      </c>
      <c r="BA59" s="15" t="n">
        <v>1000</v>
      </c>
      <c r="BB59" s="58" t="n">
        <v>1000</v>
      </c>
      <c r="BC59" s="58" t="n">
        <v>1000</v>
      </c>
      <c r="BD59" s="15" t="n">
        <v>1000</v>
      </c>
      <c r="BE59" s="58" t="n">
        <v>1000</v>
      </c>
      <c r="BF59" s="58" t="n">
        <v>1000</v>
      </c>
      <c r="BG59" s="15" t="n">
        <v>1000</v>
      </c>
      <c r="BH59" s="58" t="n">
        <v>1000</v>
      </c>
      <c r="BI59" s="58" t="n">
        <v>1000</v>
      </c>
      <c r="BJ59" s="15" t="n">
        <v>1000</v>
      </c>
      <c r="BK59" s="58" t="n">
        <v>1000</v>
      </c>
      <c r="BL59" s="58" t="n">
        <v>1000</v>
      </c>
      <c r="BM59" s="58" t="n">
        <v>1000</v>
      </c>
      <c r="BN59" s="15" t="n">
        <v>1000</v>
      </c>
      <c r="BO59" s="58" t="n">
        <v>1000</v>
      </c>
      <c r="BP59" s="58" t="n">
        <v>1000</v>
      </c>
      <c r="BQ59" s="15" t="n">
        <v>1000</v>
      </c>
      <c r="BR59" s="58" t="n">
        <v>1000</v>
      </c>
      <c r="BS59" s="58" t="n">
        <v>1000</v>
      </c>
      <c r="BT59" s="15" t="n">
        <v>1000</v>
      </c>
      <c r="BU59" s="58" t="n">
        <v>1000</v>
      </c>
      <c r="BV59" s="58" t="n">
        <v>1000</v>
      </c>
      <c r="BW59" s="15" t="n">
        <v>1000</v>
      </c>
      <c r="BX59" s="58" t="n">
        <v>1000</v>
      </c>
      <c r="BY59" s="58" t="n">
        <v>1000</v>
      </c>
      <c r="BZ59" s="15" t="n">
        <v>1000</v>
      </c>
      <c r="CA59" s="58" t="n">
        <v>1000</v>
      </c>
      <c r="CB59" s="58" t="n">
        <v>1000</v>
      </c>
      <c r="CC59" s="15" t="n">
        <v>1000</v>
      </c>
      <c r="CD59" s="58" t="n">
        <v>1000</v>
      </c>
      <c r="CE59" s="58" t="n">
        <v>1000</v>
      </c>
      <c r="CF59" s="58" t="n">
        <v>1000</v>
      </c>
      <c r="CG59" s="15" t="n">
        <v>1000</v>
      </c>
      <c r="CH59" s="58" t="n">
        <v>1000</v>
      </c>
      <c r="CI59" s="58" t="n">
        <v>1000</v>
      </c>
      <c r="CJ59" s="15" t="n">
        <v>1000</v>
      </c>
      <c r="CK59" s="58" t="n">
        <v>1000</v>
      </c>
      <c r="CL59" s="58" t="n">
        <v>1000</v>
      </c>
      <c r="CM59" s="15" t="n">
        <v>1000</v>
      </c>
      <c r="CN59" s="58" t="n">
        <v>1000</v>
      </c>
      <c r="CO59" s="58" t="n">
        <v>1000</v>
      </c>
      <c r="CP59" s="15" t="n">
        <v>1000</v>
      </c>
      <c r="CQ59" s="58" t="n">
        <v>1000</v>
      </c>
      <c r="CR59" s="58" t="n">
        <v>1000</v>
      </c>
      <c r="CS59" s="15" t="n">
        <v>1000</v>
      </c>
      <c r="CT59" s="58" t="n">
        <v>1000</v>
      </c>
      <c r="CU59" s="58" t="n">
        <v>1000</v>
      </c>
      <c r="CV59" s="15" t="n">
        <v>1000</v>
      </c>
      <c r="CW59" s="58" t="n">
        <v>1000</v>
      </c>
      <c r="CX59" s="58" t="n">
        <v>1000</v>
      </c>
      <c r="CY59" s="58" t="n">
        <v>1000</v>
      </c>
      <c r="CZ59" s="15" t="n">
        <v>1000</v>
      </c>
      <c r="DA59" s="58" t="n">
        <v>1000</v>
      </c>
      <c r="DB59" s="58" t="n">
        <v>1000</v>
      </c>
      <c r="DC59" s="15" t="n">
        <v>1000</v>
      </c>
      <c r="DD59" s="58" t="n">
        <v>1000</v>
      </c>
      <c r="DE59" s="58" t="n">
        <v>1000</v>
      </c>
      <c r="DF59" s="15" t="n">
        <v>1000</v>
      </c>
      <c r="DG59" s="58" t="n">
        <v>1000</v>
      </c>
      <c r="DH59" s="58" t="n">
        <v>1000</v>
      </c>
      <c r="DI59" s="15" t="n">
        <v>1000</v>
      </c>
      <c r="DJ59" s="58" t="n">
        <v>1000</v>
      </c>
      <c r="DK59" s="58" t="n">
        <v>1000</v>
      </c>
      <c r="DL59" s="15" t="n">
        <v>1000</v>
      </c>
      <c r="DM59" s="58" t="n">
        <v>1000</v>
      </c>
      <c r="DN59" s="58" t="n">
        <v>1000</v>
      </c>
      <c r="DO59" s="15" t="n">
        <v>1000</v>
      </c>
      <c r="DP59" s="58" t="n">
        <v>1000</v>
      </c>
      <c r="DQ59" s="58" t="n">
        <v>1000</v>
      </c>
      <c r="DR59" s="58" t="n">
        <v>1000</v>
      </c>
      <c r="DS59" s="15" t="n">
        <v>1000</v>
      </c>
      <c r="DT59" s="58" t="n">
        <v>1000</v>
      </c>
      <c r="DU59" s="58" t="n">
        <v>1000</v>
      </c>
      <c r="DV59" s="15" t="n">
        <v>1000</v>
      </c>
      <c r="DW59" s="58" t="n">
        <v>1000</v>
      </c>
      <c r="DX59" s="58" t="n">
        <v>1000</v>
      </c>
      <c r="DY59" s="15" t="n">
        <v>1000</v>
      </c>
      <c r="DZ59" s="58" t="n">
        <v>1000</v>
      </c>
      <c r="EA59" s="58" t="n">
        <v>1000</v>
      </c>
      <c r="EB59" s="15" t="n">
        <v>1000</v>
      </c>
      <c r="EC59" s="58" t="n">
        <v>1000</v>
      </c>
      <c r="ED59" s="58" t="n">
        <v>1000</v>
      </c>
      <c r="EE59" s="15" t="n">
        <v>1000</v>
      </c>
      <c r="EF59" s="58" t="n">
        <v>1000</v>
      </c>
      <c r="EG59" s="58" t="n">
        <v>1000</v>
      </c>
      <c r="EH59" s="15" t="n">
        <v>1000</v>
      </c>
      <c r="EI59" s="58" t="n">
        <v>1000</v>
      </c>
      <c r="EJ59" s="58" t="n">
        <v>1000</v>
      </c>
    </row>
    <row r="60">
      <c r="B60" s="15" t="n"/>
      <c r="C60" s="78" t="n"/>
      <c r="D60" s="58" t="n"/>
      <c r="E60" s="1" t="n"/>
      <c r="F60" s="15" t="n"/>
      <c r="G60" s="58" t="n"/>
      <c r="H60" s="58" t="n"/>
      <c r="I60" s="15" t="n"/>
      <c r="J60" s="58" t="n"/>
      <c r="K60" s="58" t="n"/>
      <c r="L60" s="15" t="n"/>
      <c r="M60" s="58" t="n"/>
      <c r="N60" s="58" t="n"/>
      <c r="O60" s="15" t="n"/>
      <c r="P60" s="58" t="n"/>
      <c r="Q60" s="58" t="n"/>
      <c r="R60" s="15" t="n"/>
      <c r="S60" s="58" t="n"/>
      <c r="T60" s="58" t="n"/>
      <c r="U60" s="15" t="n"/>
      <c r="V60" s="58" t="n"/>
      <c r="W60" s="58" t="n"/>
      <c r="X60" s="15" t="n"/>
      <c r="Y60" s="58" t="n"/>
      <c r="Z60" s="58" t="n"/>
      <c r="AA60" s="58" t="n"/>
      <c r="AB60" s="15" t="n"/>
      <c r="AC60" s="58" t="n"/>
      <c r="AD60" s="58" t="n"/>
      <c r="AE60" s="15" t="n"/>
      <c r="AF60" s="58" t="n"/>
      <c r="AG60" s="58" t="n"/>
      <c r="AH60" s="15" t="n"/>
      <c r="AI60" s="58" t="n"/>
      <c r="AJ60" s="58" t="n"/>
      <c r="AK60" s="15" t="n"/>
      <c r="AL60" s="58" t="n"/>
      <c r="AM60" s="58" t="n"/>
      <c r="AN60" s="15" t="n"/>
      <c r="AO60" s="58" t="n"/>
      <c r="AP60" s="58" t="n"/>
      <c r="AQ60" s="15" t="n"/>
      <c r="AR60" s="58" t="n"/>
      <c r="AS60" s="58" t="n"/>
      <c r="AT60" s="58" t="n"/>
      <c r="AU60" s="15" t="n"/>
      <c r="AV60" s="58" t="n"/>
      <c r="AW60" s="58" t="n"/>
      <c r="AX60" s="15" t="n"/>
      <c r="AY60" s="58" t="n"/>
      <c r="AZ60" s="58" t="n"/>
      <c r="BA60" s="15" t="n"/>
      <c r="BB60" s="58" t="n"/>
      <c r="BC60" s="58" t="n"/>
      <c r="BD60" s="15" t="n"/>
      <c r="BE60" s="58" t="n"/>
      <c r="BF60" s="58" t="n"/>
      <c r="BG60" s="15" t="n"/>
      <c r="BH60" s="58" t="n"/>
      <c r="BI60" s="58" t="n"/>
      <c r="BJ60" s="15" t="n"/>
      <c r="BK60" s="58" t="n"/>
      <c r="BL60" s="58" t="n"/>
      <c r="BM60" s="58" t="n"/>
      <c r="BN60" s="15" t="n"/>
      <c r="BO60" s="58" t="n"/>
      <c r="BP60" s="58" t="n"/>
      <c r="BQ60" s="15" t="n"/>
      <c r="BR60" s="58" t="n"/>
      <c r="BS60" s="58" t="n"/>
      <c r="BT60" s="15" t="n"/>
      <c r="BU60" s="58" t="n"/>
      <c r="BV60" s="58" t="n"/>
      <c r="BW60" s="15" t="n"/>
      <c r="BX60" s="58" t="n"/>
      <c r="BY60" s="58" t="n"/>
      <c r="BZ60" s="15" t="n"/>
      <c r="CA60" s="58" t="n"/>
      <c r="CB60" s="58" t="n"/>
      <c r="CC60" s="15" t="n"/>
      <c r="CD60" s="58" t="n"/>
      <c r="CE60" s="58" t="n"/>
      <c r="CF60" s="58" t="n"/>
      <c r="CG60" s="15" t="n"/>
      <c r="CH60" s="58" t="n"/>
      <c r="CI60" s="58" t="n"/>
      <c r="CJ60" s="15" t="n"/>
      <c r="CK60" s="58" t="n"/>
      <c r="CL60" s="58" t="n"/>
      <c r="CM60" s="15" t="n"/>
      <c r="CN60" s="58" t="n"/>
      <c r="CO60" s="58" t="n"/>
      <c r="CP60" s="15" t="n"/>
      <c r="CQ60" s="58" t="n"/>
      <c r="CR60" s="58" t="n"/>
      <c r="CS60" s="15" t="n"/>
      <c r="CT60" s="58" t="n"/>
      <c r="CU60" s="58" t="n"/>
      <c r="CV60" s="15" t="n"/>
      <c r="CW60" s="58" t="n"/>
      <c r="CX60" s="58" t="n"/>
      <c r="CY60" s="58" t="n"/>
      <c r="CZ60" s="15" t="n"/>
      <c r="DA60" s="58" t="n"/>
      <c r="DB60" s="58" t="n"/>
      <c r="DC60" s="15" t="n"/>
      <c r="DD60" s="58" t="n"/>
      <c r="DE60" s="58" t="n"/>
      <c r="DF60" s="15" t="n"/>
      <c r="DG60" s="58" t="n"/>
      <c r="DH60" s="58" t="n"/>
      <c r="DI60" s="15" t="n"/>
      <c r="DJ60" s="58" t="n"/>
      <c r="DK60" s="58" t="n"/>
      <c r="DL60" s="15" t="n"/>
      <c r="DM60" s="58" t="n"/>
      <c r="DN60" s="58" t="n"/>
      <c r="DO60" s="15" t="n"/>
      <c r="DP60" s="58" t="n"/>
      <c r="DQ60" s="58" t="n"/>
      <c r="DR60" s="58" t="n"/>
      <c r="DS60" s="15" t="n"/>
      <c r="DT60" s="58" t="n"/>
      <c r="DU60" s="58" t="n"/>
      <c r="DV60" s="15" t="n"/>
      <c r="DW60" s="58" t="n"/>
      <c r="DX60" s="58" t="n"/>
      <c r="DY60" s="15" t="n"/>
      <c r="DZ60" s="58" t="n"/>
      <c r="EA60" s="58" t="n"/>
      <c r="EB60" s="15" t="n"/>
      <c r="EC60" s="58" t="n"/>
      <c r="ED60" s="58" t="n"/>
      <c r="EE60" s="15" t="n"/>
      <c r="EF60" s="58" t="n"/>
      <c r="EG60" s="58" t="n"/>
      <c r="EH60" s="15" t="n"/>
      <c r="EI60" s="58" t="n"/>
      <c r="EJ60" s="58" t="n"/>
    </row>
    <row r="61">
      <c r="A61" s="17" t="inlineStr">
        <is>
          <t>Final Volumes to add</t>
        </is>
      </c>
      <c r="B61" s="92" t="n"/>
      <c r="G61" s="55" t="n"/>
      <c r="H61" s="55" t="n"/>
      <c r="J61" s="55" t="n"/>
      <c r="K61" s="55" t="n"/>
      <c r="M61" s="55" t="n"/>
      <c r="N61" s="55" t="n"/>
      <c r="P61" s="55" t="n"/>
      <c r="Q61" s="55" t="n"/>
      <c r="S61" s="55" t="n"/>
      <c r="T61" s="55" t="n"/>
      <c r="V61" s="55" t="n"/>
      <c r="W61" s="55" t="n"/>
      <c r="Y61" s="55" t="n"/>
      <c r="Z61" s="55" t="n"/>
      <c r="AA61" s="55" t="n"/>
      <c r="AC61" s="55" t="n"/>
      <c r="AD61" s="55" t="n"/>
      <c r="AF61" s="55" t="n"/>
      <c r="AG61" s="55" t="n"/>
      <c r="AI61" s="55" t="n"/>
      <c r="AJ61" s="55" t="n"/>
      <c r="AL61" s="55" t="n"/>
      <c r="AM61" s="55" t="n"/>
      <c r="AO61" s="55" t="n"/>
      <c r="AP61" s="55" t="n"/>
      <c r="AR61" s="55" t="n"/>
      <c r="AS61" s="55" t="n"/>
      <c r="AT61" s="55" t="n"/>
      <c r="AV61" s="55" t="n"/>
      <c r="AW61" s="55" t="n"/>
      <c r="AY61" s="55" t="n"/>
      <c r="AZ61" s="55" t="n"/>
      <c r="BB61" s="55" t="n"/>
      <c r="BC61" s="55" t="n"/>
      <c r="BE61" s="55" t="n"/>
      <c r="BF61" s="55" t="n"/>
      <c r="BH61" s="55" t="n"/>
      <c r="BI61" s="55" t="n"/>
      <c r="BK61" s="55" t="n"/>
      <c r="BL61" s="55" t="n"/>
      <c r="BM61" s="55" t="n"/>
      <c r="BO61" s="55" t="n"/>
      <c r="BP61" s="55" t="n"/>
      <c r="BR61" s="55" t="n"/>
      <c r="BS61" s="55" t="n"/>
      <c r="BU61" s="55" t="n"/>
      <c r="BV61" s="55" t="n"/>
      <c r="BX61" s="55" t="n"/>
      <c r="BY61" s="55" t="n"/>
      <c r="CA61" s="55" t="n"/>
      <c r="CB61" s="55" t="n"/>
      <c r="CD61" s="55" t="n"/>
      <c r="CE61" s="55" t="n"/>
      <c r="CF61" s="55" t="n"/>
      <c r="CH61" s="55" t="n"/>
      <c r="CI61" s="55" t="n"/>
      <c r="CK61" s="55" t="n"/>
      <c r="CL61" s="55" t="n"/>
      <c r="CN61" s="55" t="n"/>
      <c r="CO61" s="55" t="n"/>
      <c r="CQ61" s="55" t="n"/>
      <c r="CR61" s="55" t="n"/>
      <c r="CT61" s="55" t="n"/>
      <c r="CU61" s="55" t="n"/>
      <c r="CW61" s="55" t="n"/>
      <c r="CX61" s="55" t="n"/>
      <c r="CY61" s="55" t="n"/>
      <c r="DA61" s="55" t="n"/>
      <c r="DB61" s="55" t="n"/>
      <c r="DD61" s="55" t="n"/>
      <c r="DE61" s="55" t="n"/>
      <c r="DG61" s="55" t="n"/>
      <c r="DH61" s="55" t="n"/>
      <c r="DJ61" s="55" t="n"/>
      <c r="DK61" s="55" t="n"/>
      <c r="DM61" s="55" t="n"/>
      <c r="DN61" s="55" t="n"/>
      <c r="DP61" s="55" t="n"/>
      <c r="DQ61" s="55" t="n"/>
      <c r="DR61" s="55" t="n"/>
      <c r="DT61" s="55" t="n"/>
      <c r="DU61" s="55" t="n"/>
      <c r="DW61" s="55" t="n"/>
      <c r="DX61" s="55" t="n"/>
      <c r="DZ61" s="55" t="n"/>
      <c r="EA61" s="55" t="n"/>
      <c r="EC61" s="55" t="n"/>
      <c r="ED61" s="55" t="n"/>
      <c r="EF61" s="55" t="n"/>
      <c r="EG61" s="55" t="n"/>
      <c r="EI61" s="55" t="n"/>
      <c r="EJ61" s="55" t="n"/>
    </row>
    <row r="62" ht="16" customHeight="1" thickBot="1">
      <c r="A62" s="18" t="inlineStr">
        <is>
          <t>Lipid Phase</t>
        </is>
      </c>
      <c r="B62" s="92" t="n"/>
      <c r="G62" s="55" t="n"/>
      <c r="H62" s="55" t="n"/>
      <c r="J62" s="55" t="n"/>
      <c r="K62" s="55" t="n"/>
      <c r="M62" s="55" t="n"/>
      <c r="N62" s="55" t="n"/>
      <c r="P62" s="55" t="n"/>
      <c r="Q62" s="55" t="n"/>
      <c r="S62" s="55" t="n"/>
      <c r="T62" s="55" t="n"/>
      <c r="V62" s="55" t="n"/>
      <c r="W62" s="55" t="n"/>
      <c r="Y62" s="55" t="n"/>
      <c r="Z62" s="55" t="n"/>
      <c r="AA62" s="55" t="n"/>
      <c r="AC62" s="55" t="n"/>
      <c r="AD62" s="55" t="n"/>
      <c r="AF62" s="55" t="n"/>
      <c r="AG62" s="55" t="n"/>
      <c r="AI62" s="55" t="n"/>
      <c r="AJ62" s="55" t="n"/>
      <c r="AL62" s="55" t="n"/>
      <c r="AM62" s="55" t="n"/>
      <c r="AO62" s="55" t="n"/>
      <c r="AP62" s="55" t="n"/>
      <c r="AR62" s="55" t="n"/>
      <c r="AS62" s="55" t="n"/>
      <c r="AT62" s="55" t="n"/>
      <c r="AV62" s="55" t="n"/>
      <c r="AW62" s="55" t="n"/>
      <c r="AY62" s="55" t="n"/>
      <c r="AZ62" s="55" t="n"/>
      <c r="BB62" s="55" t="n"/>
      <c r="BC62" s="55" t="n"/>
      <c r="BE62" s="55" t="n"/>
      <c r="BF62" s="55" t="n"/>
      <c r="BH62" s="55" t="n"/>
      <c r="BI62" s="55" t="n"/>
      <c r="BK62" s="55" t="n"/>
      <c r="BL62" s="55" t="n"/>
      <c r="BM62" s="55" t="n"/>
      <c r="BO62" s="55" t="n"/>
      <c r="BP62" s="55" t="n"/>
      <c r="BR62" s="55" t="n"/>
      <c r="BS62" s="55" t="n"/>
      <c r="BU62" s="55" t="n"/>
      <c r="BV62" s="55" t="n"/>
      <c r="BX62" s="55" t="n"/>
      <c r="BY62" s="55" t="n"/>
      <c r="CA62" s="55" t="n"/>
      <c r="CB62" s="55" t="n"/>
      <c r="CD62" s="55" t="n"/>
      <c r="CE62" s="55" t="n"/>
      <c r="CF62" s="55" t="n"/>
      <c r="CH62" s="55" t="n"/>
      <c r="CI62" s="55" t="n"/>
      <c r="CK62" s="55" t="n"/>
      <c r="CL62" s="55" t="n"/>
      <c r="CN62" s="55" t="n"/>
      <c r="CO62" s="55" t="n"/>
      <c r="CQ62" s="55" t="n"/>
      <c r="CR62" s="55" t="n"/>
      <c r="CT62" s="55" t="n"/>
      <c r="CU62" s="55" t="n"/>
      <c r="CW62" s="55" t="n"/>
      <c r="CX62" s="55" t="n"/>
      <c r="CY62" s="55" t="n"/>
      <c r="DA62" s="55" t="n"/>
      <c r="DB62" s="55" t="n"/>
      <c r="DD62" s="55" t="n"/>
      <c r="DE62" s="55" t="n"/>
      <c r="DG62" s="55" t="n"/>
      <c r="DH62" s="55" t="n"/>
      <c r="DJ62" s="55" t="n"/>
      <c r="DK62" s="55" t="n"/>
      <c r="DM62" s="55" t="n"/>
      <c r="DN62" s="55" t="n"/>
      <c r="DP62" s="55" t="n"/>
      <c r="DQ62" s="55" t="n"/>
      <c r="DR62" s="55" t="n"/>
      <c r="DT62" s="55" t="n"/>
      <c r="DU62" s="55" t="n"/>
      <c r="DW62" s="55" t="n"/>
      <c r="DX62" s="55" t="n"/>
      <c r="DZ62" s="55" t="n"/>
      <c r="EA62" s="55" t="n"/>
      <c r="EC62" s="55" t="n"/>
      <c r="ED62" s="55" t="n"/>
      <c r="EF62" s="55" t="n"/>
      <c r="EG62" s="55" t="n"/>
      <c r="EI62" s="55" t="n"/>
      <c r="EJ62" s="55" t="n"/>
    </row>
    <row r="63" customFormat="1" s="5">
      <c r="A63" s="36" t="inlineStr">
        <is>
          <t>Ionizable lipid solution (μL)</t>
        </is>
      </c>
      <c r="B63" s="93" t="inlineStr">
        <is>
          <t>ul</t>
        </is>
      </c>
      <c r="C63" s="82">
        <f>C42/C32</f>
        <v/>
      </c>
      <c r="D63" s="62">
        <f>D42/D32</f>
        <v/>
      </c>
      <c r="E63" s="37">
        <f>E42/E32</f>
        <v/>
      </c>
      <c r="F63" s="47">
        <f>F42/F32</f>
        <v/>
      </c>
      <c r="G63" s="62">
        <f>G42/G32</f>
        <v/>
      </c>
      <c r="H63" s="62">
        <f>H42/H32</f>
        <v/>
      </c>
      <c r="I63" s="47">
        <f>I42/I32</f>
        <v/>
      </c>
      <c r="J63" s="62">
        <f>J42/J32</f>
        <v/>
      </c>
      <c r="K63" s="62">
        <f>K42/K32</f>
        <v/>
      </c>
      <c r="L63" s="47">
        <f>L42/L32</f>
        <v/>
      </c>
      <c r="M63" s="62">
        <f>M42/M32</f>
        <v/>
      </c>
      <c r="N63" s="62">
        <f>N42/N32</f>
        <v/>
      </c>
      <c r="O63" s="47">
        <f>O42/O32</f>
        <v/>
      </c>
      <c r="P63" s="62">
        <f>P42/P32</f>
        <v/>
      </c>
      <c r="Q63" s="62">
        <f>Q42/Q32</f>
        <v/>
      </c>
      <c r="R63" s="47">
        <f>R42/R32</f>
        <v/>
      </c>
      <c r="S63" s="62">
        <f>S42/S32</f>
        <v/>
      </c>
      <c r="T63" s="62">
        <f>T42/T32</f>
        <v/>
      </c>
      <c r="U63" s="47">
        <f>U42/U32</f>
        <v/>
      </c>
      <c r="V63" s="62">
        <f>V42/V32</f>
        <v/>
      </c>
      <c r="W63" s="62">
        <f>W42/W32</f>
        <v/>
      </c>
      <c r="X63" s="47">
        <f>X42/X32</f>
        <v/>
      </c>
      <c r="Y63" s="62">
        <f>Y42/Y32</f>
        <v/>
      </c>
      <c r="Z63" s="62">
        <f>Z42/Z32</f>
        <v/>
      </c>
      <c r="AA63" s="62">
        <f>AA42/AA32</f>
        <v/>
      </c>
      <c r="AB63" s="47">
        <f>AB42/AB32</f>
        <v/>
      </c>
      <c r="AC63" s="62">
        <f>AC42/AC32</f>
        <v/>
      </c>
      <c r="AD63" s="62">
        <f>AD42/AD32</f>
        <v/>
      </c>
      <c r="AE63" s="47">
        <f>AE42/AE32</f>
        <v/>
      </c>
      <c r="AF63" s="62">
        <f>AF42/AF32</f>
        <v/>
      </c>
      <c r="AG63" s="62">
        <f>AG42/AG32</f>
        <v/>
      </c>
      <c r="AH63" s="47">
        <f>AH42/AH32</f>
        <v/>
      </c>
      <c r="AI63" s="62">
        <f>AI42/AI32</f>
        <v/>
      </c>
      <c r="AJ63" s="62">
        <f>AJ42/AJ32</f>
        <v/>
      </c>
      <c r="AK63" s="47">
        <f>AK42/AK32</f>
        <v/>
      </c>
      <c r="AL63" s="62">
        <f>AL42/AL32</f>
        <v/>
      </c>
      <c r="AM63" s="62">
        <f>AM42/AM32</f>
        <v/>
      </c>
      <c r="AN63" s="47">
        <f>AN42/AN32</f>
        <v/>
      </c>
      <c r="AO63" s="62">
        <f>AO42/AO32</f>
        <v/>
      </c>
      <c r="AP63" s="62">
        <f>AP42/AP32</f>
        <v/>
      </c>
      <c r="AQ63" s="47">
        <f>AQ42/AQ32</f>
        <v/>
      </c>
      <c r="AR63" s="62">
        <f>AR42/AR32</f>
        <v/>
      </c>
      <c r="AS63" s="62">
        <f>AS42/AS32</f>
        <v/>
      </c>
      <c r="AT63" s="62">
        <f>AT42/AT32</f>
        <v/>
      </c>
      <c r="AU63" s="47">
        <f>AU42/AU32</f>
        <v/>
      </c>
      <c r="AV63" s="62">
        <f>AV42/AV32</f>
        <v/>
      </c>
      <c r="AW63" s="62">
        <f>AW42/AW32</f>
        <v/>
      </c>
      <c r="AX63" s="47">
        <f>AX42/AX32</f>
        <v/>
      </c>
      <c r="AY63" s="62">
        <f>AY42/AY32</f>
        <v/>
      </c>
      <c r="AZ63" s="62">
        <f>AZ42/AZ32</f>
        <v/>
      </c>
      <c r="BA63" s="47">
        <f>BA42/BA32</f>
        <v/>
      </c>
      <c r="BB63" s="62">
        <f>BB42/BB32</f>
        <v/>
      </c>
      <c r="BC63" s="62">
        <f>BC42/BC32</f>
        <v/>
      </c>
      <c r="BD63" s="47">
        <f>BD42/BD32</f>
        <v/>
      </c>
      <c r="BE63" s="62">
        <f>BE42/BE32</f>
        <v/>
      </c>
      <c r="BF63" s="62">
        <f>BF42/BF32</f>
        <v/>
      </c>
      <c r="BG63" s="47">
        <f>BG42/BG32</f>
        <v/>
      </c>
      <c r="BH63" s="62">
        <f>BH42/BH32</f>
        <v/>
      </c>
      <c r="BI63" s="62">
        <f>BI42/BI32</f>
        <v/>
      </c>
      <c r="BJ63" s="47">
        <f>BJ42/BJ32</f>
        <v/>
      </c>
      <c r="BK63" s="62">
        <f>BK42/BK32</f>
        <v/>
      </c>
      <c r="BL63" s="62">
        <f>BL42/BL32</f>
        <v/>
      </c>
      <c r="BM63" s="62">
        <f>BM42/BM32</f>
        <v/>
      </c>
      <c r="BN63" s="47">
        <f>BN42/BN32</f>
        <v/>
      </c>
      <c r="BO63" s="62">
        <f>BO42/BO32</f>
        <v/>
      </c>
      <c r="BP63" s="62">
        <f>BP42/BP32</f>
        <v/>
      </c>
      <c r="BQ63" s="47">
        <f>BQ42/BQ32</f>
        <v/>
      </c>
      <c r="BR63" s="62">
        <f>BR42/BR32</f>
        <v/>
      </c>
      <c r="BS63" s="62">
        <f>BS42/BS32</f>
        <v/>
      </c>
      <c r="BT63" s="47">
        <f>BT42/BT32</f>
        <v/>
      </c>
      <c r="BU63" s="62">
        <f>BU42/BU32</f>
        <v/>
      </c>
      <c r="BV63" s="62">
        <f>BV42/BV32</f>
        <v/>
      </c>
      <c r="BW63" s="47">
        <f>BW42/BW32</f>
        <v/>
      </c>
      <c r="BX63" s="62">
        <f>BX42/BX32</f>
        <v/>
      </c>
      <c r="BY63" s="62">
        <f>BY42/BY32</f>
        <v/>
      </c>
      <c r="BZ63" s="47">
        <f>BZ42/BZ32</f>
        <v/>
      </c>
      <c r="CA63" s="62">
        <f>CA42/CA32</f>
        <v/>
      </c>
      <c r="CB63" s="62">
        <f>CB42/CB32</f>
        <v/>
      </c>
      <c r="CC63" s="47">
        <f>CC42/CC32</f>
        <v/>
      </c>
      <c r="CD63" s="62">
        <f>CD42/CD32</f>
        <v/>
      </c>
      <c r="CE63" s="62">
        <f>CE42/CE32</f>
        <v/>
      </c>
      <c r="CF63" s="62">
        <f>CF42/CF32</f>
        <v/>
      </c>
      <c r="CG63" s="47">
        <f>CG42/CG32</f>
        <v/>
      </c>
      <c r="CH63" s="62">
        <f>CH42/CH32</f>
        <v/>
      </c>
      <c r="CI63" s="62">
        <f>CI42/CI32</f>
        <v/>
      </c>
      <c r="CJ63" s="47">
        <f>CJ42/CJ32</f>
        <v/>
      </c>
      <c r="CK63" s="62">
        <f>CK42/CK32</f>
        <v/>
      </c>
      <c r="CL63" s="62">
        <f>CL42/CL32</f>
        <v/>
      </c>
      <c r="CM63" s="47">
        <f>CM42/CM32</f>
        <v/>
      </c>
      <c r="CN63" s="62">
        <f>CN42/CN32</f>
        <v/>
      </c>
      <c r="CO63" s="62">
        <f>CO42/CO32</f>
        <v/>
      </c>
      <c r="CP63" s="47">
        <f>CP42/CP32</f>
        <v/>
      </c>
      <c r="CQ63" s="62">
        <f>CQ42/CQ32</f>
        <v/>
      </c>
      <c r="CR63" s="62">
        <f>CR42/CR32</f>
        <v/>
      </c>
      <c r="CS63" s="47">
        <f>CS42/CS32</f>
        <v/>
      </c>
      <c r="CT63" s="62">
        <f>CT42/CT32</f>
        <v/>
      </c>
      <c r="CU63" s="62">
        <f>CU42/CU32</f>
        <v/>
      </c>
      <c r="CV63" s="47">
        <f>CV42/CV32</f>
        <v/>
      </c>
      <c r="CW63" s="62">
        <f>CW42/CW32</f>
        <v/>
      </c>
      <c r="CX63" s="62">
        <f>CX42/CX32</f>
        <v/>
      </c>
      <c r="CY63" s="62">
        <f>CY42/CY32</f>
        <v/>
      </c>
      <c r="CZ63" s="47">
        <f>CZ42/CZ32</f>
        <v/>
      </c>
      <c r="DA63" s="62">
        <f>DA42/DA32</f>
        <v/>
      </c>
      <c r="DB63" s="62">
        <f>DB42/DB32</f>
        <v/>
      </c>
      <c r="DC63" s="47">
        <f>DC42/DC32</f>
        <v/>
      </c>
      <c r="DD63" s="62">
        <f>DD42/DD32</f>
        <v/>
      </c>
      <c r="DE63" s="62">
        <f>DE42/DE32</f>
        <v/>
      </c>
      <c r="DF63" s="47">
        <f>DF42/DF32</f>
        <v/>
      </c>
      <c r="DG63" s="62">
        <f>DG42/DG32</f>
        <v/>
      </c>
      <c r="DH63" s="62">
        <f>DH42/DH32</f>
        <v/>
      </c>
      <c r="DI63" s="47">
        <f>DI42/DI32</f>
        <v/>
      </c>
      <c r="DJ63" s="62">
        <f>DJ42/DJ32</f>
        <v/>
      </c>
      <c r="DK63" s="62">
        <f>DK42/DK32</f>
        <v/>
      </c>
      <c r="DL63" s="47">
        <f>DL42/DL32</f>
        <v/>
      </c>
      <c r="DM63" s="62">
        <f>DM42/DM32</f>
        <v/>
      </c>
      <c r="DN63" s="62">
        <f>DN42/DN32</f>
        <v/>
      </c>
      <c r="DO63" s="47">
        <f>DO42/DO32</f>
        <v/>
      </c>
      <c r="DP63" s="62">
        <f>DP42/DP32</f>
        <v/>
      </c>
      <c r="DQ63" s="62">
        <f>DQ42/DQ32</f>
        <v/>
      </c>
      <c r="DR63" s="62">
        <f>DR42/DR32</f>
        <v/>
      </c>
      <c r="DS63" s="47">
        <f>DS42/DS32</f>
        <v/>
      </c>
      <c r="DT63" s="62">
        <f>DT42/DT32</f>
        <v/>
      </c>
      <c r="DU63" s="62">
        <f>DU42/DU32</f>
        <v/>
      </c>
      <c r="DV63" s="47">
        <f>DV42/DV32</f>
        <v/>
      </c>
      <c r="DW63" s="62">
        <f>DW42/DW32</f>
        <v/>
      </c>
      <c r="DX63" s="62">
        <f>DX42/DX32</f>
        <v/>
      </c>
      <c r="DY63" s="47">
        <f>DY42/DY32</f>
        <v/>
      </c>
      <c r="DZ63" s="62">
        <f>DZ42/DZ32</f>
        <v/>
      </c>
      <c r="EA63" s="62">
        <f>EA42/EA32</f>
        <v/>
      </c>
      <c r="EB63" s="47">
        <f>EB42/EB32</f>
        <v/>
      </c>
      <c r="EC63" s="62">
        <f>EC42/EC32</f>
        <v/>
      </c>
      <c r="ED63" s="62">
        <f>ED42/ED32</f>
        <v/>
      </c>
      <c r="EE63" s="47">
        <f>EE42/EE32</f>
        <v/>
      </c>
      <c r="EF63" s="62">
        <f>EF42/EF32</f>
        <v/>
      </c>
      <c r="EG63" s="62">
        <f>EG42/EG32</f>
        <v/>
      </c>
      <c r="EH63" s="47">
        <f>EH42/EH32</f>
        <v/>
      </c>
      <c r="EI63" s="62">
        <f>EI42/EI32</f>
        <v/>
      </c>
      <c r="EJ63" s="62">
        <f>EJ42/EJ32</f>
        <v/>
      </c>
    </row>
    <row r="64" customFormat="1" s="6">
      <c r="A64" s="38" t="inlineStr">
        <is>
          <t>Helper lipid solution (μL)</t>
        </is>
      </c>
      <c r="B64" s="94" t="inlineStr">
        <is>
          <t>ul</t>
        </is>
      </c>
      <c r="C64" s="83">
        <f>C45/C31</f>
        <v/>
      </c>
      <c r="D64" s="63">
        <f>D45/D31</f>
        <v/>
      </c>
      <c r="E64" s="39">
        <f>E45/E31</f>
        <v/>
      </c>
      <c r="F64" s="28">
        <f>F45/F31</f>
        <v/>
      </c>
      <c r="G64" s="63">
        <f>G45/G31</f>
        <v/>
      </c>
      <c r="H64" s="63">
        <f>H45/H31</f>
        <v/>
      </c>
      <c r="I64" s="28">
        <f>I45/I31</f>
        <v/>
      </c>
      <c r="J64" s="63">
        <f>J45/J31</f>
        <v/>
      </c>
      <c r="K64" s="63">
        <f>K45/K31</f>
        <v/>
      </c>
      <c r="L64" s="28">
        <f>L45/L31</f>
        <v/>
      </c>
      <c r="M64" s="63">
        <f>M45/M31</f>
        <v/>
      </c>
      <c r="N64" s="63">
        <f>N45/N31</f>
        <v/>
      </c>
      <c r="O64" s="28">
        <f>O45/O31</f>
        <v/>
      </c>
      <c r="P64" s="63">
        <f>P45/P31</f>
        <v/>
      </c>
      <c r="Q64" s="63">
        <f>Q45/Q31</f>
        <v/>
      </c>
      <c r="R64" s="28">
        <f>R45/R31</f>
        <v/>
      </c>
      <c r="S64" s="63">
        <f>S45/S31</f>
        <v/>
      </c>
      <c r="T64" s="63">
        <f>T45/T31</f>
        <v/>
      </c>
      <c r="U64" s="28">
        <f>U45/U31</f>
        <v/>
      </c>
      <c r="V64" s="63">
        <f>V45/V31</f>
        <v/>
      </c>
      <c r="W64" s="63">
        <f>W45/W31</f>
        <v/>
      </c>
      <c r="X64" s="28">
        <f>X45/X31</f>
        <v/>
      </c>
      <c r="Y64" s="63">
        <f>Y45/Y31</f>
        <v/>
      </c>
      <c r="Z64" s="63">
        <f>Z45/Z31</f>
        <v/>
      </c>
      <c r="AA64" s="63">
        <f>AA45/AA31</f>
        <v/>
      </c>
      <c r="AB64" s="28">
        <f>AB45/AB31</f>
        <v/>
      </c>
      <c r="AC64" s="63">
        <f>AC45/AC31</f>
        <v/>
      </c>
      <c r="AD64" s="63">
        <f>AD45/AD31</f>
        <v/>
      </c>
      <c r="AE64" s="28">
        <f>AE45/AE31</f>
        <v/>
      </c>
      <c r="AF64" s="63">
        <f>AF45/AF31</f>
        <v/>
      </c>
      <c r="AG64" s="63">
        <f>AG45/AG31</f>
        <v/>
      </c>
      <c r="AH64" s="28">
        <f>AH45/AH31</f>
        <v/>
      </c>
      <c r="AI64" s="63">
        <f>AI45/AI31</f>
        <v/>
      </c>
      <c r="AJ64" s="63">
        <f>AJ45/AJ31</f>
        <v/>
      </c>
      <c r="AK64" s="28">
        <f>AK45/AK31</f>
        <v/>
      </c>
      <c r="AL64" s="63">
        <f>AL45/AL31</f>
        <v/>
      </c>
      <c r="AM64" s="63">
        <f>AM45/AM31</f>
        <v/>
      </c>
      <c r="AN64" s="28">
        <f>AN45/AN31</f>
        <v/>
      </c>
      <c r="AO64" s="63">
        <f>AO45/AO31</f>
        <v/>
      </c>
      <c r="AP64" s="63">
        <f>AP45/AP31</f>
        <v/>
      </c>
      <c r="AQ64" s="28">
        <f>AQ45/AQ31</f>
        <v/>
      </c>
      <c r="AR64" s="63">
        <f>AR45/AR31</f>
        <v/>
      </c>
      <c r="AS64" s="63">
        <f>AS45/AS31</f>
        <v/>
      </c>
      <c r="AT64" s="63">
        <f>AT45/AT31</f>
        <v/>
      </c>
      <c r="AU64" s="28">
        <f>AU45/AU31</f>
        <v/>
      </c>
      <c r="AV64" s="63">
        <f>AV45/AV31</f>
        <v/>
      </c>
      <c r="AW64" s="63">
        <f>AW45/AW31</f>
        <v/>
      </c>
      <c r="AX64" s="28">
        <f>AX45/AX31</f>
        <v/>
      </c>
      <c r="AY64" s="63">
        <f>AY45/AY31</f>
        <v/>
      </c>
      <c r="AZ64" s="63">
        <f>AZ45/AZ31</f>
        <v/>
      </c>
      <c r="BA64" s="28">
        <f>BA45/BA31</f>
        <v/>
      </c>
      <c r="BB64" s="63">
        <f>BB45/BB31</f>
        <v/>
      </c>
      <c r="BC64" s="63">
        <f>BC45/BC31</f>
        <v/>
      </c>
      <c r="BD64" s="28">
        <f>BD45/BD31</f>
        <v/>
      </c>
      <c r="BE64" s="63">
        <f>BE45/BE31</f>
        <v/>
      </c>
      <c r="BF64" s="63">
        <f>BF45/BF31</f>
        <v/>
      </c>
      <c r="BG64" s="28">
        <f>BG45/BG31</f>
        <v/>
      </c>
      <c r="BH64" s="63">
        <f>BH45/BH31</f>
        <v/>
      </c>
      <c r="BI64" s="63">
        <f>BI45/BI31</f>
        <v/>
      </c>
      <c r="BJ64" s="28">
        <f>BJ45/BJ31</f>
        <v/>
      </c>
      <c r="BK64" s="63">
        <f>BK45/BK31</f>
        <v/>
      </c>
      <c r="BL64" s="63">
        <f>BL45/BL31</f>
        <v/>
      </c>
      <c r="BM64" s="63">
        <f>BM45/BM31</f>
        <v/>
      </c>
      <c r="BN64" s="28">
        <f>BN45/BN31</f>
        <v/>
      </c>
      <c r="BO64" s="63">
        <f>BO45/BO31</f>
        <v/>
      </c>
      <c r="BP64" s="63">
        <f>BP45/BP31</f>
        <v/>
      </c>
      <c r="BQ64" s="28">
        <f>BQ45/BQ31</f>
        <v/>
      </c>
      <c r="BR64" s="63">
        <f>BR45/BR31</f>
        <v/>
      </c>
      <c r="BS64" s="63">
        <f>BS45/BS31</f>
        <v/>
      </c>
      <c r="BT64" s="28">
        <f>BT45/BT31</f>
        <v/>
      </c>
      <c r="BU64" s="63">
        <f>BU45/BU31</f>
        <v/>
      </c>
      <c r="BV64" s="63">
        <f>BV45/BV31</f>
        <v/>
      </c>
      <c r="BW64" s="28">
        <f>BW45/BW31</f>
        <v/>
      </c>
      <c r="BX64" s="63">
        <f>BX45/BX31</f>
        <v/>
      </c>
      <c r="BY64" s="63">
        <f>BY45/BY31</f>
        <v/>
      </c>
      <c r="BZ64" s="28">
        <f>BZ45/BZ31</f>
        <v/>
      </c>
      <c r="CA64" s="63">
        <f>CA45/CA31</f>
        <v/>
      </c>
      <c r="CB64" s="63">
        <f>CB45/CB31</f>
        <v/>
      </c>
      <c r="CC64" s="28">
        <f>CC45/CC31</f>
        <v/>
      </c>
      <c r="CD64" s="63">
        <f>CD45/CD31</f>
        <v/>
      </c>
      <c r="CE64" s="63">
        <f>CE45/CE31</f>
        <v/>
      </c>
      <c r="CF64" s="63">
        <f>CF45/CF31</f>
        <v/>
      </c>
      <c r="CG64" s="28">
        <f>CG45/CG31</f>
        <v/>
      </c>
      <c r="CH64" s="63">
        <f>CH45/CH31</f>
        <v/>
      </c>
      <c r="CI64" s="63">
        <f>CI45/CI31</f>
        <v/>
      </c>
      <c r="CJ64" s="28">
        <f>CJ45/CJ31</f>
        <v/>
      </c>
      <c r="CK64" s="63">
        <f>CK45/CK31</f>
        <v/>
      </c>
      <c r="CL64" s="63">
        <f>CL45/CL31</f>
        <v/>
      </c>
      <c r="CM64" s="28">
        <f>CM45/CM31</f>
        <v/>
      </c>
      <c r="CN64" s="63">
        <f>CN45/CN31</f>
        <v/>
      </c>
      <c r="CO64" s="63">
        <f>CO45/CO31</f>
        <v/>
      </c>
      <c r="CP64" s="28">
        <f>CP45/CP31</f>
        <v/>
      </c>
      <c r="CQ64" s="63">
        <f>CQ45/CQ31</f>
        <v/>
      </c>
      <c r="CR64" s="63">
        <f>CR45/CR31</f>
        <v/>
      </c>
      <c r="CS64" s="28">
        <f>CS45/CS31</f>
        <v/>
      </c>
      <c r="CT64" s="63">
        <f>CT45/CT31</f>
        <v/>
      </c>
      <c r="CU64" s="63">
        <f>CU45/CU31</f>
        <v/>
      </c>
      <c r="CV64" s="28">
        <f>CV45/CV31</f>
        <v/>
      </c>
      <c r="CW64" s="63">
        <f>CW45/CW31</f>
        <v/>
      </c>
      <c r="CX64" s="63">
        <f>CX45/CX31</f>
        <v/>
      </c>
      <c r="CY64" s="63">
        <f>CY45/CY31</f>
        <v/>
      </c>
      <c r="CZ64" s="28">
        <f>CZ45/CZ31</f>
        <v/>
      </c>
      <c r="DA64" s="63">
        <f>DA45/DA31</f>
        <v/>
      </c>
      <c r="DB64" s="63">
        <f>DB45/DB31</f>
        <v/>
      </c>
      <c r="DC64" s="28">
        <f>DC45/DC31</f>
        <v/>
      </c>
      <c r="DD64" s="63">
        <f>DD45/DD31</f>
        <v/>
      </c>
      <c r="DE64" s="63">
        <f>DE45/DE31</f>
        <v/>
      </c>
      <c r="DF64" s="28">
        <f>DF45/DF31</f>
        <v/>
      </c>
      <c r="DG64" s="63">
        <f>DG45/DG31</f>
        <v/>
      </c>
      <c r="DH64" s="63">
        <f>DH45/DH31</f>
        <v/>
      </c>
      <c r="DI64" s="28">
        <f>DI45/DI31</f>
        <v/>
      </c>
      <c r="DJ64" s="63">
        <f>DJ45/DJ31</f>
        <v/>
      </c>
      <c r="DK64" s="63">
        <f>DK45/DK31</f>
        <v/>
      </c>
      <c r="DL64" s="28">
        <f>DL45/DL31</f>
        <v/>
      </c>
      <c r="DM64" s="63">
        <f>DM45/DM31</f>
        <v/>
      </c>
      <c r="DN64" s="63">
        <f>DN45/DN31</f>
        <v/>
      </c>
      <c r="DO64" s="28">
        <f>DO45/DO31</f>
        <v/>
      </c>
      <c r="DP64" s="63">
        <f>DP45/DP31</f>
        <v/>
      </c>
      <c r="DQ64" s="63">
        <f>DQ45/DQ31</f>
        <v/>
      </c>
      <c r="DR64" s="63">
        <f>DR45/DR31</f>
        <v/>
      </c>
      <c r="DS64" s="28">
        <f>DS45/DS31</f>
        <v/>
      </c>
      <c r="DT64" s="63">
        <f>DT45/DT31</f>
        <v/>
      </c>
      <c r="DU64" s="63">
        <f>DU45/DU31</f>
        <v/>
      </c>
      <c r="DV64" s="28">
        <f>DV45/DV31</f>
        <v/>
      </c>
      <c r="DW64" s="63">
        <f>DW45/DW31</f>
        <v/>
      </c>
      <c r="DX64" s="63">
        <f>DX45/DX31</f>
        <v/>
      </c>
      <c r="DY64" s="28">
        <f>DY45/DY31</f>
        <v/>
      </c>
      <c r="DZ64" s="63">
        <f>DZ45/DZ31</f>
        <v/>
      </c>
      <c r="EA64" s="63">
        <f>EA45/EA31</f>
        <v/>
      </c>
      <c r="EB64" s="28">
        <f>EB45/EB31</f>
        <v/>
      </c>
      <c r="EC64" s="63">
        <f>EC45/EC31</f>
        <v/>
      </c>
      <c r="ED64" s="63">
        <f>ED45/ED31</f>
        <v/>
      </c>
      <c r="EE64" s="28">
        <f>EE45/EE31</f>
        <v/>
      </c>
      <c r="EF64" s="63">
        <f>EF45/EF31</f>
        <v/>
      </c>
      <c r="EG64" s="63">
        <f>EG45/EG31</f>
        <v/>
      </c>
      <c r="EH64" s="28">
        <f>EH45/EH31</f>
        <v/>
      </c>
      <c r="EI64" s="63">
        <f>EI45/EI31</f>
        <v/>
      </c>
      <c r="EJ64" s="63">
        <f>EJ45/EJ31</f>
        <v/>
      </c>
    </row>
    <row r="65" customFormat="1" s="6">
      <c r="A65" s="38" t="inlineStr">
        <is>
          <t>Cholesterol Solution (μL)</t>
        </is>
      </c>
      <c r="B65" s="94" t="inlineStr">
        <is>
          <t>ul</t>
        </is>
      </c>
      <c r="C65" s="83">
        <f>C48/C56*1000</f>
        <v/>
      </c>
      <c r="D65" s="63">
        <f>D48/D56*1000</f>
        <v/>
      </c>
      <c r="E65" s="39">
        <f>E48/E56*1000</f>
        <v/>
      </c>
      <c r="F65" s="28">
        <f>F48/F56*1000</f>
        <v/>
      </c>
      <c r="G65" s="63">
        <f>G48/G56*1000</f>
        <v/>
      </c>
      <c r="H65" s="63">
        <f>H48/H56*1000</f>
        <v/>
      </c>
      <c r="I65" s="28">
        <f>I48/I56*1000</f>
        <v/>
      </c>
      <c r="J65" s="63">
        <f>J48/J56*1000</f>
        <v/>
      </c>
      <c r="K65" s="63">
        <f>K48/K56*1000</f>
        <v/>
      </c>
      <c r="L65" s="28">
        <f>L48/L56*1000</f>
        <v/>
      </c>
      <c r="M65" s="63">
        <f>M48/M56*1000</f>
        <v/>
      </c>
      <c r="N65" s="63">
        <f>N48/N56*1000</f>
        <v/>
      </c>
      <c r="O65" s="28">
        <f>O48/O56*1000</f>
        <v/>
      </c>
      <c r="P65" s="63">
        <f>P48/P56*1000</f>
        <v/>
      </c>
      <c r="Q65" s="63">
        <f>Q48/Q56*1000</f>
        <v/>
      </c>
      <c r="R65" s="28">
        <f>R48/R56*1000</f>
        <v/>
      </c>
      <c r="S65" s="63">
        <f>S48/S56*1000</f>
        <v/>
      </c>
      <c r="T65" s="63">
        <f>T48/T56*1000</f>
        <v/>
      </c>
      <c r="U65" s="28">
        <f>U48/U56*1000</f>
        <v/>
      </c>
      <c r="V65" s="63">
        <f>V48/V56*1000</f>
        <v/>
      </c>
      <c r="W65" s="63">
        <f>W48/W56*1000</f>
        <v/>
      </c>
      <c r="X65" s="28">
        <f>X48/X56*1000</f>
        <v/>
      </c>
      <c r="Y65" s="63">
        <f>Y48/Y56*1000</f>
        <v/>
      </c>
      <c r="Z65" s="63">
        <f>Z48/Z56*1000</f>
        <v/>
      </c>
      <c r="AA65" s="63">
        <f>AA48/AA56*1000</f>
        <v/>
      </c>
      <c r="AB65" s="28">
        <f>AB48/AB56*1000</f>
        <v/>
      </c>
      <c r="AC65" s="63">
        <f>AC48/AC56*1000</f>
        <v/>
      </c>
      <c r="AD65" s="63">
        <f>AD48/AD56*1000</f>
        <v/>
      </c>
      <c r="AE65" s="28">
        <f>AE48/AE56*1000</f>
        <v/>
      </c>
      <c r="AF65" s="63">
        <f>AF48/AF56*1000</f>
        <v/>
      </c>
      <c r="AG65" s="63">
        <f>AG48/AG56*1000</f>
        <v/>
      </c>
      <c r="AH65" s="28">
        <f>AH48/AH56*1000</f>
        <v/>
      </c>
      <c r="AI65" s="63">
        <f>AI48/AI56*1000</f>
        <v/>
      </c>
      <c r="AJ65" s="63">
        <f>AJ48/AJ56*1000</f>
        <v/>
      </c>
      <c r="AK65" s="28">
        <f>AK48/AK56*1000</f>
        <v/>
      </c>
      <c r="AL65" s="63">
        <f>AL48/AL56*1000</f>
        <v/>
      </c>
      <c r="AM65" s="63">
        <f>AM48/AM56*1000</f>
        <v/>
      </c>
      <c r="AN65" s="28">
        <f>AN48/AN56*1000</f>
        <v/>
      </c>
      <c r="AO65" s="63">
        <f>AO48/AO56*1000</f>
        <v/>
      </c>
      <c r="AP65" s="63">
        <f>AP48/AP56*1000</f>
        <v/>
      </c>
      <c r="AQ65" s="28">
        <f>AQ48/AQ56*1000</f>
        <v/>
      </c>
      <c r="AR65" s="63">
        <f>AR48/AR56*1000</f>
        <v/>
      </c>
      <c r="AS65" s="63">
        <f>AS48/AS56*1000</f>
        <v/>
      </c>
      <c r="AT65" s="63">
        <f>AT48/AT56*1000</f>
        <v/>
      </c>
      <c r="AU65" s="28">
        <f>AU48/AU56*1000</f>
        <v/>
      </c>
      <c r="AV65" s="63">
        <f>AV48/AV56*1000</f>
        <v/>
      </c>
      <c r="AW65" s="63">
        <f>AW48/AW56*1000</f>
        <v/>
      </c>
      <c r="AX65" s="28">
        <f>AX48/AX56*1000</f>
        <v/>
      </c>
      <c r="AY65" s="63">
        <f>AY48/AY56*1000</f>
        <v/>
      </c>
      <c r="AZ65" s="63">
        <f>AZ48/AZ56*1000</f>
        <v/>
      </c>
      <c r="BA65" s="28">
        <f>BA48/BA56*1000</f>
        <v/>
      </c>
      <c r="BB65" s="63">
        <f>BB48/BB56*1000</f>
        <v/>
      </c>
      <c r="BC65" s="63">
        <f>BC48/BC56*1000</f>
        <v/>
      </c>
      <c r="BD65" s="28">
        <f>BD48/BD56*1000</f>
        <v/>
      </c>
      <c r="BE65" s="63">
        <f>BE48/BE56*1000</f>
        <v/>
      </c>
      <c r="BF65" s="63">
        <f>BF48/BF56*1000</f>
        <v/>
      </c>
      <c r="BG65" s="28">
        <f>BG48/BG56*1000</f>
        <v/>
      </c>
      <c r="BH65" s="63">
        <f>BH48/BH56*1000</f>
        <v/>
      </c>
      <c r="BI65" s="63">
        <f>BI48/BI56*1000</f>
        <v/>
      </c>
      <c r="BJ65" s="28">
        <f>BJ48/BJ56*1000</f>
        <v/>
      </c>
      <c r="BK65" s="63">
        <f>BK48/BK56*1000</f>
        <v/>
      </c>
      <c r="BL65" s="63">
        <f>BL48/BL56*1000</f>
        <v/>
      </c>
      <c r="BM65" s="63">
        <f>BM48/BM56*1000</f>
        <v/>
      </c>
      <c r="BN65" s="28">
        <f>BN48/BN56*1000</f>
        <v/>
      </c>
      <c r="BO65" s="63">
        <f>BO48/BO56*1000</f>
        <v/>
      </c>
      <c r="BP65" s="63">
        <f>BP48/BP56*1000</f>
        <v/>
      </c>
      <c r="BQ65" s="28">
        <f>BQ48/BQ56*1000</f>
        <v/>
      </c>
      <c r="BR65" s="63">
        <f>BR48/BR56*1000</f>
        <v/>
      </c>
      <c r="BS65" s="63">
        <f>BS48/BS56*1000</f>
        <v/>
      </c>
      <c r="BT65" s="28">
        <f>BT48/BT56*1000</f>
        <v/>
      </c>
      <c r="BU65" s="63">
        <f>BU48/BU56*1000</f>
        <v/>
      </c>
      <c r="BV65" s="63">
        <f>BV48/BV56*1000</f>
        <v/>
      </c>
      <c r="BW65" s="28">
        <f>BW48/BW56*1000</f>
        <v/>
      </c>
      <c r="BX65" s="63">
        <f>BX48/BX56*1000</f>
        <v/>
      </c>
      <c r="BY65" s="63">
        <f>BY48/BY56*1000</f>
        <v/>
      </c>
      <c r="BZ65" s="28">
        <f>BZ48/BZ56*1000</f>
        <v/>
      </c>
      <c r="CA65" s="63">
        <f>CA48/CA56*1000</f>
        <v/>
      </c>
      <c r="CB65" s="63">
        <f>CB48/CB56*1000</f>
        <v/>
      </c>
      <c r="CC65" s="28">
        <f>CC48/CC56*1000</f>
        <v/>
      </c>
      <c r="CD65" s="63">
        <f>CD48/CD56*1000</f>
        <v/>
      </c>
      <c r="CE65" s="63">
        <f>CE48/CE56*1000</f>
        <v/>
      </c>
      <c r="CF65" s="63">
        <f>CF48/CF56*1000</f>
        <v/>
      </c>
      <c r="CG65" s="28">
        <f>CG48/CG56*1000</f>
        <v/>
      </c>
      <c r="CH65" s="63">
        <f>CH48/CH56*1000</f>
        <v/>
      </c>
      <c r="CI65" s="63">
        <f>CI48/CI56*1000</f>
        <v/>
      </c>
      <c r="CJ65" s="28">
        <f>CJ48/CJ56*1000</f>
        <v/>
      </c>
      <c r="CK65" s="63">
        <f>CK48/CK56*1000</f>
        <v/>
      </c>
      <c r="CL65" s="63">
        <f>CL48/CL56*1000</f>
        <v/>
      </c>
      <c r="CM65" s="28">
        <f>CM48/CM56*1000</f>
        <v/>
      </c>
      <c r="CN65" s="63">
        <f>CN48/CN56*1000</f>
        <v/>
      </c>
      <c r="CO65" s="63">
        <f>CO48/CO56*1000</f>
        <v/>
      </c>
      <c r="CP65" s="28">
        <f>CP48/CP56*1000</f>
        <v/>
      </c>
      <c r="CQ65" s="63">
        <f>CQ48/CQ56*1000</f>
        <v/>
      </c>
      <c r="CR65" s="63">
        <f>CR48/CR56*1000</f>
        <v/>
      </c>
      <c r="CS65" s="28">
        <f>CS48/CS56*1000</f>
        <v/>
      </c>
      <c r="CT65" s="63">
        <f>CT48/CT56*1000</f>
        <v/>
      </c>
      <c r="CU65" s="63">
        <f>CU48/CU56*1000</f>
        <v/>
      </c>
      <c r="CV65" s="28">
        <f>CV48/CV56*1000</f>
        <v/>
      </c>
      <c r="CW65" s="63">
        <f>CW48/CW56*1000</f>
        <v/>
      </c>
      <c r="CX65" s="63">
        <f>CX48/CX56*1000</f>
        <v/>
      </c>
      <c r="CY65" s="63">
        <f>CY48/CY56*1000</f>
        <v/>
      </c>
      <c r="CZ65" s="28">
        <f>CZ48/CZ56*1000</f>
        <v/>
      </c>
      <c r="DA65" s="63">
        <f>DA48/DA56*1000</f>
        <v/>
      </c>
      <c r="DB65" s="63">
        <f>DB48/DB56*1000</f>
        <v/>
      </c>
      <c r="DC65" s="28">
        <f>DC48/DC56*1000</f>
        <v/>
      </c>
      <c r="DD65" s="63">
        <f>DD48/DD56*1000</f>
        <v/>
      </c>
      <c r="DE65" s="63">
        <f>DE48/DE56*1000</f>
        <v/>
      </c>
      <c r="DF65" s="28">
        <f>DF48/DF56*1000</f>
        <v/>
      </c>
      <c r="DG65" s="63">
        <f>DG48/DG56*1000</f>
        <v/>
      </c>
      <c r="DH65" s="63">
        <f>DH48/DH56*1000</f>
        <v/>
      </c>
      <c r="DI65" s="28">
        <f>DI48/DI56*1000</f>
        <v/>
      </c>
      <c r="DJ65" s="63">
        <f>DJ48/DJ56*1000</f>
        <v/>
      </c>
      <c r="DK65" s="63">
        <f>DK48/DK56*1000</f>
        <v/>
      </c>
      <c r="DL65" s="28">
        <f>DL48/DL56*1000</f>
        <v/>
      </c>
      <c r="DM65" s="63">
        <f>DM48/DM56*1000</f>
        <v/>
      </c>
      <c r="DN65" s="63">
        <f>DN48/DN56*1000</f>
        <v/>
      </c>
      <c r="DO65" s="28">
        <f>DO48/DO56*1000</f>
        <v/>
      </c>
      <c r="DP65" s="63">
        <f>DP48/DP56*1000</f>
        <v/>
      </c>
      <c r="DQ65" s="63">
        <f>DQ48/DQ56*1000</f>
        <v/>
      </c>
      <c r="DR65" s="63">
        <f>DR48/DR56*1000</f>
        <v/>
      </c>
      <c r="DS65" s="28">
        <f>DS48/DS56*1000</f>
        <v/>
      </c>
      <c r="DT65" s="63">
        <f>DT48/DT56*1000</f>
        <v/>
      </c>
      <c r="DU65" s="63">
        <f>DU48/DU56*1000</f>
        <v/>
      </c>
      <c r="DV65" s="28">
        <f>DV48/DV56*1000</f>
        <v/>
      </c>
      <c r="DW65" s="63">
        <f>DW48/DW56*1000</f>
        <v/>
      </c>
      <c r="DX65" s="63">
        <f>DX48/DX56*1000</f>
        <v/>
      </c>
      <c r="DY65" s="28">
        <f>DY48/DY56*1000</f>
        <v/>
      </c>
      <c r="DZ65" s="63">
        <f>DZ48/DZ56*1000</f>
        <v/>
      </c>
      <c r="EA65" s="63">
        <f>EA48/EA56*1000</f>
        <v/>
      </c>
      <c r="EB65" s="28">
        <f>EB48/EB56*1000</f>
        <v/>
      </c>
      <c r="EC65" s="63">
        <f>EC48/EC56*1000</f>
        <v/>
      </c>
      <c r="ED65" s="63">
        <f>ED48/ED56*1000</f>
        <v/>
      </c>
      <c r="EE65" s="28">
        <f>EE48/EE56*1000</f>
        <v/>
      </c>
      <c r="EF65" s="63">
        <f>EF48/EF56*1000</f>
        <v/>
      </c>
      <c r="EG65" s="63">
        <f>EG48/EG56*1000</f>
        <v/>
      </c>
      <c r="EH65" s="28">
        <f>EH48/EH56*1000</f>
        <v/>
      </c>
      <c r="EI65" s="63">
        <f>EI48/EI56*1000</f>
        <v/>
      </c>
      <c r="EJ65" s="63">
        <f>EJ48/EJ56*1000</f>
        <v/>
      </c>
    </row>
    <row r="66" customFormat="1" s="6">
      <c r="A66" s="38" t="inlineStr">
        <is>
          <t>DMG-PEG solution (μL)</t>
        </is>
      </c>
      <c r="B66" s="94" t="inlineStr">
        <is>
          <t>ul</t>
        </is>
      </c>
      <c r="C66" s="83">
        <f>C51/C57*1000</f>
        <v/>
      </c>
      <c r="D66" s="63">
        <f>D51/D57*1000</f>
        <v/>
      </c>
      <c r="E66" s="39">
        <f>E51/E57*1000</f>
        <v/>
      </c>
      <c r="F66" s="28">
        <f>F51/F57*1000</f>
        <v/>
      </c>
      <c r="G66" s="63">
        <f>G51/G57*1000</f>
        <v/>
      </c>
      <c r="H66" s="63">
        <f>H51/H57*1000</f>
        <v/>
      </c>
      <c r="I66" s="28">
        <f>I51/I57*1000</f>
        <v/>
      </c>
      <c r="J66" s="63">
        <f>J51/J57*1000</f>
        <v/>
      </c>
      <c r="K66" s="63">
        <f>K51/K57*1000</f>
        <v/>
      </c>
      <c r="L66" s="28">
        <f>L51/L57*1000</f>
        <v/>
      </c>
      <c r="M66" s="63">
        <f>M51/M57*1000</f>
        <v/>
      </c>
      <c r="N66" s="63">
        <f>N51/N57*1000</f>
        <v/>
      </c>
      <c r="O66" s="28">
        <f>O51/O57*1000</f>
        <v/>
      </c>
      <c r="P66" s="63">
        <f>P51/P57*1000</f>
        <v/>
      </c>
      <c r="Q66" s="63">
        <f>Q51/Q57*1000</f>
        <v/>
      </c>
      <c r="R66" s="28">
        <f>R51/R57*1000</f>
        <v/>
      </c>
      <c r="S66" s="63">
        <f>S51/S57*1000</f>
        <v/>
      </c>
      <c r="T66" s="63">
        <f>T51/T57*1000</f>
        <v/>
      </c>
      <c r="U66" s="28">
        <f>U51/U57*1000</f>
        <v/>
      </c>
      <c r="V66" s="63">
        <f>V51/V57*1000</f>
        <v/>
      </c>
      <c r="W66" s="63">
        <f>W51/W57*1000</f>
        <v/>
      </c>
      <c r="X66" s="28">
        <f>X51/X57*1000</f>
        <v/>
      </c>
      <c r="Y66" s="63">
        <f>Y51/Y57*1000</f>
        <v/>
      </c>
      <c r="Z66" s="63">
        <f>Z51/Z57*1000</f>
        <v/>
      </c>
      <c r="AA66" s="63">
        <f>AA51/AA57*1000</f>
        <v/>
      </c>
      <c r="AB66" s="28">
        <f>AB51/AB57*1000</f>
        <v/>
      </c>
      <c r="AC66" s="63">
        <f>AC51/AC57*1000</f>
        <v/>
      </c>
      <c r="AD66" s="63">
        <f>AD51/AD57*1000</f>
        <v/>
      </c>
      <c r="AE66" s="28">
        <f>AE51/AE57*1000</f>
        <v/>
      </c>
      <c r="AF66" s="63">
        <f>AF51/AF57*1000</f>
        <v/>
      </c>
      <c r="AG66" s="63">
        <f>AG51/AG57*1000</f>
        <v/>
      </c>
      <c r="AH66" s="28">
        <f>AH51/AH57*1000</f>
        <v/>
      </c>
      <c r="AI66" s="63">
        <f>AI51/AI57*1000</f>
        <v/>
      </c>
      <c r="AJ66" s="63">
        <f>AJ51/AJ57*1000</f>
        <v/>
      </c>
      <c r="AK66" s="28">
        <f>AK51/AK57*1000</f>
        <v/>
      </c>
      <c r="AL66" s="63">
        <f>AL51/AL57*1000</f>
        <v/>
      </c>
      <c r="AM66" s="63">
        <f>AM51/AM57*1000</f>
        <v/>
      </c>
      <c r="AN66" s="28">
        <f>AN51/AN57*1000</f>
        <v/>
      </c>
      <c r="AO66" s="63">
        <f>AO51/AO57*1000</f>
        <v/>
      </c>
      <c r="AP66" s="63">
        <f>AP51/AP57*1000</f>
        <v/>
      </c>
      <c r="AQ66" s="28">
        <f>AQ51/AQ57*1000</f>
        <v/>
      </c>
      <c r="AR66" s="63">
        <f>AR51/AR57*1000</f>
        <v/>
      </c>
      <c r="AS66" s="63">
        <f>AS51/AS57*1000</f>
        <v/>
      </c>
      <c r="AT66" s="63">
        <f>AT51/AT57*1000</f>
        <v/>
      </c>
      <c r="AU66" s="28">
        <f>AU51/AU57*1000</f>
        <v/>
      </c>
      <c r="AV66" s="63">
        <f>AV51/AV57*1000</f>
        <v/>
      </c>
      <c r="AW66" s="63">
        <f>AW51/AW57*1000</f>
        <v/>
      </c>
      <c r="AX66" s="28">
        <f>AX51/AX57*1000</f>
        <v/>
      </c>
      <c r="AY66" s="63">
        <f>AY51/AY57*1000</f>
        <v/>
      </c>
      <c r="AZ66" s="63">
        <f>AZ51/AZ57*1000</f>
        <v/>
      </c>
      <c r="BA66" s="28">
        <f>BA51/BA57*1000</f>
        <v/>
      </c>
      <c r="BB66" s="63">
        <f>BB51/BB57*1000</f>
        <v/>
      </c>
      <c r="BC66" s="63">
        <f>BC51/BC57*1000</f>
        <v/>
      </c>
      <c r="BD66" s="28">
        <f>BD51/BD57*1000</f>
        <v/>
      </c>
      <c r="BE66" s="63">
        <f>BE51/BE57*1000</f>
        <v/>
      </c>
      <c r="BF66" s="63">
        <f>BF51/BF57*1000</f>
        <v/>
      </c>
      <c r="BG66" s="28">
        <f>BG51/BG57*1000</f>
        <v/>
      </c>
      <c r="BH66" s="63">
        <f>BH51/BH57*1000</f>
        <v/>
      </c>
      <c r="BI66" s="63">
        <f>BI51/BI57*1000</f>
        <v/>
      </c>
      <c r="BJ66" s="28">
        <f>BJ51/BJ57*1000</f>
        <v/>
      </c>
      <c r="BK66" s="63">
        <f>BK51/BK57*1000</f>
        <v/>
      </c>
      <c r="BL66" s="63">
        <f>BL51/BL57*1000</f>
        <v/>
      </c>
      <c r="BM66" s="63">
        <f>BM51/BM57*1000</f>
        <v/>
      </c>
      <c r="BN66" s="28">
        <f>BN51/BN57*1000</f>
        <v/>
      </c>
      <c r="BO66" s="63">
        <f>BO51/BO57*1000</f>
        <v/>
      </c>
      <c r="BP66" s="63">
        <f>BP51/BP57*1000</f>
        <v/>
      </c>
      <c r="BQ66" s="28">
        <f>BQ51/BQ57*1000</f>
        <v/>
      </c>
      <c r="BR66" s="63">
        <f>BR51/BR57*1000</f>
        <v/>
      </c>
      <c r="BS66" s="63">
        <f>BS51/BS57*1000</f>
        <v/>
      </c>
      <c r="BT66" s="28">
        <f>BT51/BT57*1000</f>
        <v/>
      </c>
      <c r="BU66" s="63">
        <f>BU51/BU57*1000</f>
        <v/>
      </c>
      <c r="BV66" s="63">
        <f>BV51/BV57*1000</f>
        <v/>
      </c>
      <c r="BW66" s="28">
        <f>BW51/BW57*1000</f>
        <v/>
      </c>
      <c r="BX66" s="63">
        <f>BX51/BX57*1000</f>
        <v/>
      </c>
      <c r="BY66" s="63">
        <f>BY51/BY57*1000</f>
        <v/>
      </c>
      <c r="BZ66" s="28">
        <f>BZ51/BZ57*1000</f>
        <v/>
      </c>
      <c r="CA66" s="63">
        <f>CA51/CA57*1000</f>
        <v/>
      </c>
      <c r="CB66" s="63">
        <f>CB51/CB57*1000</f>
        <v/>
      </c>
      <c r="CC66" s="28">
        <f>CC51/CC57*1000</f>
        <v/>
      </c>
      <c r="CD66" s="63">
        <f>CD51/CD57*1000</f>
        <v/>
      </c>
      <c r="CE66" s="63">
        <f>CE51/CE57*1000</f>
        <v/>
      </c>
      <c r="CF66" s="63">
        <f>CF51/CF57*1000</f>
        <v/>
      </c>
      <c r="CG66" s="28">
        <f>CG51/CG57*1000</f>
        <v/>
      </c>
      <c r="CH66" s="63">
        <f>CH51/CH57*1000</f>
        <v/>
      </c>
      <c r="CI66" s="63">
        <f>CI51/CI57*1000</f>
        <v/>
      </c>
      <c r="CJ66" s="28">
        <f>CJ51/CJ57*1000</f>
        <v/>
      </c>
      <c r="CK66" s="63">
        <f>CK51/CK57*1000</f>
        <v/>
      </c>
      <c r="CL66" s="63">
        <f>CL51/CL57*1000</f>
        <v/>
      </c>
      <c r="CM66" s="28">
        <f>CM51/CM57*1000</f>
        <v/>
      </c>
      <c r="CN66" s="63">
        <f>CN51/CN57*1000</f>
        <v/>
      </c>
      <c r="CO66" s="63">
        <f>CO51/CO57*1000</f>
        <v/>
      </c>
      <c r="CP66" s="28">
        <f>CP51/CP57*1000</f>
        <v/>
      </c>
      <c r="CQ66" s="63">
        <f>CQ51/CQ57*1000</f>
        <v/>
      </c>
      <c r="CR66" s="63">
        <f>CR51/CR57*1000</f>
        <v/>
      </c>
      <c r="CS66" s="28">
        <f>CS51/CS57*1000</f>
        <v/>
      </c>
      <c r="CT66" s="63">
        <f>CT51/CT57*1000</f>
        <v/>
      </c>
      <c r="CU66" s="63">
        <f>CU51/CU57*1000</f>
        <v/>
      </c>
      <c r="CV66" s="28">
        <f>CV51/CV57*1000</f>
        <v/>
      </c>
      <c r="CW66" s="63">
        <f>CW51/CW57*1000</f>
        <v/>
      </c>
      <c r="CX66" s="63">
        <f>CX51/CX57*1000</f>
        <v/>
      </c>
      <c r="CY66" s="63">
        <f>CY51/CY57*1000</f>
        <v/>
      </c>
      <c r="CZ66" s="28">
        <f>CZ51/CZ57*1000</f>
        <v/>
      </c>
      <c r="DA66" s="63">
        <f>DA51/DA57*1000</f>
        <v/>
      </c>
      <c r="DB66" s="63">
        <f>DB51/DB57*1000</f>
        <v/>
      </c>
      <c r="DC66" s="28">
        <f>DC51/DC57*1000</f>
        <v/>
      </c>
      <c r="DD66" s="63">
        <f>DD51/DD57*1000</f>
        <v/>
      </c>
      <c r="DE66" s="63">
        <f>DE51/DE57*1000</f>
        <v/>
      </c>
      <c r="DF66" s="28">
        <f>DF51/DF57*1000</f>
        <v/>
      </c>
      <c r="DG66" s="63">
        <f>DG51/DG57*1000</f>
        <v/>
      </c>
      <c r="DH66" s="63">
        <f>DH51/DH57*1000</f>
        <v/>
      </c>
      <c r="DI66" s="28">
        <f>DI51/DI57*1000</f>
        <v/>
      </c>
      <c r="DJ66" s="63">
        <f>DJ51/DJ57*1000</f>
        <v/>
      </c>
      <c r="DK66" s="63">
        <f>DK51/DK57*1000</f>
        <v/>
      </c>
      <c r="DL66" s="28">
        <f>DL51/DL57*1000</f>
        <v/>
      </c>
      <c r="DM66" s="63">
        <f>DM51/DM57*1000</f>
        <v/>
      </c>
      <c r="DN66" s="63">
        <f>DN51/DN57*1000</f>
        <v/>
      </c>
      <c r="DO66" s="28">
        <f>DO51/DO57*1000</f>
        <v/>
      </c>
      <c r="DP66" s="63">
        <f>DP51/DP57*1000</f>
        <v/>
      </c>
      <c r="DQ66" s="63">
        <f>DQ51/DQ57*1000</f>
        <v/>
      </c>
      <c r="DR66" s="63">
        <f>DR51/DR57*1000</f>
        <v/>
      </c>
      <c r="DS66" s="28">
        <f>DS51/DS57*1000</f>
        <v/>
      </c>
      <c r="DT66" s="63">
        <f>DT51/DT57*1000</f>
        <v/>
      </c>
      <c r="DU66" s="63">
        <f>DU51/DU57*1000</f>
        <v/>
      </c>
      <c r="DV66" s="28">
        <f>DV51/DV57*1000</f>
        <v/>
      </c>
      <c r="DW66" s="63">
        <f>DW51/DW57*1000</f>
        <v/>
      </c>
      <c r="DX66" s="63">
        <f>DX51/DX57*1000</f>
        <v/>
      </c>
      <c r="DY66" s="28">
        <f>DY51/DY57*1000</f>
        <v/>
      </c>
      <c r="DZ66" s="63">
        <f>DZ51/DZ57*1000</f>
        <v/>
      </c>
      <c r="EA66" s="63">
        <f>EA51/EA57*1000</f>
        <v/>
      </c>
      <c r="EB66" s="28">
        <f>EB51/EB57*1000</f>
        <v/>
      </c>
      <c r="EC66" s="63">
        <f>EC51/EC57*1000</f>
        <v/>
      </c>
      <c r="ED66" s="63">
        <f>ED51/ED57*1000</f>
        <v/>
      </c>
      <c r="EE66" s="28">
        <f>EE51/EE57*1000</f>
        <v/>
      </c>
      <c r="EF66" s="63">
        <f>EF51/EF57*1000</f>
        <v/>
      </c>
      <c r="EG66" s="63">
        <f>EG51/EG57*1000</f>
        <v/>
      </c>
      <c r="EH66" s="28">
        <f>EH51/EH57*1000</f>
        <v/>
      </c>
      <c r="EI66" s="63">
        <f>EI51/EI57*1000</f>
        <v/>
      </c>
      <c r="EJ66" s="63">
        <f>EJ51/EJ57*1000</f>
        <v/>
      </c>
    </row>
    <row r="67" ht="16" customFormat="1" customHeight="1" s="7" thickBot="1">
      <c r="A67" s="40" t="inlineStr">
        <is>
          <t>Needed Ethonal Volume (μL)</t>
        </is>
      </c>
      <c r="B67" s="95" t="inlineStr">
        <is>
          <t>ul</t>
        </is>
      </c>
      <c r="C67" s="84">
        <f>C38-SUM(C64,C65,C66,C63)+$C$83</f>
        <v/>
      </c>
      <c r="D67" s="64">
        <f>D38-SUM(D64,D65,D66,D63)+$C$83</f>
        <v/>
      </c>
      <c r="E67" s="41">
        <f>E38-SUM(E64,E65,E66,E63)+$C$83</f>
        <v/>
      </c>
      <c r="F67" s="48">
        <f>F38-SUM(F64,F65,F66,F63)+$C$83</f>
        <v/>
      </c>
      <c r="G67" s="64">
        <f>G38-SUM(G64,G65,G66,G63)+$C$83</f>
        <v/>
      </c>
      <c r="H67" s="64">
        <f>H38-SUM(H64,H65,H66,H63)+$C$83</f>
        <v/>
      </c>
      <c r="I67" s="48">
        <f>I38-SUM(I64,I65,I66,I63)+$C$83</f>
        <v/>
      </c>
      <c r="J67" s="64">
        <f>J38-SUM(J64,J65,J66,J63)+$C$83</f>
        <v/>
      </c>
      <c r="K67" s="64">
        <f>K38-SUM(K64,K65,K66,K63)+$C$83</f>
        <v/>
      </c>
      <c r="L67" s="48">
        <f>L38-SUM(L64,L65,L66,L63)+$C$83</f>
        <v/>
      </c>
      <c r="M67" s="64">
        <f>M38-SUM(M64,M65,M66,M63)+$C$83</f>
        <v/>
      </c>
      <c r="N67" s="64">
        <f>N38-SUM(N64,N65,N66,N63)+$C$83</f>
        <v/>
      </c>
      <c r="O67" s="48">
        <f>O38-SUM(O64,O65,O66,O63)+$C$83</f>
        <v/>
      </c>
      <c r="P67" s="64">
        <f>P38-SUM(P64,P65,P66,P63)+$C$83</f>
        <v/>
      </c>
      <c r="Q67" s="64">
        <f>Q38-SUM(Q64,Q65,Q66,Q63)+$C$83</f>
        <v/>
      </c>
      <c r="R67" s="48">
        <f>R38-SUM(R64,R65,R66,R63)+$C$83</f>
        <v/>
      </c>
      <c r="S67" s="64">
        <f>S38-SUM(S64,S65,S66,S63)+$C$83</f>
        <v/>
      </c>
      <c r="T67" s="64">
        <f>T38-SUM(T64,T65,T66,T63)+$C$83</f>
        <v/>
      </c>
      <c r="U67" s="48">
        <f>U38-SUM(U64,U65,U66,U63)+$C$83</f>
        <v/>
      </c>
      <c r="V67" s="64">
        <f>V38-SUM(V64,V65,V66,V63)+$C$83</f>
        <v/>
      </c>
      <c r="W67" s="64">
        <f>W38-SUM(W64,W65,W66,W63)+$C$83</f>
        <v/>
      </c>
      <c r="X67" s="48">
        <f>X38-SUM(X64,X65,X66,X63)+$C$83</f>
        <v/>
      </c>
      <c r="Y67" s="64">
        <f>Y38-SUM(Y64,Y65,Y66,Y63)+$C$83</f>
        <v/>
      </c>
      <c r="Z67" s="64">
        <f>Z38-SUM(Z64,Z65,Z66,Z63)+$C$83</f>
        <v/>
      </c>
      <c r="AA67" s="64">
        <f>AA38-SUM(AA64,AA65,AA66,AA63)+$C$83</f>
        <v/>
      </c>
      <c r="AB67" s="48">
        <f>AB38-SUM(AB64,AB65,AB66,AB63)+$C$83</f>
        <v/>
      </c>
      <c r="AC67" s="64">
        <f>AC38-SUM(AC64,AC65,AC66,AC63)+$C$83</f>
        <v/>
      </c>
      <c r="AD67" s="64">
        <f>AD38-SUM(AD64,AD65,AD66,AD63)+$C$83</f>
        <v/>
      </c>
      <c r="AE67" s="48">
        <f>AE38-SUM(AE64,AE65,AE66,AE63)+$C$83</f>
        <v/>
      </c>
      <c r="AF67" s="64">
        <f>AF38-SUM(AF64,AF65,AF66,AF63)+$C$83</f>
        <v/>
      </c>
      <c r="AG67" s="64">
        <f>AG38-SUM(AG64,AG65,AG66,AG63)+$C$83</f>
        <v/>
      </c>
      <c r="AH67" s="48">
        <f>AH38-SUM(AH64,AH65,AH66,AH63)+$C$83</f>
        <v/>
      </c>
      <c r="AI67" s="64">
        <f>AI38-SUM(AI64,AI65,AI66,AI63)+$C$83</f>
        <v/>
      </c>
      <c r="AJ67" s="64">
        <f>AJ38-SUM(AJ64,AJ65,AJ66,AJ63)+$C$83</f>
        <v/>
      </c>
      <c r="AK67" s="48">
        <f>AK38-SUM(AK64,AK65,AK66,AK63)+$C$83</f>
        <v/>
      </c>
      <c r="AL67" s="64">
        <f>AL38-SUM(AL64,AL65,AL66,AL63)+$C$83</f>
        <v/>
      </c>
      <c r="AM67" s="64">
        <f>AM38-SUM(AM64,AM65,AM66,AM63)+$C$83</f>
        <v/>
      </c>
      <c r="AN67" s="48">
        <f>AN38-SUM(AN64,AN65,AN66,AN63)+$C$83</f>
        <v/>
      </c>
      <c r="AO67" s="64">
        <f>AO38-SUM(AO64,AO65,AO66,AO63)+$C$83</f>
        <v/>
      </c>
      <c r="AP67" s="64">
        <f>AP38-SUM(AP64,AP65,AP66,AP63)+$C$83</f>
        <v/>
      </c>
      <c r="AQ67" s="48">
        <f>AQ38-SUM(AQ64,AQ65,AQ66,AQ63)+$C$83</f>
        <v/>
      </c>
      <c r="AR67" s="64">
        <f>AR38-SUM(AR64,AR65,AR66,AR63)+$C$83</f>
        <v/>
      </c>
      <c r="AS67" s="64">
        <f>AS38-SUM(AS64,AS65,AS66,AS63)+$C$83</f>
        <v/>
      </c>
      <c r="AT67" s="64">
        <f>AT38-SUM(AT64,AT65,AT66,AT63)+$C$83</f>
        <v/>
      </c>
      <c r="AU67" s="48">
        <f>AU38-SUM(AU64,AU65,AU66,AU63)+$C$83</f>
        <v/>
      </c>
      <c r="AV67" s="64">
        <f>AV38-SUM(AV64,AV65,AV66,AV63)+$C$83</f>
        <v/>
      </c>
      <c r="AW67" s="64">
        <f>AW38-SUM(AW64,AW65,AW66,AW63)+$C$83</f>
        <v/>
      </c>
      <c r="AX67" s="48">
        <f>AX38-SUM(AX64,AX65,AX66,AX63)+$C$83</f>
        <v/>
      </c>
      <c r="AY67" s="64">
        <f>AY38-SUM(AY64,AY65,AY66,AY63)+$C$83</f>
        <v/>
      </c>
      <c r="AZ67" s="64">
        <f>AZ38-SUM(AZ64,AZ65,AZ66,AZ63)+$C$83</f>
        <v/>
      </c>
      <c r="BA67" s="48">
        <f>BA38-SUM(BA64,BA65,BA66,BA63)+$C$83</f>
        <v/>
      </c>
      <c r="BB67" s="64">
        <f>BB38-SUM(BB64,BB65,BB66,BB63)+$C$83</f>
        <v/>
      </c>
      <c r="BC67" s="64">
        <f>BC38-SUM(BC64,BC65,BC66,BC63)+$C$83</f>
        <v/>
      </c>
      <c r="BD67" s="48">
        <f>BD38-SUM(BD64,BD65,BD66,BD63)+$C$83</f>
        <v/>
      </c>
      <c r="BE67" s="64">
        <f>BE38-SUM(BE64,BE65,BE66,BE63)+$C$83</f>
        <v/>
      </c>
      <c r="BF67" s="64">
        <f>BF38-SUM(BF64,BF65,BF66,BF63)+$C$83</f>
        <v/>
      </c>
      <c r="BG67" s="48">
        <f>BG38-SUM(BG64,BG65,BG66,BG63)+$C$83</f>
        <v/>
      </c>
      <c r="BH67" s="64">
        <f>BH38-SUM(BH64,BH65,BH66,BH63)+$C$83</f>
        <v/>
      </c>
      <c r="BI67" s="64">
        <f>BI38-SUM(BI64,BI65,BI66,BI63)+$C$83</f>
        <v/>
      </c>
      <c r="BJ67" s="48">
        <f>BJ38-SUM(BJ64,BJ65,BJ66,BJ63)+$C$83</f>
        <v/>
      </c>
      <c r="BK67" s="64">
        <f>BK38-SUM(BK64,BK65,BK66,BK63)+$C$83</f>
        <v/>
      </c>
      <c r="BL67" s="64">
        <f>BL38-SUM(BL64,BL65,BL66,BL63)+$C$83</f>
        <v/>
      </c>
      <c r="BM67" s="64">
        <f>BM38-SUM(BM64,BM65,BM66,BM63)+$C$83</f>
        <v/>
      </c>
      <c r="BN67" s="48">
        <f>BN38-SUM(BN64,BN65,BN66,BN63)+$C$83</f>
        <v/>
      </c>
      <c r="BO67" s="64">
        <f>BO38-SUM(BO64,BO65,BO66,BO63)+$C$83</f>
        <v/>
      </c>
      <c r="BP67" s="64">
        <f>BP38-SUM(BP64,BP65,BP66,BP63)+$C$83</f>
        <v/>
      </c>
      <c r="BQ67" s="48">
        <f>BQ38-SUM(BQ64,BQ65,BQ66,BQ63)+$C$83</f>
        <v/>
      </c>
      <c r="BR67" s="64">
        <f>BR38-SUM(BR64,BR65,BR66,BR63)+$C$83</f>
        <v/>
      </c>
      <c r="BS67" s="64">
        <f>BS38-SUM(BS64,BS65,BS66,BS63)+$C$83</f>
        <v/>
      </c>
      <c r="BT67" s="48">
        <f>BT38-SUM(BT64,BT65,BT66,BT63)+$C$83</f>
        <v/>
      </c>
      <c r="BU67" s="64">
        <f>BU38-SUM(BU64,BU65,BU66,BU63)+$C$83</f>
        <v/>
      </c>
      <c r="BV67" s="64">
        <f>BV38-SUM(BV64,BV65,BV66,BV63)+$C$83</f>
        <v/>
      </c>
      <c r="BW67" s="48">
        <f>BW38-SUM(BW64,BW65,BW66,BW63)+$C$83</f>
        <v/>
      </c>
      <c r="BX67" s="64">
        <f>BX38-SUM(BX64,BX65,BX66,BX63)+$C$83</f>
        <v/>
      </c>
      <c r="BY67" s="64">
        <f>BY38-SUM(BY64,BY65,BY66,BY63)+$C$83</f>
        <v/>
      </c>
      <c r="BZ67" s="48">
        <f>BZ38-SUM(BZ64,BZ65,BZ66,BZ63)+$C$83</f>
        <v/>
      </c>
      <c r="CA67" s="64">
        <f>CA38-SUM(CA64,CA65,CA66,CA63)+$C$83</f>
        <v/>
      </c>
      <c r="CB67" s="64">
        <f>CB38-SUM(CB64,CB65,CB66,CB63)+$C$83</f>
        <v/>
      </c>
      <c r="CC67" s="48">
        <f>CC38-SUM(CC64,CC65,CC66,CC63)+$C$83</f>
        <v/>
      </c>
      <c r="CD67" s="64">
        <f>CD38-SUM(CD64,CD65,CD66,CD63)+$C$83</f>
        <v/>
      </c>
      <c r="CE67" s="64">
        <f>CE38-SUM(CE64,CE65,CE66,CE63)+$C$83</f>
        <v/>
      </c>
      <c r="CF67" s="64">
        <f>CF38-SUM(CF64,CF65,CF66,CF63)+$C$83</f>
        <v/>
      </c>
      <c r="CG67" s="48">
        <f>CG38-SUM(CG64,CG65,CG66,CG63)+$C$83</f>
        <v/>
      </c>
      <c r="CH67" s="64">
        <f>CH38-SUM(CH64,CH65,CH66,CH63)+$C$83</f>
        <v/>
      </c>
      <c r="CI67" s="64">
        <f>CI38-SUM(CI64,CI65,CI66,CI63)+$C$83</f>
        <v/>
      </c>
      <c r="CJ67" s="48">
        <f>CJ38-SUM(CJ64,CJ65,CJ66,CJ63)+$C$83</f>
        <v/>
      </c>
      <c r="CK67" s="64">
        <f>CK38-SUM(CK64,CK65,CK66,CK63)+$C$83</f>
        <v/>
      </c>
      <c r="CL67" s="64">
        <f>CL38-SUM(CL64,CL65,CL66,CL63)+$C$83</f>
        <v/>
      </c>
      <c r="CM67" s="48">
        <f>CM38-SUM(CM64,CM65,CM66,CM63)+$C$83</f>
        <v/>
      </c>
      <c r="CN67" s="64">
        <f>CN38-SUM(CN64,CN65,CN66,CN63)+$C$83</f>
        <v/>
      </c>
      <c r="CO67" s="64">
        <f>CO38-SUM(CO64,CO65,CO66,CO63)+$C$83</f>
        <v/>
      </c>
      <c r="CP67" s="48">
        <f>CP38-SUM(CP64,CP65,CP66,CP63)+$C$83</f>
        <v/>
      </c>
      <c r="CQ67" s="64">
        <f>CQ38-SUM(CQ64,CQ65,CQ66,CQ63)+$C$83</f>
        <v/>
      </c>
      <c r="CR67" s="64">
        <f>CR38-SUM(CR64,CR65,CR66,CR63)+$C$83</f>
        <v/>
      </c>
      <c r="CS67" s="48">
        <f>CS38-SUM(CS64,CS65,CS66,CS63)+$C$83</f>
        <v/>
      </c>
      <c r="CT67" s="64">
        <f>CT38-SUM(CT64,CT65,CT66,CT63)+$C$83</f>
        <v/>
      </c>
      <c r="CU67" s="64">
        <f>CU38-SUM(CU64,CU65,CU66,CU63)+$C$83</f>
        <v/>
      </c>
      <c r="CV67" s="48">
        <f>CV38-SUM(CV64,CV65,CV66,CV63)+$C$83</f>
        <v/>
      </c>
      <c r="CW67" s="64">
        <f>CW38-SUM(CW64,CW65,CW66,CW63)+$C$83</f>
        <v/>
      </c>
      <c r="CX67" s="64">
        <f>CX38-SUM(CX64,CX65,CX66,CX63)+$C$83</f>
        <v/>
      </c>
      <c r="CY67" s="64">
        <f>CY38-SUM(CY64,CY65,CY66,CY63)+$C$83</f>
        <v/>
      </c>
      <c r="CZ67" s="48">
        <f>CZ38-SUM(CZ64,CZ65,CZ66,CZ63)+$C$83</f>
        <v/>
      </c>
      <c r="DA67" s="64">
        <f>DA38-SUM(DA64,DA65,DA66,DA63)+$C$83</f>
        <v/>
      </c>
      <c r="DB67" s="64">
        <f>DB38-SUM(DB64,DB65,DB66,DB63)+$C$83</f>
        <v/>
      </c>
      <c r="DC67" s="48">
        <f>DC38-SUM(DC64,DC65,DC66,DC63)+$C$83</f>
        <v/>
      </c>
      <c r="DD67" s="64">
        <f>DD38-SUM(DD64,DD65,DD66,DD63)+$C$83</f>
        <v/>
      </c>
      <c r="DE67" s="64">
        <f>DE38-SUM(DE64,DE65,DE66,DE63)+$C$83</f>
        <v/>
      </c>
      <c r="DF67" s="48">
        <f>DF38-SUM(DF64,DF65,DF66,DF63)+$C$83</f>
        <v/>
      </c>
      <c r="DG67" s="64">
        <f>DG38-SUM(DG64,DG65,DG66,DG63)+$C$83</f>
        <v/>
      </c>
      <c r="DH67" s="64">
        <f>DH38-SUM(DH64,DH65,DH66,DH63)+$C$83</f>
        <v/>
      </c>
      <c r="DI67" s="48">
        <f>DI38-SUM(DI64,DI65,DI66,DI63)+$C$83</f>
        <v/>
      </c>
      <c r="DJ67" s="64">
        <f>DJ38-SUM(DJ64,DJ65,DJ66,DJ63)+$C$83</f>
        <v/>
      </c>
      <c r="DK67" s="64">
        <f>DK38-SUM(DK64,DK65,DK66,DK63)+$C$83</f>
        <v/>
      </c>
      <c r="DL67" s="48">
        <f>DL38-SUM(DL64,DL65,DL66,DL63)+$C$83</f>
        <v/>
      </c>
      <c r="DM67" s="64">
        <f>DM38-SUM(DM64,DM65,DM66,DM63)+$C$83</f>
        <v/>
      </c>
      <c r="DN67" s="64">
        <f>DN38-SUM(DN64,DN65,DN66,DN63)+$C$83</f>
        <v/>
      </c>
      <c r="DO67" s="48">
        <f>DO38-SUM(DO64,DO65,DO66,DO63)+$C$83</f>
        <v/>
      </c>
      <c r="DP67" s="64">
        <f>DP38-SUM(DP64,DP65,DP66,DP63)+$C$83</f>
        <v/>
      </c>
      <c r="DQ67" s="64">
        <f>DQ38-SUM(DQ64,DQ65,DQ66,DQ63)+$C$83</f>
        <v/>
      </c>
      <c r="DR67" s="64">
        <f>DR38-SUM(DR64,DR65,DR66,DR63)+$C$83</f>
        <v/>
      </c>
      <c r="DS67" s="48">
        <f>DS38-SUM(DS64,DS65,DS66,DS63)+$C$83</f>
        <v/>
      </c>
      <c r="DT67" s="64">
        <f>DT38-SUM(DT64,DT65,DT66,DT63)+$C$83</f>
        <v/>
      </c>
      <c r="DU67" s="64">
        <f>DU38-SUM(DU64,DU65,DU66,DU63)+$C$83</f>
        <v/>
      </c>
      <c r="DV67" s="48">
        <f>DV38-SUM(DV64,DV65,DV66,DV63)+$C$83</f>
        <v/>
      </c>
      <c r="DW67" s="64">
        <f>DW38-SUM(DW64,DW65,DW66,DW63)+$C$83</f>
        <v/>
      </c>
      <c r="DX67" s="64">
        <f>DX38-SUM(DX64,DX65,DX66,DX63)+$C$83</f>
        <v/>
      </c>
      <c r="DY67" s="48">
        <f>DY38-SUM(DY64,DY65,DY66,DY63)+$C$83</f>
        <v/>
      </c>
      <c r="DZ67" s="64">
        <f>DZ38-SUM(DZ64,DZ65,DZ66,DZ63)+$C$83</f>
        <v/>
      </c>
      <c r="EA67" s="64">
        <f>EA38-SUM(EA64,EA65,EA66,EA63)+$C$83</f>
        <v/>
      </c>
      <c r="EB67" s="48">
        <f>EB38-SUM(EB64,EB65,EB66,EB63)+$C$83</f>
        <v/>
      </c>
      <c r="EC67" s="64">
        <f>EC38-SUM(EC64,EC65,EC66,EC63)+$C$83</f>
        <v/>
      </c>
      <c r="ED67" s="64">
        <f>ED38-SUM(ED64,ED65,ED66,ED63)+$C$83</f>
        <v/>
      </c>
      <c r="EE67" s="48">
        <f>EE38-SUM(EE64,EE65,EE66,EE63)+$C$83</f>
        <v/>
      </c>
      <c r="EF67" s="64">
        <f>EF38-SUM(EF64,EF65,EF66,EF63)+$C$83</f>
        <v/>
      </c>
      <c r="EG67" s="64">
        <f>EG38-SUM(EG64,EG65,EG66,EG63)+$C$83</f>
        <v/>
      </c>
      <c r="EH67" s="48">
        <f>EH38-SUM(EH64,EH65,EH66,EH63)+$C$83</f>
        <v/>
      </c>
      <c r="EI67" s="64">
        <f>EI38-SUM(EI64,EI65,EI66,EI63)+$C$83</f>
        <v/>
      </c>
      <c r="EJ67" s="64">
        <f>EJ38-SUM(EJ64,EJ65,EJ66,EJ63)+$C$83</f>
        <v/>
      </c>
    </row>
    <row r="68">
      <c r="A68" s="19" t="inlineStr">
        <is>
          <t>Total volume</t>
        </is>
      </c>
      <c r="B68" s="96" t="inlineStr">
        <is>
          <t>ul</t>
        </is>
      </c>
      <c r="C68" s="75">
        <f>SUM(C63:C67)</f>
        <v/>
      </c>
      <c r="D68" s="55">
        <f>SUM(D63:D67)</f>
        <v/>
      </c>
      <c r="E68" s="13">
        <f>SUM(E63:E67)</f>
        <v/>
      </c>
      <c r="F68" s="12">
        <f>SUM(F63:F67)</f>
        <v/>
      </c>
      <c r="G68" s="55">
        <f>SUM(G63:G67)</f>
        <v/>
      </c>
      <c r="H68" s="55">
        <f>SUM(H63:H67)</f>
        <v/>
      </c>
      <c r="I68" s="12">
        <f>SUM(I63:I67)</f>
        <v/>
      </c>
      <c r="J68" s="55">
        <f>SUM(J63:J67)</f>
        <v/>
      </c>
      <c r="K68" s="55">
        <f>SUM(K63:K67)</f>
        <v/>
      </c>
      <c r="L68" s="12">
        <f>SUM(L63:L67)</f>
        <v/>
      </c>
      <c r="M68" s="55">
        <f>SUM(M63:M67)</f>
        <v/>
      </c>
      <c r="N68" s="55">
        <f>SUM(N63:N67)</f>
        <v/>
      </c>
      <c r="O68" s="12">
        <f>SUM(O63:O67)</f>
        <v/>
      </c>
      <c r="P68" s="55">
        <f>SUM(P63:P67)</f>
        <v/>
      </c>
      <c r="Q68" s="55">
        <f>SUM(Q63:Q67)</f>
        <v/>
      </c>
      <c r="R68" s="12">
        <f>SUM(R63:R67)</f>
        <v/>
      </c>
      <c r="S68" s="55">
        <f>SUM(S63:S67)</f>
        <v/>
      </c>
      <c r="T68" s="55">
        <f>SUM(T63:T67)</f>
        <v/>
      </c>
      <c r="U68" s="12">
        <f>SUM(U63:U67)</f>
        <v/>
      </c>
      <c r="V68" s="55">
        <f>SUM(V63:V67)</f>
        <v/>
      </c>
      <c r="W68" s="55">
        <f>SUM(W63:W67)</f>
        <v/>
      </c>
      <c r="X68" s="12">
        <f>SUM(X63:X67)</f>
        <v/>
      </c>
      <c r="Y68" s="55">
        <f>SUM(Y63:Y67)</f>
        <v/>
      </c>
      <c r="Z68" s="55">
        <f>SUM(Z63:Z67)</f>
        <v/>
      </c>
      <c r="AA68" s="55">
        <f>SUM(AA63:AA67)</f>
        <v/>
      </c>
      <c r="AB68" s="12">
        <f>SUM(AB63:AB67)</f>
        <v/>
      </c>
      <c r="AC68" s="55">
        <f>SUM(AC63:AC67)</f>
        <v/>
      </c>
      <c r="AD68" s="55">
        <f>SUM(AD63:AD67)</f>
        <v/>
      </c>
      <c r="AE68" s="12">
        <f>SUM(AE63:AE67)</f>
        <v/>
      </c>
      <c r="AF68" s="55">
        <f>SUM(AF63:AF67)</f>
        <v/>
      </c>
      <c r="AG68" s="55">
        <f>SUM(AG63:AG67)</f>
        <v/>
      </c>
      <c r="AH68" s="12">
        <f>SUM(AH63:AH67)</f>
        <v/>
      </c>
      <c r="AI68" s="55">
        <f>SUM(AI63:AI67)</f>
        <v/>
      </c>
      <c r="AJ68" s="55">
        <f>SUM(AJ63:AJ67)</f>
        <v/>
      </c>
      <c r="AK68" s="12">
        <f>SUM(AK63:AK67)</f>
        <v/>
      </c>
      <c r="AL68" s="55">
        <f>SUM(AL63:AL67)</f>
        <v/>
      </c>
      <c r="AM68" s="55">
        <f>SUM(AM63:AM67)</f>
        <v/>
      </c>
      <c r="AN68" s="12">
        <f>SUM(AN63:AN67)</f>
        <v/>
      </c>
      <c r="AO68" s="55">
        <f>SUM(AO63:AO67)</f>
        <v/>
      </c>
      <c r="AP68" s="55">
        <f>SUM(AP63:AP67)</f>
        <v/>
      </c>
      <c r="AQ68" s="12">
        <f>SUM(AQ63:AQ67)</f>
        <v/>
      </c>
      <c r="AR68" s="55">
        <f>SUM(AR63:AR67)</f>
        <v/>
      </c>
      <c r="AS68" s="55">
        <f>SUM(AS63:AS67)</f>
        <v/>
      </c>
      <c r="AT68" s="55">
        <f>SUM(AT63:AT67)</f>
        <v/>
      </c>
      <c r="AU68" s="12">
        <f>SUM(AU63:AU67)</f>
        <v/>
      </c>
      <c r="AV68" s="55">
        <f>SUM(AV63:AV67)</f>
        <v/>
      </c>
      <c r="AW68" s="55">
        <f>SUM(AW63:AW67)</f>
        <v/>
      </c>
      <c r="AX68" s="12">
        <f>SUM(AX63:AX67)</f>
        <v/>
      </c>
      <c r="AY68" s="55">
        <f>SUM(AY63:AY67)</f>
        <v/>
      </c>
      <c r="AZ68" s="55">
        <f>SUM(AZ63:AZ67)</f>
        <v/>
      </c>
      <c r="BA68" s="12">
        <f>SUM(BA63:BA67)</f>
        <v/>
      </c>
      <c r="BB68" s="55">
        <f>SUM(BB63:BB67)</f>
        <v/>
      </c>
      <c r="BC68" s="55">
        <f>SUM(BC63:BC67)</f>
        <v/>
      </c>
      <c r="BD68" s="12">
        <f>SUM(BD63:BD67)</f>
        <v/>
      </c>
      <c r="BE68" s="55">
        <f>SUM(BE63:BE67)</f>
        <v/>
      </c>
      <c r="BF68" s="55">
        <f>SUM(BF63:BF67)</f>
        <v/>
      </c>
      <c r="BG68" s="12">
        <f>SUM(BG63:BG67)</f>
        <v/>
      </c>
      <c r="BH68" s="55">
        <f>SUM(BH63:BH67)</f>
        <v/>
      </c>
      <c r="BI68" s="55">
        <f>SUM(BI63:BI67)</f>
        <v/>
      </c>
      <c r="BJ68" s="12">
        <f>SUM(BJ63:BJ67)</f>
        <v/>
      </c>
      <c r="BK68" s="55">
        <f>SUM(BK63:BK67)</f>
        <v/>
      </c>
      <c r="BL68" s="55">
        <f>SUM(BL63:BL67)</f>
        <v/>
      </c>
      <c r="BM68" s="55">
        <f>SUM(BM63:BM67)</f>
        <v/>
      </c>
      <c r="BN68" s="12">
        <f>SUM(BN63:BN67)</f>
        <v/>
      </c>
      <c r="BO68" s="55">
        <f>SUM(BO63:BO67)</f>
        <v/>
      </c>
      <c r="BP68" s="55">
        <f>SUM(BP63:BP67)</f>
        <v/>
      </c>
      <c r="BQ68" s="12">
        <f>SUM(BQ63:BQ67)</f>
        <v/>
      </c>
      <c r="BR68" s="55">
        <f>SUM(BR63:BR67)</f>
        <v/>
      </c>
      <c r="BS68" s="55">
        <f>SUM(BS63:BS67)</f>
        <v/>
      </c>
      <c r="BT68" s="12">
        <f>SUM(BT63:BT67)</f>
        <v/>
      </c>
      <c r="BU68" s="55">
        <f>SUM(BU63:BU67)</f>
        <v/>
      </c>
      <c r="BV68" s="55">
        <f>SUM(BV63:BV67)</f>
        <v/>
      </c>
      <c r="BW68" s="12">
        <f>SUM(BW63:BW67)</f>
        <v/>
      </c>
      <c r="BX68" s="55">
        <f>SUM(BX63:BX67)</f>
        <v/>
      </c>
      <c r="BY68" s="55">
        <f>SUM(BY63:BY67)</f>
        <v/>
      </c>
      <c r="BZ68" s="12">
        <f>SUM(BZ63:BZ67)</f>
        <v/>
      </c>
      <c r="CA68" s="55">
        <f>SUM(CA63:CA67)</f>
        <v/>
      </c>
      <c r="CB68" s="55">
        <f>SUM(CB63:CB67)</f>
        <v/>
      </c>
      <c r="CC68" s="12">
        <f>SUM(CC63:CC67)</f>
        <v/>
      </c>
      <c r="CD68" s="55">
        <f>SUM(CD63:CD67)</f>
        <v/>
      </c>
      <c r="CE68" s="55">
        <f>SUM(CE63:CE67)</f>
        <v/>
      </c>
      <c r="CF68" s="55">
        <f>SUM(CF63:CF67)</f>
        <v/>
      </c>
      <c r="CG68" s="12">
        <f>SUM(CG63:CG67)</f>
        <v/>
      </c>
      <c r="CH68" s="55">
        <f>SUM(CH63:CH67)</f>
        <v/>
      </c>
      <c r="CI68" s="55">
        <f>SUM(CI63:CI67)</f>
        <v/>
      </c>
      <c r="CJ68" s="12">
        <f>SUM(CJ63:CJ67)</f>
        <v/>
      </c>
      <c r="CK68" s="55">
        <f>SUM(CK63:CK67)</f>
        <v/>
      </c>
      <c r="CL68" s="55">
        <f>SUM(CL63:CL67)</f>
        <v/>
      </c>
      <c r="CM68" s="12">
        <f>SUM(CM63:CM67)</f>
        <v/>
      </c>
      <c r="CN68" s="55">
        <f>SUM(CN63:CN67)</f>
        <v/>
      </c>
      <c r="CO68" s="55">
        <f>SUM(CO63:CO67)</f>
        <v/>
      </c>
      <c r="CP68" s="12">
        <f>SUM(CP63:CP67)</f>
        <v/>
      </c>
      <c r="CQ68" s="55">
        <f>SUM(CQ63:CQ67)</f>
        <v/>
      </c>
      <c r="CR68" s="55">
        <f>SUM(CR63:CR67)</f>
        <v/>
      </c>
      <c r="CS68" s="12">
        <f>SUM(CS63:CS67)</f>
        <v/>
      </c>
      <c r="CT68" s="55">
        <f>SUM(CT63:CT67)</f>
        <v/>
      </c>
      <c r="CU68" s="55">
        <f>SUM(CU63:CU67)</f>
        <v/>
      </c>
      <c r="CV68" s="12">
        <f>SUM(CV63:CV67)</f>
        <v/>
      </c>
      <c r="CW68" s="55">
        <f>SUM(CW63:CW67)</f>
        <v/>
      </c>
      <c r="CX68" s="55">
        <f>SUM(CX63:CX67)</f>
        <v/>
      </c>
      <c r="CY68" s="55">
        <f>SUM(CY63:CY67)</f>
        <v/>
      </c>
      <c r="CZ68" s="12">
        <f>SUM(CZ63:CZ67)</f>
        <v/>
      </c>
      <c r="DA68" s="55">
        <f>SUM(DA63:DA67)</f>
        <v/>
      </c>
      <c r="DB68" s="55">
        <f>SUM(DB63:DB67)</f>
        <v/>
      </c>
      <c r="DC68" s="12">
        <f>SUM(DC63:DC67)</f>
        <v/>
      </c>
      <c r="DD68" s="55">
        <f>SUM(DD63:DD67)</f>
        <v/>
      </c>
      <c r="DE68" s="55">
        <f>SUM(DE63:DE67)</f>
        <v/>
      </c>
      <c r="DF68" s="12">
        <f>SUM(DF63:DF67)</f>
        <v/>
      </c>
      <c r="DG68" s="55">
        <f>SUM(DG63:DG67)</f>
        <v/>
      </c>
      <c r="DH68" s="55">
        <f>SUM(DH63:DH67)</f>
        <v/>
      </c>
      <c r="DI68" s="12">
        <f>SUM(DI63:DI67)</f>
        <v/>
      </c>
      <c r="DJ68" s="55">
        <f>SUM(DJ63:DJ67)</f>
        <v/>
      </c>
      <c r="DK68" s="55">
        <f>SUM(DK63:DK67)</f>
        <v/>
      </c>
      <c r="DL68" s="12">
        <f>SUM(DL63:DL67)</f>
        <v/>
      </c>
      <c r="DM68" s="55">
        <f>SUM(DM63:DM67)</f>
        <v/>
      </c>
      <c r="DN68" s="55">
        <f>SUM(DN63:DN67)</f>
        <v/>
      </c>
      <c r="DO68" s="12">
        <f>SUM(DO63:DO67)</f>
        <v/>
      </c>
      <c r="DP68" s="55">
        <f>SUM(DP63:DP67)</f>
        <v/>
      </c>
      <c r="DQ68" s="55">
        <f>SUM(DQ63:DQ67)</f>
        <v/>
      </c>
      <c r="DR68" s="55">
        <f>SUM(DR63:DR67)</f>
        <v/>
      </c>
      <c r="DS68" s="12">
        <f>SUM(DS63:DS67)</f>
        <v/>
      </c>
      <c r="DT68" s="55">
        <f>SUM(DT63:DT67)</f>
        <v/>
      </c>
      <c r="DU68" s="55">
        <f>SUM(DU63:DU67)</f>
        <v/>
      </c>
      <c r="DV68" s="12">
        <f>SUM(DV63:DV67)</f>
        <v/>
      </c>
      <c r="DW68" s="55">
        <f>SUM(DW63:DW67)</f>
        <v/>
      </c>
      <c r="DX68" s="55">
        <f>SUM(DX63:DX67)</f>
        <v/>
      </c>
      <c r="DY68" s="12">
        <f>SUM(DY63:DY67)</f>
        <v/>
      </c>
      <c r="DZ68" s="55">
        <f>SUM(DZ63:DZ67)</f>
        <v/>
      </c>
      <c r="EA68" s="55">
        <f>SUM(EA63:EA67)</f>
        <v/>
      </c>
      <c r="EB68" s="12">
        <f>SUM(EB63:EB67)</f>
        <v/>
      </c>
      <c r="EC68" s="55">
        <f>SUM(EC63:EC67)</f>
        <v/>
      </c>
      <c r="ED68" s="55">
        <f>SUM(ED63:ED67)</f>
        <v/>
      </c>
      <c r="EE68" s="12">
        <f>SUM(EE63:EE67)</f>
        <v/>
      </c>
      <c r="EF68" s="55">
        <f>SUM(EF63:EF67)</f>
        <v/>
      </c>
      <c r="EG68" s="55">
        <f>SUM(EG63:EG67)</f>
        <v/>
      </c>
      <c r="EH68" s="12">
        <f>SUM(EH63:EH67)</f>
        <v/>
      </c>
      <c r="EI68" s="55">
        <f>SUM(EI63:EI67)</f>
        <v/>
      </c>
      <c r="EJ68" s="55">
        <f>SUM(EJ63:EJ67)</f>
        <v/>
      </c>
    </row>
    <row r="69">
      <c r="A69" s="19" t="inlineStr">
        <is>
          <t>ARE THERE NEGATIVE VOLUMES?</t>
        </is>
      </c>
      <c r="B69" s="96" t="n"/>
      <c r="C69" s="75">
        <f>IF(OR(C63&lt;0,C64&lt;0,C65&lt;0,C66&lt;0,C67&lt;0),"YES","NO")</f>
        <v/>
      </c>
      <c r="D69" s="55">
        <f>IF(OR(D63&lt;0,D64&lt;0,D65&lt;0,D66&lt;0,D67&lt;0),"YES","NO")</f>
        <v/>
      </c>
      <c r="E69" s="13">
        <f>IF(OR(E63&lt;0,E64&lt;0,E65&lt;0,E66&lt;0,E67&lt;0),"YES","NO")</f>
        <v/>
      </c>
      <c r="F69" s="12">
        <f>IF(OR(F63&lt;0,F64&lt;0,F65&lt;0,F66&lt;0,F67&lt;0),"YES","NO")</f>
        <v/>
      </c>
      <c r="G69" s="55">
        <f>IF(OR(G63&lt;0,G64&lt;0,G65&lt;0,G66&lt;0,G67&lt;0),"YES","NO")</f>
        <v/>
      </c>
      <c r="H69" s="55">
        <f>IF(OR(H63&lt;0,H64&lt;0,H65&lt;0,H66&lt;0,H67&lt;0),"YES","NO")</f>
        <v/>
      </c>
      <c r="I69" s="12">
        <f>IF(OR(I63&lt;0,I64&lt;0,I65&lt;0,I66&lt;0,I67&lt;0),"YES","NO")</f>
        <v/>
      </c>
      <c r="J69" s="55">
        <f>IF(OR(J63&lt;0,J64&lt;0,J65&lt;0,J66&lt;0,J67&lt;0),"YES","NO")</f>
        <v/>
      </c>
      <c r="K69" s="55">
        <f>IF(OR(K63&lt;0,K64&lt;0,K65&lt;0,K66&lt;0,K67&lt;0),"YES","NO")</f>
        <v/>
      </c>
      <c r="L69" s="12">
        <f>IF(OR(L63&lt;0,L64&lt;0,L65&lt;0,L66&lt;0,L67&lt;0),"YES","NO")</f>
        <v/>
      </c>
      <c r="M69" s="55">
        <f>IF(OR(M63&lt;0,M64&lt;0,M65&lt;0,M66&lt;0,M67&lt;0),"YES","NO")</f>
        <v/>
      </c>
      <c r="N69" s="55">
        <f>IF(OR(N63&lt;0,N64&lt;0,N65&lt;0,N66&lt;0,N67&lt;0),"YES","NO")</f>
        <v/>
      </c>
      <c r="O69" s="12">
        <f>IF(OR(O63&lt;0,O64&lt;0,O65&lt;0,O66&lt;0,O67&lt;0),"YES","NO")</f>
        <v/>
      </c>
      <c r="P69" s="55">
        <f>IF(OR(P63&lt;0,P64&lt;0,P65&lt;0,P66&lt;0,P67&lt;0),"YES","NO")</f>
        <v/>
      </c>
      <c r="Q69" s="55">
        <f>IF(OR(Q63&lt;0,Q64&lt;0,Q65&lt;0,Q66&lt;0,Q67&lt;0),"YES","NO")</f>
        <v/>
      </c>
      <c r="R69" s="12">
        <f>IF(OR(R63&lt;0,R64&lt;0,R65&lt;0,R66&lt;0,R67&lt;0),"YES","NO")</f>
        <v/>
      </c>
      <c r="S69" s="55">
        <f>IF(OR(S63&lt;0,S64&lt;0,S65&lt;0,S66&lt;0,S67&lt;0),"YES","NO")</f>
        <v/>
      </c>
      <c r="T69" s="55">
        <f>IF(OR(T63&lt;0,T64&lt;0,T65&lt;0,T66&lt;0,T67&lt;0),"YES","NO")</f>
        <v/>
      </c>
      <c r="U69" s="12">
        <f>IF(OR(U63&lt;0,U64&lt;0,U65&lt;0,U66&lt;0,U67&lt;0),"YES","NO")</f>
        <v/>
      </c>
      <c r="V69" s="55">
        <f>IF(OR(V63&lt;0,V64&lt;0,V65&lt;0,V66&lt;0,V67&lt;0),"YES","NO")</f>
        <v/>
      </c>
      <c r="W69" s="55">
        <f>IF(OR(W63&lt;0,W64&lt;0,W65&lt;0,W66&lt;0,W67&lt;0),"YES","NO")</f>
        <v/>
      </c>
      <c r="X69" s="12">
        <f>IF(OR(X63&lt;0,X64&lt;0,X65&lt;0,X66&lt;0,X67&lt;0),"YES","NO")</f>
        <v/>
      </c>
      <c r="Y69" s="55">
        <f>IF(OR(Y63&lt;0,Y64&lt;0,Y65&lt;0,Y66&lt;0,Y67&lt;0),"YES","NO")</f>
        <v/>
      </c>
      <c r="Z69" s="55">
        <f>IF(OR(Z63&lt;0,Z64&lt;0,Z65&lt;0,Z66&lt;0,Z67&lt;0),"YES","NO")</f>
        <v/>
      </c>
      <c r="AA69" s="55">
        <f>IF(OR(AA63&lt;0,AA64&lt;0,AA65&lt;0,AA66&lt;0,AA67&lt;0),"YES","NO")</f>
        <v/>
      </c>
      <c r="AB69" s="12">
        <f>IF(OR(AB63&lt;0,AB64&lt;0,AB65&lt;0,AB66&lt;0,AB67&lt;0),"YES","NO")</f>
        <v/>
      </c>
      <c r="AC69" s="55">
        <f>IF(OR(AC63&lt;0,AC64&lt;0,AC65&lt;0,AC66&lt;0,AC67&lt;0),"YES","NO")</f>
        <v/>
      </c>
      <c r="AD69" s="55">
        <f>IF(OR(AD63&lt;0,AD64&lt;0,AD65&lt;0,AD66&lt;0,AD67&lt;0),"YES","NO")</f>
        <v/>
      </c>
      <c r="AE69" s="12">
        <f>IF(OR(AE63&lt;0,AE64&lt;0,AE65&lt;0,AE66&lt;0,AE67&lt;0),"YES","NO")</f>
        <v/>
      </c>
      <c r="AF69" s="55">
        <f>IF(OR(AF63&lt;0,AF64&lt;0,AF65&lt;0,AF66&lt;0,AF67&lt;0),"YES","NO")</f>
        <v/>
      </c>
      <c r="AG69" s="55">
        <f>IF(OR(AG63&lt;0,AG64&lt;0,AG65&lt;0,AG66&lt;0,AG67&lt;0),"YES","NO")</f>
        <v/>
      </c>
      <c r="AH69" s="12">
        <f>IF(OR(AH63&lt;0,AH64&lt;0,AH65&lt;0,AH66&lt;0,AH67&lt;0),"YES","NO")</f>
        <v/>
      </c>
      <c r="AI69" s="55">
        <f>IF(OR(AI63&lt;0,AI64&lt;0,AI65&lt;0,AI66&lt;0,AI67&lt;0),"YES","NO")</f>
        <v/>
      </c>
      <c r="AJ69" s="55">
        <f>IF(OR(AJ63&lt;0,AJ64&lt;0,AJ65&lt;0,AJ66&lt;0,AJ67&lt;0),"YES","NO")</f>
        <v/>
      </c>
      <c r="AK69" s="12">
        <f>IF(OR(AK63&lt;0,AK64&lt;0,AK65&lt;0,AK66&lt;0,AK67&lt;0),"YES","NO")</f>
        <v/>
      </c>
      <c r="AL69" s="55">
        <f>IF(OR(AL63&lt;0,AL64&lt;0,AL65&lt;0,AL66&lt;0,AL67&lt;0),"YES","NO")</f>
        <v/>
      </c>
      <c r="AM69" s="55">
        <f>IF(OR(AM63&lt;0,AM64&lt;0,AM65&lt;0,AM66&lt;0,AM67&lt;0),"YES","NO")</f>
        <v/>
      </c>
      <c r="AN69" s="12">
        <f>IF(OR(AN63&lt;0,AN64&lt;0,AN65&lt;0,AN66&lt;0,AN67&lt;0),"YES","NO")</f>
        <v/>
      </c>
      <c r="AO69" s="55">
        <f>IF(OR(AO63&lt;0,AO64&lt;0,AO65&lt;0,AO66&lt;0,AO67&lt;0),"YES","NO")</f>
        <v/>
      </c>
      <c r="AP69" s="55">
        <f>IF(OR(AP63&lt;0,AP64&lt;0,AP65&lt;0,AP66&lt;0,AP67&lt;0),"YES","NO")</f>
        <v/>
      </c>
      <c r="AQ69" s="12">
        <f>IF(OR(AQ63&lt;0,AQ64&lt;0,AQ65&lt;0,AQ66&lt;0,AQ67&lt;0),"YES","NO")</f>
        <v/>
      </c>
      <c r="AR69" s="55">
        <f>IF(OR(AR63&lt;0,AR64&lt;0,AR65&lt;0,AR66&lt;0,AR67&lt;0),"YES","NO")</f>
        <v/>
      </c>
      <c r="AS69" s="55">
        <f>IF(OR(AS63&lt;0,AS64&lt;0,AS65&lt;0,AS66&lt;0,AS67&lt;0),"YES","NO")</f>
        <v/>
      </c>
      <c r="AT69" s="55">
        <f>IF(OR(AT63&lt;0,AT64&lt;0,AT65&lt;0,AT66&lt;0,AT67&lt;0),"YES","NO")</f>
        <v/>
      </c>
      <c r="AU69" s="12">
        <f>IF(OR(AU63&lt;0,AU64&lt;0,AU65&lt;0,AU66&lt;0,AU67&lt;0),"YES","NO")</f>
        <v/>
      </c>
      <c r="AV69" s="55">
        <f>IF(OR(AV63&lt;0,AV64&lt;0,AV65&lt;0,AV66&lt;0,AV67&lt;0),"YES","NO")</f>
        <v/>
      </c>
      <c r="AW69" s="55">
        <f>IF(OR(AW63&lt;0,AW64&lt;0,AW65&lt;0,AW66&lt;0,AW67&lt;0),"YES","NO")</f>
        <v/>
      </c>
      <c r="AX69" s="12">
        <f>IF(OR(AX63&lt;0,AX64&lt;0,AX65&lt;0,AX66&lt;0,AX67&lt;0),"YES","NO")</f>
        <v/>
      </c>
      <c r="AY69" s="55">
        <f>IF(OR(AY63&lt;0,AY64&lt;0,AY65&lt;0,AY66&lt;0,AY67&lt;0),"YES","NO")</f>
        <v/>
      </c>
      <c r="AZ69" s="55">
        <f>IF(OR(AZ63&lt;0,AZ64&lt;0,AZ65&lt;0,AZ66&lt;0,AZ67&lt;0),"YES","NO")</f>
        <v/>
      </c>
      <c r="BA69" s="12">
        <f>IF(OR(BA63&lt;0,BA64&lt;0,BA65&lt;0,BA66&lt;0,BA67&lt;0),"YES","NO")</f>
        <v/>
      </c>
      <c r="BB69" s="55">
        <f>IF(OR(BB63&lt;0,BB64&lt;0,BB65&lt;0,BB66&lt;0,BB67&lt;0),"YES","NO")</f>
        <v/>
      </c>
      <c r="BC69" s="55">
        <f>IF(OR(BC63&lt;0,BC64&lt;0,BC65&lt;0,BC66&lt;0,BC67&lt;0),"YES","NO")</f>
        <v/>
      </c>
      <c r="BD69" s="12">
        <f>IF(OR(BD63&lt;0,BD64&lt;0,BD65&lt;0,BD66&lt;0,BD67&lt;0),"YES","NO")</f>
        <v/>
      </c>
      <c r="BE69" s="55">
        <f>IF(OR(BE63&lt;0,BE64&lt;0,BE65&lt;0,BE66&lt;0,BE67&lt;0),"YES","NO")</f>
        <v/>
      </c>
      <c r="BF69" s="55">
        <f>IF(OR(BF63&lt;0,BF64&lt;0,BF65&lt;0,BF66&lt;0,BF67&lt;0),"YES","NO")</f>
        <v/>
      </c>
      <c r="BG69" s="12">
        <f>IF(OR(BG63&lt;0,BG64&lt;0,BG65&lt;0,BG66&lt;0,BG67&lt;0),"YES","NO")</f>
        <v/>
      </c>
      <c r="BH69" s="55">
        <f>IF(OR(BH63&lt;0,BH64&lt;0,BH65&lt;0,BH66&lt;0,BH67&lt;0),"YES","NO")</f>
        <v/>
      </c>
      <c r="BI69" s="55">
        <f>IF(OR(BI63&lt;0,BI64&lt;0,BI65&lt;0,BI66&lt;0,BI67&lt;0),"YES","NO")</f>
        <v/>
      </c>
      <c r="BJ69" s="12">
        <f>IF(OR(BJ63&lt;0,BJ64&lt;0,BJ65&lt;0,BJ66&lt;0,BJ67&lt;0),"YES","NO")</f>
        <v/>
      </c>
      <c r="BK69" s="55">
        <f>IF(OR(BK63&lt;0,BK64&lt;0,BK65&lt;0,BK66&lt;0,BK67&lt;0),"YES","NO")</f>
        <v/>
      </c>
      <c r="BL69" s="55">
        <f>IF(OR(BL63&lt;0,BL64&lt;0,BL65&lt;0,BL66&lt;0,BL67&lt;0),"YES","NO")</f>
        <v/>
      </c>
      <c r="BM69" s="55">
        <f>IF(OR(BM63&lt;0,BM64&lt;0,BM65&lt;0,BM66&lt;0,BM67&lt;0),"YES","NO")</f>
        <v/>
      </c>
      <c r="BN69" s="12">
        <f>IF(OR(BN63&lt;0,BN64&lt;0,BN65&lt;0,BN66&lt;0,BN67&lt;0),"YES","NO")</f>
        <v/>
      </c>
      <c r="BO69" s="55">
        <f>IF(OR(BO63&lt;0,BO64&lt;0,BO65&lt;0,BO66&lt;0,BO67&lt;0),"YES","NO")</f>
        <v/>
      </c>
      <c r="BP69" s="55">
        <f>IF(OR(BP63&lt;0,BP64&lt;0,BP65&lt;0,BP66&lt;0,BP67&lt;0),"YES","NO")</f>
        <v/>
      </c>
      <c r="BQ69" s="12">
        <f>IF(OR(BQ63&lt;0,BQ64&lt;0,BQ65&lt;0,BQ66&lt;0,BQ67&lt;0),"YES","NO")</f>
        <v/>
      </c>
      <c r="BR69" s="55">
        <f>IF(OR(BR63&lt;0,BR64&lt;0,BR65&lt;0,BR66&lt;0,BR67&lt;0),"YES","NO")</f>
        <v/>
      </c>
      <c r="BS69" s="55">
        <f>IF(OR(BS63&lt;0,BS64&lt;0,BS65&lt;0,BS66&lt;0,BS67&lt;0),"YES","NO")</f>
        <v/>
      </c>
      <c r="BT69" s="12">
        <f>IF(OR(BT63&lt;0,BT64&lt;0,BT65&lt;0,BT66&lt;0,BT67&lt;0),"YES","NO")</f>
        <v/>
      </c>
      <c r="BU69" s="55">
        <f>IF(OR(BU63&lt;0,BU64&lt;0,BU65&lt;0,BU66&lt;0,BU67&lt;0),"YES","NO")</f>
        <v/>
      </c>
      <c r="BV69" s="55">
        <f>IF(OR(BV63&lt;0,BV64&lt;0,BV65&lt;0,BV66&lt;0,BV67&lt;0),"YES","NO")</f>
        <v/>
      </c>
      <c r="BW69" s="12">
        <f>IF(OR(BW63&lt;0,BW64&lt;0,BW65&lt;0,BW66&lt;0,BW67&lt;0),"YES","NO")</f>
        <v/>
      </c>
      <c r="BX69" s="55">
        <f>IF(OR(BX63&lt;0,BX64&lt;0,BX65&lt;0,BX66&lt;0,BX67&lt;0),"YES","NO")</f>
        <v/>
      </c>
      <c r="BY69" s="55">
        <f>IF(OR(BY63&lt;0,BY64&lt;0,BY65&lt;0,BY66&lt;0,BY67&lt;0),"YES","NO")</f>
        <v/>
      </c>
      <c r="BZ69" s="12">
        <f>IF(OR(BZ63&lt;0,BZ64&lt;0,BZ65&lt;0,BZ66&lt;0,BZ67&lt;0),"YES","NO")</f>
        <v/>
      </c>
      <c r="CA69" s="55">
        <f>IF(OR(CA63&lt;0,CA64&lt;0,CA65&lt;0,CA66&lt;0,CA67&lt;0),"YES","NO")</f>
        <v/>
      </c>
      <c r="CB69" s="55">
        <f>IF(OR(CB63&lt;0,CB64&lt;0,CB65&lt;0,CB66&lt;0,CB67&lt;0),"YES","NO")</f>
        <v/>
      </c>
      <c r="CC69" s="12">
        <f>IF(OR(CC63&lt;0,CC64&lt;0,CC65&lt;0,CC66&lt;0,CC67&lt;0),"YES","NO")</f>
        <v/>
      </c>
      <c r="CD69" s="55">
        <f>IF(OR(CD63&lt;0,CD64&lt;0,CD65&lt;0,CD66&lt;0,CD67&lt;0),"YES","NO")</f>
        <v/>
      </c>
      <c r="CE69" s="55">
        <f>IF(OR(CE63&lt;0,CE64&lt;0,CE65&lt;0,CE66&lt;0,CE67&lt;0),"YES","NO")</f>
        <v/>
      </c>
      <c r="CF69" s="55">
        <f>IF(OR(CF63&lt;0,CF64&lt;0,CF65&lt;0,CF66&lt;0,CF67&lt;0),"YES","NO")</f>
        <v/>
      </c>
      <c r="CG69" s="12">
        <f>IF(OR(CG63&lt;0,CG64&lt;0,CG65&lt;0,CG66&lt;0,CG67&lt;0),"YES","NO")</f>
        <v/>
      </c>
      <c r="CH69" s="55">
        <f>IF(OR(CH63&lt;0,CH64&lt;0,CH65&lt;0,CH66&lt;0,CH67&lt;0),"YES","NO")</f>
        <v/>
      </c>
      <c r="CI69" s="55">
        <f>IF(OR(CI63&lt;0,CI64&lt;0,CI65&lt;0,CI66&lt;0,CI67&lt;0),"YES","NO")</f>
        <v/>
      </c>
      <c r="CJ69" s="12">
        <f>IF(OR(CJ63&lt;0,CJ64&lt;0,CJ65&lt;0,CJ66&lt;0,CJ67&lt;0),"YES","NO")</f>
        <v/>
      </c>
      <c r="CK69" s="55">
        <f>IF(OR(CK63&lt;0,CK64&lt;0,CK65&lt;0,CK66&lt;0,CK67&lt;0),"YES","NO")</f>
        <v/>
      </c>
      <c r="CL69" s="55">
        <f>IF(OR(CL63&lt;0,CL64&lt;0,CL65&lt;0,CL66&lt;0,CL67&lt;0),"YES","NO")</f>
        <v/>
      </c>
      <c r="CM69" s="12">
        <f>IF(OR(CM63&lt;0,CM64&lt;0,CM65&lt;0,CM66&lt;0,CM67&lt;0),"YES","NO")</f>
        <v/>
      </c>
      <c r="CN69" s="55">
        <f>IF(OR(CN63&lt;0,CN64&lt;0,CN65&lt;0,CN66&lt;0,CN67&lt;0),"YES","NO")</f>
        <v/>
      </c>
      <c r="CO69" s="55">
        <f>IF(OR(CO63&lt;0,CO64&lt;0,CO65&lt;0,CO66&lt;0,CO67&lt;0),"YES","NO")</f>
        <v/>
      </c>
      <c r="CP69" s="12">
        <f>IF(OR(CP63&lt;0,CP64&lt;0,CP65&lt;0,CP66&lt;0,CP67&lt;0),"YES","NO")</f>
        <v/>
      </c>
      <c r="CQ69" s="55">
        <f>IF(OR(CQ63&lt;0,CQ64&lt;0,CQ65&lt;0,CQ66&lt;0,CQ67&lt;0),"YES","NO")</f>
        <v/>
      </c>
      <c r="CR69" s="55">
        <f>IF(OR(CR63&lt;0,CR64&lt;0,CR65&lt;0,CR66&lt;0,CR67&lt;0),"YES","NO")</f>
        <v/>
      </c>
      <c r="CS69" s="12">
        <f>IF(OR(CS63&lt;0,CS64&lt;0,CS65&lt;0,CS66&lt;0,CS67&lt;0),"YES","NO")</f>
        <v/>
      </c>
      <c r="CT69" s="55">
        <f>IF(OR(CT63&lt;0,CT64&lt;0,CT65&lt;0,CT66&lt;0,CT67&lt;0),"YES","NO")</f>
        <v/>
      </c>
      <c r="CU69" s="55">
        <f>IF(OR(CU63&lt;0,CU64&lt;0,CU65&lt;0,CU66&lt;0,CU67&lt;0),"YES","NO")</f>
        <v/>
      </c>
      <c r="CV69" s="12">
        <f>IF(OR(CV63&lt;0,CV64&lt;0,CV65&lt;0,CV66&lt;0,CV67&lt;0),"YES","NO")</f>
        <v/>
      </c>
      <c r="CW69" s="55">
        <f>IF(OR(CW63&lt;0,CW64&lt;0,CW65&lt;0,CW66&lt;0,CW67&lt;0),"YES","NO")</f>
        <v/>
      </c>
      <c r="CX69" s="55">
        <f>IF(OR(CX63&lt;0,CX64&lt;0,CX65&lt;0,CX66&lt;0,CX67&lt;0),"YES","NO")</f>
        <v/>
      </c>
      <c r="CY69" s="55">
        <f>IF(OR(CY63&lt;0,CY64&lt;0,CY65&lt;0,CY66&lt;0,CY67&lt;0),"YES","NO")</f>
        <v/>
      </c>
      <c r="CZ69" s="12">
        <f>IF(OR(CZ63&lt;0,CZ64&lt;0,CZ65&lt;0,CZ66&lt;0,CZ67&lt;0),"YES","NO")</f>
        <v/>
      </c>
      <c r="DA69" s="55">
        <f>IF(OR(DA63&lt;0,DA64&lt;0,DA65&lt;0,DA66&lt;0,DA67&lt;0),"YES","NO")</f>
        <v/>
      </c>
      <c r="DB69" s="55">
        <f>IF(OR(DB63&lt;0,DB64&lt;0,DB65&lt;0,DB66&lt;0,DB67&lt;0),"YES","NO")</f>
        <v/>
      </c>
      <c r="DC69" s="12">
        <f>IF(OR(DC63&lt;0,DC64&lt;0,DC65&lt;0,DC66&lt;0,DC67&lt;0),"YES","NO")</f>
        <v/>
      </c>
      <c r="DD69" s="55">
        <f>IF(OR(DD63&lt;0,DD64&lt;0,DD65&lt;0,DD66&lt;0,DD67&lt;0),"YES","NO")</f>
        <v/>
      </c>
      <c r="DE69" s="55">
        <f>IF(OR(DE63&lt;0,DE64&lt;0,DE65&lt;0,DE66&lt;0,DE67&lt;0),"YES","NO")</f>
        <v/>
      </c>
      <c r="DF69" s="12">
        <f>IF(OR(DF63&lt;0,DF64&lt;0,DF65&lt;0,DF66&lt;0,DF67&lt;0),"YES","NO")</f>
        <v/>
      </c>
      <c r="DG69" s="55">
        <f>IF(OR(DG63&lt;0,DG64&lt;0,DG65&lt;0,DG66&lt;0,DG67&lt;0),"YES","NO")</f>
        <v/>
      </c>
      <c r="DH69" s="55">
        <f>IF(OR(DH63&lt;0,DH64&lt;0,DH65&lt;0,DH66&lt;0,DH67&lt;0),"YES","NO")</f>
        <v/>
      </c>
      <c r="DI69" s="12">
        <f>IF(OR(DI63&lt;0,DI64&lt;0,DI65&lt;0,DI66&lt;0,DI67&lt;0),"YES","NO")</f>
        <v/>
      </c>
      <c r="DJ69" s="55">
        <f>IF(OR(DJ63&lt;0,DJ64&lt;0,DJ65&lt;0,DJ66&lt;0,DJ67&lt;0),"YES","NO")</f>
        <v/>
      </c>
      <c r="DK69" s="55">
        <f>IF(OR(DK63&lt;0,DK64&lt;0,DK65&lt;0,DK66&lt;0,DK67&lt;0),"YES","NO")</f>
        <v/>
      </c>
      <c r="DL69" s="12">
        <f>IF(OR(DL63&lt;0,DL64&lt;0,DL65&lt;0,DL66&lt;0,DL67&lt;0),"YES","NO")</f>
        <v/>
      </c>
      <c r="DM69" s="55">
        <f>IF(OR(DM63&lt;0,DM64&lt;0,DM65&lt;0,DM66&lt;0,DM67&lt;0),"YES","NO")</f>
        <v/>
      </c>
      <c r="DN69" s="55">
        <f>IF(OR(DN63&lt;0,DN64&lt;0,DN65&lt;0,DN66&lt;0,DN67&lt;0),"YES","NO")</f>
        <v/>
      </c>
      <c r="DO69" s="12">
        <f>IF(OR(DO63&lt;0,DO64&lt;0,DO65&lt;0,DO66&lt;0,DO67&lt;0),"YES","NO")</f>
        <v/>
      </c>
      <c r="DP69" s="55">
        <f>IF(OR(DP63&lt;0,DP64&lt;0,DP65&lt;0,DP66&lt;0,DP67&lt;0),"YES","NO")</f>
        <v/>
      </c>
      <c r="DQ69" s="55">
        <f>IF(OR(DQ63&lt;0,DQ64&lt;0,DQ65&lt;0,DQ66&lt;0,DQ67&lt;0),"YES","NO")</f>
        <v/>
      </c>
      <c r="DR69" s="55">
        <f>IF(OR(DR63&lt;0,DR64&lt;0,DR65&lt;0,DR66&lt;0,DR67&lt;0),"YES","NO")</f>
        <v/>
      </c>
      <c r="DS69" s="12">
        <f>IF(OR(DS63&lt;0,DS64&lt;0,DS65&lt;0,DS66&lt;0,DS67&lt;0),"YES","NO")</f>
        <v/>
      </c>
      <c r="DT69" s="55">
        <f>IF(OR(DT63&lt;0,DT64&lt;0,DT65&lt;0,DT66&lt;0,DT67&lt;0),"YES","NO")</f>
        <v/>
      </c>
      <c r="DU69" s="55">
        <f>IF(OR(DU63&lt;0,DU64&lt;0,DU65&lt;0,DU66&lt;0,DU67&lt;0),"YES","NO")</f>
        <v/>
      </c>
      <c r="DV69" s="12">
        <f>IF(OR(DV63&lt;0,DV64&lt;0,DV65&lt;0,DV66&lt;0,DV67&lt;0),"YES","NO")</f>
        <v/>
      </c>
      <c r="DW69" s="55">
        <f>IF(OR(DW63&lt;0,DW64&lt;0,DW65&lt;0,DW66&lt;0,DW67&lt;0),"YES","NO")</f>
        <v/>
      </c>
      <c r="DX69" s="55">
        <f>IF(OR(DX63&lt;0,DX64&lt;0,DX65&lt;0,DX66&lt;0,DX67&lt;0),"YES","NO")</f>
        <v/>
      </c>
      <c r="DY69" s="12">
        <f>IF(OR(DY63&lt;0,DY64&lt;0,DY65&lt;0,DY66&lt;0,DY67&lt;0),"YES","NO")</f>
        <v/>
      </c>
      <c r="DZ69" s="55">
        <f>IF(OR(DZ63&lt;0,DZ64&lt;0,DZ65&lt;0,DZ66&lt;0,DZ67&lt;0),"YES","NO")</f>
        <v/>
      </c>
      <c r="EA69" s="55">
        <f>IF(OR(EA63&lt;0,EA64&lt;0,EA65&lt;0,EA66&lt;0,EA67&lt;0),"YES","NO")</f>
        <v/>
      </c>
      <c r="EB69" s="12">
        <f>IF(OR(EB63&lt;0,EB64&lt;0,EB65&lt;0,EB66&lt;0,EB67&lt;0),"YES","NO")</f>
        <v/>
      </c>
      <c r="EC69" s="55">
        <f>IF(OR(EC63&lt;0,EC64&lt;0,EC65&lt;0,EC66&lt;0,EC67&lt;0),"YES","NO")</f>
        <v/>
      </c>
      <c r="ED69" s="55">
        <f>IF(OR(ED63&lt;0,ED64&lt;0,ED65&lt;0,ED66&lt;0,ED67&lt;0),"YES","NO")</f>
        <v/>
      </c>
      <c r="EE69" s="12">
        <f>IF(OR(EE63&lt;0,EE64&lt;0,EE65&lt;0,EE66&lt;0,EE67&lt;0),"YES","NO")</f>
        <v/>
      </c>
      <c r="EF69" s="55">
        <f>IF(OR(EF63&lt;0,EF64&lt;0,EF65&lt;0,EF66&lt;0,EF67&lt;0),"YES","NO")</f>
        <v/>
      </c>
      <c r="EG69" s="55">
        <f>IF(OR(EG63&lt;0,EG64&lt;0,EG65&lt;0,EG66&lt;0,EG67&lt;0),"YES","NO")</f>
        <v/>
      </c>
      <c r="EH69" s="12">
        <f>IF(OR(EH63&lt;0,EH64&lt;0,EH65&lt;0,EH66&lt;0,EH67&lt;0),"YES","NO")</f>
        <v/>
      </c>
      <c r="EI69" s="55">
        <f>IF(OR(EI63&lt;0,EI64&lt;0,EI65&lt;0,EI66&lt;0,EI67&lt;0),"YES","NO")</f>
        <v/>
      </c>
      <c r="EJ69" s="55">
        <f>IF(OR(EJ63&lt;0,EJ64&lt;0,EJ65&lt;0,EJ66&lt;0,EJ67&lt;0),"YES","NO")</f>
        <v/>
      </c>
    </row>
    <row r="70">
      <c r="A70" s="19" t="inlineStr">
        <is>
          <t>ARE THERE VOLUMES &lt;1.0ul?</t>
        </is>
      </c>
      <c r="B70" s="96" t="n"/>
      <c r="C70" s="75">
        <f>IF(OR(C63&lt;1,C64&lt;1,C65&lt;1,C66&lt;1,C67&lt;1),"YES","NO")</f>
        <v/>
      </c>
      <c r="D70" s="55">
        <f>IF(OR(D63&lt;1,D64&lt;1,D65&lt;1,D66&lt;1,D67&lt;1),"YES","NO")</f>
        <v/>
      </c>
      <c r="E70" s="13">
        <f>IF(OR(E63&lt;1,E64&lt;1,E65&lt;1,E66&lt;1,E67&lt;1),"YES","NO")</f>
        <v/>
      </c>
      <c r="F70" s="12">
        <f>IF(OR(F63&lt;1,F64&lt;1,F65&lt;1,F66&lt;1,F67&lt;1),"YES","NO")</f>
        <v/>
      </c>
      <c r="G70" s="55">
        <f>IF(OR(G63&lt;1,G64&lt;1,G65&lt;1,G66&lt;1,G67&lt;1),"YES","NO")</f>
        <v/>
      </c>
      <c r="H70" s="55">
        <f>IF(OR(H63&lt;1,H64&lt;1,H65&lt;1,H66&lt;1,H67&lt;1),"YES","NO")</f>
        <v/>
      </c>
      <c r="I70" s="12">
        <f>IF(OR(I63&lt;1,I64&lt;1,I65&lt;1,I66&lt;1,I67&lt;1),"YES","NO")</f>
        <v/>
      </c>
      <c r="J70" s="55">
        <f>IF(OR(J63&lt;1,J64&lt;1,J65&lt;1,J66&lt;1,J67&lt;1),"YES","NO")</f>
        <v/>
      </c>
      <c r="K70" s="55">
        <f>IF(OR(K63&lt;1,K64&lt;1,K65&lt;1,K66&lt;1,K67&lt;1),"YES","NO")</f>
        <v/>
      </c>
      <c r="L70" s="12">
        <f>IF(OR(L63&lt;1,L64&lt;1,L65&lt;1,L66&lt;1,L67&lt;1),"YES","NO")</f>
        <v/>
      </c>
      <c r="M70" s="55">
        <f>IF(OR(M63&lt;1,M64&lt;1,M65&lt;1,M66&lt;1,M67&lt;1),"YES","NO")</f>
        <v/>
      </c>
      <c r="N70" s="55">
        <f>IF(OR(N63&lt;1,N64&lt;1,N65&lt;1,N66&lt;1,N67&lt;1),"YES","NO")</f>
        <v/>
      </c>
      <c r="O70" s="12">
        <f>IF(OR(O63&lt;1,O64&lt;1,O65&lt;1,O66&lt;1,O67&lt;1),"YES","NO")</f>
        <v/>
      </c>
      <c r="P70" s="55">
        <f>IF(OR(P63&lt;1,P64&lt;1,P65&lt;1,P66&lt;1,P67&lt;1),"YES","NO")</f>
        <v/>
      </c>
      <c r="Q70" s="55">
        <f>IF(OR(Q63&lt;1,Q64&lt;1,Q65&lt;1,Q66&lt;1,Q67&lt;1),"YES","NO")</f>
        <v/>
      </c>
      <c r="R70" s="12">
        <f>IF(OR(R63&lt;1,R64&lt;1,R65&lt;1,R66&lt;1,R67&lt;1),"YES","NO")</f>
        <v/>
      </c>
      <c r="S70" s="55">
        <f>IF(OR(S63&lt;1,S64&lt;1,S65&lt;1,S66&lt;1,S67&lt;1),"YES","NO")</f>
        <v/>
      </c>
      <c r="T70" s="55">
        <f>IF(OR(T63&lt;1,T64&lt;1,T65&lt;1,T66&lt;1,T67&lt;1),"YES","NO")</f>
        <v/>
      </c>
      <c r="U70" s="12">
        <f>IF(OR(U63&lt;1,U64&lt;1,U65&lt;1,U66&lt;1,U67&lt;1),"YES","NO")</f>
        <v/>
      </c>
      <c r="V70" s="55">
        <f>IF(OR(V63&lt;1,V64&lt;1,V65&lt;1,V66&lt;1,V67&lt;1),"YES","NO")</f>
        <v/>
      </c>
      <c r="W70" s="55">
        <f>IF(OR(W63&lt;1,W64&lt;1,W65&lt;1,W66&lt;1,W67&lt;1),"YES","NO")</f>
        <v/>
      </c>
      <c r="X70" s="12">
        <f>IF(OR(X63&lt;1,X64&lt;1,X65&lt;1,X66&lt;1,X67&lt;1),"YES","NO")</f>
        <v/>
      </c>
      <c r="Y70" s="55">
        <f>IF(OR(Y63&lt;1,Y64&lt;1,Y65&lt;1,Y66&lt;1,Y67&lt;1),"YES","NO")</f>
        <v/>
      </c>
      <c r="Z70" s="55">
        <f>IF(OR(Z63&lt;1,Z64&lt;1,Z65&lt;1,Z66&lt;1,Z67&lt;1),"YES","NO")</f>
        <v/>
      </c>
      <c r="AA70" s="55">
        <f>IF(OR(AA63&lt;1,AA64&lt;1,AA65&lt;1,AA66&lt;1,AA67&lt;1),"YES","NO")</f>
        <v/>
      </c>
      <c r="AB70" s="12">
        <f>IF(OR(AB63&lt;1,AB64&lt;1,AB65&lt;1,AB66&lt;1,AB67&lt;1),"YES","NO")</f>
        <v/>
      </c>
      <c r="AC70" s="55">
        <f>IF(OR(AC63&lt;1,AC64&lt;1,AC65&lt;1,AC66&lt;1,AC67&lt;1),"YES","NO")</f>
        <v/>
      </c>
      <c r="AD70" s="55">
        <f>IF(OR(AD63&lt;1,AD64&lt;1,AD65&lt;1,AD66&lt;1,AD67&lt;1),"YES","NO")</f>
        <v/>
      </c>
      <c r="AE70" s="12">
        <f>IF(OR(AE63&lt;1,AE64&lt;1,AE65&lt;1,AE66&lt;1,AE67&lt;1),"YES","NO")</f>
        <v/>
      </c>
      <c r="AF70" s="55">
        <f>IF(OR(AF63&lt;1,AF64&lt;1,AF65&lt;1,AF66&lt;1,AF67&lt;1),"YES","NO")</f>
        <v/>
      </c>
      <c r="AG70" s="55">
        <f>IF(OR(AG63&lt;1,AG64&lt;1,AG65&lt;1,AG66&lt;1,AG67&lt;1),"YES","NO")</f>
        <v/>
      </c>
      <c r="AH70" s="12">
        <f>IF(OR(AH63&lt;1,AH64&lt;1,AH65&lt;1,AH66&lt;1,AH67&lt;1),"YES","NO")</f>
        <v/>
      </c>
      <c r="AI70" s="55">
        <f>IF(OR(AI63&lt;1,AI64&lt;1,AI65&lt;1,AI66&lt;1,AI67&lt;1),"YES","NO")</f>
        <v/>
      </c>
      <c r="AJ70" s="55">
        <f>IF(OR(AJ63&lt;1,AJ64&lt;1,AJ65&lt;1,AJ66&lt;1,AJ67&lt;1),"YES","NO")</f>
        <v/>
      </c>
      <c r="AK70" s="12">
        <f>IF(OR(AK63&lt;1,AK64&lt;1,AK65&lt;1,AK66&lt;1,AK67&lt;1),"YES","NO")</f>
        <v/>
      </c>
      <c r="AL70" s="55">
        <f>IF(OR(AL63&lt;1,AL64&lt;1,AL65&lt;1,AL66&lt;1,AL67&lt;1),"YES","NO")</f>
        <v/>
      </c>
      <c r="AM70" s="55">
        <f>IF(OR(AM63&lt;1,AM64&lt;1,AM65&lt;1,AM66&lt;1,AM67&lt;1),"YES","NO")</f>
        <v/>
      </c>
      <c r="AN70" s="12">
        <f>IF(OR(AN63&lt;1,AN64&lt;1,AN65&lt;1,AN66&lt;1,AN67&lt;1),"YES","NO")</f>
        <v/>
      </c>
      <c r="AO70" s="55">
        <f>IF(OR(AO63&lt;1,AO64&lt;1,AO65&lt;1,AO66&lt;1,AO67&lt;1),"YES","NO")</f>
        <v/>
      </c>
      <c r="AP70" s="55">
        <f>IF(OR(AP63&lt;1,AP64&lt;1,AP65&lt;1,AP66&lt;1,AP67&lt;1),"YES","NO")</f>
        <v/>
      </c>
      <c r="AQ70" s="12">
        <f>IF(OR(AQ63&lt;1,AQ64&lt;1,AQ65&lt;1,AQ66&lt;1,AQ67&lt;1),"YES","NO")</f>
        <v/>
      </c>
      <c r="AR70" s="55">
        <f>IF(OR(AR63&lt;1,AR64&lt;1,AR65&lt;1,AR66&lt;1,AR67&lt;1),"YES","NO")</f>
        <v/>
      </c>
      <c r="AS70" s="55">
        <f>IF(OR(AS63&lt;1,AS64&lt;1,AS65&lt;1,AS66&lt;1,AS67&lt;1),"YES","NO")</f>
        <v/>
      </c>
      <c r="AT70" s="55">
        <f>IF(OR(AT63&lt;1,AT64&lt;1,AT65&lt;1,AT66&lt;1,AT67&lt;1),"YES","NO")</f>
        <v/>
      </c>
      <c r="AU70" s="12">
        <f>IF(OR(AU63&lt;1,AU64&lt;1,AU65&lt;1,AU66&lt;1,AU67&lt;1),"YES","NO")</f>
        <v/>
      </c>
      <c r="AV70" s="55">
        <f>IF(OR(AV63&lt;1,AV64&lt;1,AV65&lt;1,AV66&lt;1,AV67&lt;1),"YES","NO")</f>
        <v/>
      </c>
      <c r="AW70" s="55">
        <f>IF(OR(AW63&lt;1,AW64&lt;1,AW65&lt;1,AW66&lt;1,AW67&lt;1),"YES","NO")</f>
        <v/>
      </c>
      <c r="AX70" s="12">
        <f>IF(OR(AX63&lt;1,AX64&lt;1,AX65&lt;1,AX66&lt;1,AX67&lt;1),"YES","NO")</f>
        <v/>
      </c>
      <c r="AY70" s="55">
        <f>IF(OR(AY63&lt;1,AY64&lt;1,AY65&lt;1,AY66&lt;1,AY67&lt;1),"YES","NO")</f>
        <v/>
      </c>
      <c r="AZ70" s="55">
        <f>IF(OR(AZ63&lt;1,AZ64&lt;1,AZ65&lt;1,AZ66&lt;1,AZ67&lt;1),"YES","NO")</f>
        <v/>
      </c>
      <c r="BA70" s="12">
        <f>IF(OR(BA63&lt;1,BA64&lt;1,BA65&lt;1,BA66&lt;1,BA67&lt;1),"YES","NO")</f>
        <v/>
      </c>
      <c r="BB70" s="55">
        <f>IF(OR(BB63&lt;1,BB64&lt;1,BB65&lt;1,BB66&lt;1,BB67&lt;1),"YES","NO")</f>
        <v/>
      </c>
      <c r="BC70" s="55">
        <f>IF(OR(BC63&lt;1,BC64&lt;1,BC65&lt;1,BC66&lt;1,BC67&lt;1),"YES","NO")</f>
        <v/>
      </c>
      <c r="BD70" s="12">
        <f>IF(OR(BD63&lt;1,BD64&lt;1,BD65&lt;1,BD66&lt;1,BD67&lt;1),"YES","NO")</f>
        <v/>
      </c>
      <c r="BE70" s="55">
        <f>IF(OR(BE63&lt;1,BE64&lt;1,BE65&lt;1,BE66&lt;1,BE67&lt;1),"YES","NO")</f>
        <v/>
      </c>
      <c r="BF70" s="55">
        <f>IF(OR(BF63&lt;1,BF64&lt;1,BF65&lt;1,BF66&lt;1,BF67&lt;1),"YES","NO")</f>
        <v/>
      </c>
      <c r="BG70" s="12">
        <f>IF(OR(BG63&lt;1,BG64&lt;1,BG65&lt;1,BG66&lt;1,BG67&lt;1),"YES","NO")</f>
        <v/>
      </c>
      <c r="BH70" s="55">
        <f>IF(OR(BH63&lt;1,BH64&lt;1,BH65&lt;1,BH66&lt;1,BH67&lt;1),"YES","NO")</f>
        <v/>
      </c>
      <c r="BI70" s="55">
        <f>IF(OR(BI63&lt;1,BI64&lt;1,BI65&lt;1,BI66&lt;1,BI67&lt;1),"YES","NO")</f>
        <v/>
      </c>
      <c r="BJ70" s="12">
        <f>IF(OR(BJ63&lt;1,BJ64&lt;1,BJ65&lt;1,BJ66&lt;1,BJ67&lt;1),"YES","NO")</f>
        <v/>
      </c>
      <c r="BK70" s="55">
        <f>IF(OR(BK63&lt;1,BK64&lt;1,BK65&lt;1,BK66&lt;1,BK67&lt;1),"YES","NO")</f>
        <v/>
      </c>
      <c r="BL70" s="55">
        <f>IF(OR(BL63&lt;1,BL64&lt;1,BL65&lt;1,BL66&lt;1,BL67&lt;1),"YES","NO")</f>
        <v/>
      </c>
      <c r="BM70" s="55">
        <f>IF(OR(BM63&lt;1,BM64&lt;1,BM65&lt;1,BM66&lt;1,BM67&lt;1),"YES","NO")</f>
        <v/>
      </c>
      <c r="BN70" s="12">
        <f>IF(OR(BN63&lt;1,BN64&lt;1,BN65&lt;1,BN66&lt;1,BN67&lt;1),"YES","NO")</f>
        <v/>
      </c>
      <c r="BO70" s="55">
        <f>IF(OR(BO63&lt;1,BO64&lt;1,BO65&lt;1,BO66&lt;1,BO67&lt;1),"YES","NO")</f>
        <v/>
      </c>
      <c r="BP70" s="55">
        <f>IF(OR(BP63&lt;1,BP64&lt;1,BP65&lt;1,BP66&lt;1,BP67&lt;1),"YES","NO")</f>
        <v/>
      </c>
      <c r="BQ70" s="12">
        <f>IF(OR(BQ63&lt;1,BQ64&lt;1,BQ65&lt;1,BQ66&lt;1,BQ67&lt;1),"YES","NO")</f>
        <v/>
      </c>
      <c r="BR70" s="55">
        <f>IF(OR(BR63&lt;1,BR64&lt;1,BR65&lt;1,BR66&lt;1,BR67&lt;1),"YES","NO")</f>
        <v/>
      </c>
      <c r="BS70" s="55">
        <f>IF(OR(BS63&lt;1,BS64&lt;1,BS65&lt;1,BS66&lt;1,BS67&lt;1),"YES","NO")</f>
        <v/>
      </c>
      <c r="BT70" s="12">
        <f>IF(OR(BT63&lt;1,BT64&lt;1,BT65&lt;1,BT66&lt;1,BT67&lt;1),"YES","NO")</f>
        <v/>
      </c>
      <c r="BU70" s="55">
        <f>IF(OR(BU63&lt;1,BU64&lt;1,BU65&lt;1,BU66&lt;1,BU67&lt;1),"YES","NO")</f>
        <v/>
      </c>
      <c r="BV70" s="55">
        <f>IF(OR(BV63&lt;1,BV64&lt;1,BV65&lt;1,BV66&lt;1,BV67&lt;1),"YES","NO")</f>
        <v/>
      </c>
      <c r="BW70" s="12">
        <f>IF(OR(BW63&lt;1,BW64&lt;1,BW65&lt;1,BW66&lt;1,BW67&lt;1),"YES","NO")</f>
        <v/>
      </c>
      <c r="BX70" s="55">
        <f>IF(OR(BX63&lt;1,BX64&lt;1,BX65&lt;1,BX66&lt;1,BX67&lt;1),"YES","NO")</f>
        <v/>
      </c>
      <c r="BY70" s="55">
        <f>IF(OR(BY63&lt;1,BY64&lt;1,BY65&lt;1,BY66&lt;1,BY67&lt;1),"YES","NO")</f>
        <v/>
      </c>
      <c r="BZ70" s="12">
        <f>IF(OR(BZ63&lt;1,BZ64&lt;1,BZ65&lt;1,BZ66&lt;1,BZ67&lt;1),"YES","NO")</f>
        <v/>
      </c>
      <c r="CA70" s="55">
        <f>IF(OR(CA63&lt;1,CA64&lt;1,CA65&lt;1,CA66&lt;1,CA67&lt;1),"YES","NO")</f>
        <v/>
      </c>
      <c r="CB70" s="55">
        <f>IF(OR(CB63&lt;1,CB64&lt;1,CB65&lt;1,CB66&lt;1,CB67&lt;1),"YES","NO")</f>
        <v/>
      </c>
      <c r="CC70" s="12">
        <f>IF(OR(CC63&lt;1,CC64&lt;1,CC65&lt;1,CC66&lt;1,CC67&lt;1),"YES","NO")</f>
        <v/>
      </c>
      <c r="CD70" s="55">
        <f>IF(OR(CD63&lt;1,CD64&lt;1,CD65&lt;1,CD66&lt;1,CD67&lt;1),"YES","NO")</f>
        <v/>
      </c>
      <c r="CE70" s="55">
        <f>IF(OR(CE63&lt;1,CE64&lt;1,CE65&lt;1,CE66&lt;1,CE67&lt;1),"YES","NO")</f>
        <v/>
      </c>
      <c r="CF70" s="55">
        <f>IF(OR(CF63&lt;1,CF64&lt;1,CF65&lt;1,CF66&lt;1,CF67&lt;1),"YES","NO")</f>
        <v/>
      </c>
      <c r="CG70" s="12">
        <f>IF(OR(CG63&lt;1,CG64&lt;1,CG65&lt;1,CG66&lt;1,CG67&lt;1),"YES","NO")</f>
        <v/>
      </c>
      <c r="CH70" s="55">
        <f>IF(OR(CH63&lt;1,CH64&lt;1,CH65&lt;1,CH66&lt;1,CH67&lt;1),"YES","NO")</f>
        <v/>
      </c>
      <c r="CI70" s="55">
        <f>IF(OR(CI63&lt;1,CI64&lt;1,CI65&lt;1,CI66&lt;1,CI67&lt;1),"YES","NO")</f>
        <v/>
      </c>
      <c r="CJ70" s="12">
        <f>IF(OR(CJ63&lt;1,CJ64&lt;1,CJ65&lt;1,CJ66&lt;1,CJ67&lt;1),"YES","NO")</f>
        <v/>
      </c>
      <c r="CK70" s="55">
        <f>IF(OR(CK63&lt;1,CK64&lt;1,CK65&lt;1,CK66&lt;1,CK67&lt;1),"YES","NO")</f>
        <v/>
      </c>
      <c r="CL70" s="55">
        <f>IF(OR(CL63&lt;1,CL64&lt;1,CL65&lt;1,CL66&lt;1,CL67&lt;1),"YES","NO")</f>
        <v/>
      </c>
      <c r="CM70" s="12">
        <f>IF(OR(CM63&lt;1,CM64&lt;1,CM65&lt;1,CM66&lt;1,CM67&lt;1),"YES","NO")</f>
        <v/>
      </c>
      <c r="CN70" s="55">
        <f>IF(OR(CN63&lt;1,CN64&lt;1,CN65&lt;1,CN66&lt;1,CN67&lt;1),"YES","NO")</f>
        <v/>
      </c>
      <c r="CO70" s="55">
        <f>IF(OR(CO63&lt;1,CO64&lt;1,CO65&lt;1,CO66&lt;1,CO67&lt;1),"YES","NO")</f>
        <v/>
      </c>
      <c r="CP70" s="12">
        <f>IF(OR(CP63&lt;1,CP64&lt;1,CP65&lt;1,CP66&lt;1,CP67&lt;1),"YES","NO")</f>
        <v/>
      </c>
      <c r="CQ70" s="55">
        <f>IF(OR(CQ63&lt;1,CQ64&lt;1,CQ65&lt;1,CQ66&lt;1,CQ67&lt;1),"YES","NO")</f>
        <v/>
      </c>
      <c r="CR70" s="55">
        <f>IF(OR(CR63&lt;1,CR64&lt;1,CR65&lt;1,CR66&lt;1,CR67&lt;1),"YES","NO")</f>
        <v/>
      </c>
      <c r="CS70" s="12">
        <f>IF(OR(CS63&lt;1,CS64&lt;1,CS65&lt;1,CS66&lt;1,CS67&lt;1),"YES","NO")</f>
        <v/>
      </c>
      <c r="CT70" s="55">
        <f>IF(OR(CT63&lt;1,CT64&lt;1,CT65&lt;1,CT66&lt;1,CT67&lt;1),"YES","NO")</f>
        <v/>
      </c>
      <c r="CU70" s="55">
        <f>IF(OR(CU63&lt;1,CU64&lt;1,CU65&lt;1,CU66&lt;1,CU67&lt;1),"YES","NO")</f>
        <v/>
      </c>
      <c r="CV70" s="12">
        <f>IF(OR(CV63&lt;1,CV64&lt;1,CV65&lt;1,CV66&lt;1,CV67&lt;1),"YES","NO")</f>
        <v/>
      </c>
      <c r="CW70" s="55">
        <f>IF(OR(CW63&lt;1,CW64&lt;1,CW65&lt;1,CW66&lt;1,CW67&lt;1),"YES","NO")</f>
        <v/>
      </c>
      <c r="CX70" s="55">
        <f>IF(OR(CX63&lt;1,CX64&lt;1,CX65&lt;1,CX66&lt;1,CX67&lt;1),"YES","NO")</f>
        <v/>
      </c>
      <c r="CY70" s="55">
        <f>IF(OR(CY63&lt;1,CY64&lt;1,CY65&lt;1,CY66&lt;1,CY67&lt;1),"YES","NO")</f>
        <v/>
      </c>
      <c r="CZ70" s="12">
        <f>IF(OR(CZ63&lt;1,CZ64&lt;1,CZ65&lt;1,CZ66&lt;1,CZ67&lt;1),"YES","NO")</f>
        <v/>
      </c>
      <c r="DA70" s="55">
        <f>IF(OR(DA63&lt;1,DA64&lt;1,DA65&lt;1,DA66&lt;1,DA67&lt;1),"YES","NO")</f>
        <v/>
      </c>
      <c r="DB70" s="55">
        <f>IF(OR(DB63&lt;1,DB64&lt;1,DB65&lt;1,DB66&lt;1,DB67&lt;1),"YES","NO")</f>
        <v/>
      </c>
      <c r="DC70" s="12">
        <f>IF(OR(DC63&lt;1,DC64&lt;1,DC65&lt;1,DC66&lt;1,DC67&lt;1),"YES","NO")</f>
        <v/>
      </c>
      <c r="DD70" s="55">
        <f>IF(OR(DD63&lt;1,DD64&lt;1,DD65&lt;1,DD66&lt;1,DD67&lt;1),"YES","NO")</f>
        <v/>
      </c>
      <c r="DE70" s="55">
        <f>IF(OR(DE63&lt;1,DE64&lt;1,DE65&lt;1,DE66&lt;1,DE67&lt;1),"YES","NO")</f>
        <v/>
      </c>
      <c r="DF70" s="12">
        <f>IF(OR(DF63&lt;1,DF64&lt;1,DF65&lt;1,DF66&lt;1,DF67&lt;1),"YES","NO")</f>
        <v/>
      </c>
      <c r="DG70" s="55">
        <f>IF(OR(DG63&lt;1,DG64&lt;1,DG65&lt;1,DG66&lt;1,DG67&lt;1),"YES","NO")</f>
        <v/>
      </c>
      <c r="DH70" s="55">
        <f>IF(OR(DH63&lt;1,DH64&lt;1,DH65&lt;1,DH66&lt;1,DH67&lt;1),"YES","NO")</f>
        <v/>
      </c>
      <c r="DI70" s="12">
        <f>IF(OR(DI63&lt;1,DI64&lt;1,DI65&lt;1,DI66&lt;1,DI67&lt;1),"YES","NO")</f>
        <v/>
      </c>
      <c r="DJ70" s="55">
        <f>IF(OR(DJ63&lt;1,DJ64&lt;1,DJ65&lt;1,DJ66&lt;1,DJ67&lt;1),"YES","NO")</f>
        <v/>
      </c>
      <c r="DK70" s="55">
        <f>IF(OR(DK63&lt;1,DK64&lt;1,DK65&lt;1,DK66&lt;1,DK67&lt;1),"YES","NO")</f>
        <v/>
      </c>
      <c r="DL70" s="12">
        <f>IF(OR(DL63&lt;1,DL64&lt;1,DL65&lt;1,DL66&lt;1,DL67&lt;1),"YES","NO")</f>
        <v/>
      </c>
      <c r="DM70" s="55">
        <f>IF(OR(DM63&lt;1,DM64&lt;1,DM65&lt;1,DM66&lt;1,DM67&lt;1),"YES","NO")</f>
        <v/>
      </c>
      <c r="DN70" s="55">
        <f>IF(OR(DN63&lt;1,DN64&lt;1,DN65&lt;1,DN66&lt;1,DN67&lt;1),"YES","NO")</f>
        <v/>
      </c>
      <c r="DO70" s="12">
        <f>IF(OR(DO63&lt;1,DO64&lt;1,DO65&lt;1,DO66&lt;1,DO67&lt;1),"YES","NO")</f>
        <v/>
      </c>
      <c r="DP70" s="55">
        <f>IF(OR(DP63&lt;1,DP64&lt;1,DP65&lt;1,DP66&lt;1,DP67&lt;1),"YES","NO")</f>
        <v/>
      </c>
      <c r="DQ70" s="55">
        <f>IF(OR(DQ63&lt;1,DQ64&lt;1,DQ65&lt;1,DQ66&lt;1,DQ67&lt;1),"YES","NO")</f>
        <v/>
      </c>
      <c r="DR70" s="55">
        <f>IF(OR(DR63&lt;1,DR64&lt;1,DR65&lt;1,DR66&lt;1,DR67&lt;1),"YES","NO")</f>
        <v/>
      </c>
      <c r="DS70" s="12">
        <f>IF(OR(DS63&lt;1,DS64&lt;1,DS65&lt;1,DS66&lt;1,DS67&lt;1),"YES","NO")</f>
        <v/>
      </c>
      <c r="DT70" s="55">
        <f>IF(OR(DT63&lt;1,DT64&lt;1,DT65&lt;1,DT66&lt;1,DT67&lt;1),"YES","NO")</f>
        <v/>
      </c>
      <c r="DU70" s="55">
        <f>IF(OR(DU63&lt;1,DU64&lt;1,DU65&lt;1,DU66&lt;1,DU67&lt;1),"YES","NO")</f>
        <v/>
      </c>
      <c r="DV70" s="12">
        <f>IF(OR(DV63&lt;1,DV64&lt;1,DV65&lt;1,DV66&lt;1,DV67&lt;1),"YES","NO")</f>
        <v/>
      </c>
      <c r="DW70" s="55">
        <f>IF(OR(DW63&lt;1,DW64&lt;1,DW65&lt;1,DW66&lt;1,DW67&lt;1),"YES","NO")</f>
        <v/>
      </c>
      <c r="DX70" s="55">
        <f>IF(OR(DX63&lt;1,DX64&lt;1,DX65&lt;1,DX66&lt;1,DX67&lt;1),"YES","NO")</f>
        <v/>
      </c>
      <c r="DY70" s="12">
        <f>IF(OR(DY63&lt;1,DY64&lt;1,DY65&lt;1,DY66&lt;1,DY67&lt;1),"YES","NO")</f>
        <v/>
      </c>
      <c r="DZ70" s="55">
        <f>IF(OR(DZ63&lt;1,DZ64&lt;1,DZ65&lt;1,DZ66&lt;1,DZ67&lt;1),"YES","NO")</f>
        <v/>
      </c>
      <c r="EA70" s="55">
        <f>IF(OR(EA63&lt;1,EA64&lt;1,EA65&lt;1,EA66&lt;1,EA67&lt;1),"YES","NO")</f>
        <v/>
      </c>
      <c r="EB70" s="12">
        <f>IF(OR(EB63&lt;1,EB64&lt;1,EB65&lt;1,EB66&lt;1,EB67&lt;1),"YES","NO")</f>
        <v/>
      </c>
      <c r="EC70" s="55">
        <f>IF(OR(EC63&lt;1,EC64&lt;1,EC65&lt;1,EC66&lt;1,EC67&lt;1),"YES","NO")</f>
        <v/>
      </c>
      <c r="ED70" s="55">
        <f>IF(OR(ED63&lt;1,ED64&lt;1,ED65&lt;1,ED66&lt;1,ED67&lt;1),"YES","NO")</f>
        <v/>
      </c>
      <c r="EE70" s="12">
        <f>IF(OR(EE63&lt;1,EE64&lt;1,EE65&lt;1,EE66&lt;1,EE67&lt;1),"YES","NO")</f>
        <v/>
      </c>
      <c r="EF70" s="55">
        <f>IF(OR(EF63&lt;1,EF64&lt;1,EF65&lt;1,EF66&lt;1,EF67&lt;1),"YES","NO")</f>
        <v/>
      </c>
      <c r="EG70" s="55">
        <f>IF(OR(EG63&lt;1,EG64&lt;1,EG65&lt;1,EG66&lt;1,EG67&lt;1),"YES","NO")</f>
        <v/>
      </c>
      <c r="EH70" s="12">
        <f>IF(OR(EH63&lt;1,EH64&lt;1,EH65&lt;1,EH66&lt;1,EH67&lt;1),"YES","NO")</f>
        <v/>
      </c>
      <c r="EI70" s="55">
        <f>IF(OR(EI63&lt;1,EI64&lt;1,EI65&lt;1,EI66&lt;1,EI67&lt;1),"YES","NO")</f>
        <v/>
      </c>
      <c r="EJ70" s="55">
        <f>IF(OR(EJ63&lt;1,EJ64&lt;1,EJ65&lt;1,EJ66&lt;1,EJ67&lt;1),"YES","NO")</f>
        <v/>
      </c>
    </row>
    <row r="71">
      <c r="A71" s="19" t="n"/>
      <c r="B71" s="96" t="n"/>
      <c r="G71" s="55" t="n"/>
      <c r="H71" s="55" t="n"/>
      <c r="J71" s="55" t="n"/>
      <c r="K71" s="55" t="n"/>
      <c r="M71" s="55" t="n"/>
      <c r="N71" s="55" t="n"/>
      <c r="P71" s="55" t="n"/>
      <c r="Q71" s="55" t="n"/>
      <c r="S71" s="55" t="n"/>
      <c r="T71" s="55" t="n"/>
      <c r="V71" s="55" t="n"/>
      <c r="W71" s="55" t="n"/>
      <c r="Y71" s="55" t="n"/>
      <c r="Z71" s="55" t="n"/>
      <c r="AA71" s="55" t="n"/>
      <c r="AC71" s="55" t="n"/>
      <c r="AD71" s="55" t="n"/>
      <c r="AF71" s="55" t="n"/>
      <c r="AG71" s="55" t="n"/>
      <c r="AI71" s="55" t="n"/>
      <c r="AJ71" s="55" t="n"/>
      <c r="AL71" s="55" t="n"/>
      <c r="AM71" s="55" t="n"/>
      <c r="AO71" s="55" t="n"/>
      <c r="AP71" s="55" t="n"/>
      <c r="AR71" s="55" t="n"/>
      <c r="AS71" s="55" t="n"/>
      <c r="AT71" s="55" t="n"/>
      <c r="AV71" s="55" t="n"/>
      <c r="AW71" s="55" t="n"/>
      <c r="AY71" s="55" t="n"/>
      <c r="AZ71" s="55" t="n"/>
      <c r="BB71" s="55" t="n"/>
      <c r="BC71" s="55" t="n"/>
      <c r="BE71" s="55" t="n"/>
      <c r="BF71" s="55" t="n"/>
      <c r="BH71" s="55" t="n"/>
      <c r="BI71" s="55" t="n"/>
      <c r="BK71" s="55" t="n"/>
      <c r="BL71" s="55" t="n"/>
      <c r="BM71" s="55" t="n"/>
      <c r="BO71" s="55" t="n"/>
      <c r="BP71" s="55" t="n"/>
      <c r="BR71" s="55" t="n"/>
      <c r="BS71" s="55" t="n"/>
      <c r="BU71" s="55" t="n"/>
      <c r="BV71" s="55" t="n"/>
      <c r="BX71" s="55" t="n"/>
      <c r="BY71" s="55" t="n"/>
      <c r="CA71" s="55" t="n"/>
      <c r="CB71" s="55" t="n"/>
      <c r="CD71" s="55" t="n"/>
      <c r="CE71" s="55" t="n"/>
      <c r="CF71" s="55" t="n"/>
      <c r="CH71" s="55" t="n"/>
      <c r="CI71" s="55" t="n"/>
      <c r="CK71" s="55" t="n"/>
      <c r="CL71" s="55" t="n"/>
      <c r="CN71" s="55" t="n"/>
      <c r="CO71" s="55" t="n"/>
      <c r="CQ71" s="55" t="n"/>
      <c r="CR71" s="55" t="n"/>
      <c r="CT71" s="55" t="n"/>
      <c r="CU71" s="55" t="n"/>
      <c r="CW71" s="55" t="n"/>
      <c r="CX71" s="55" t="n"/>
      <c r="CY71" s="55" t="n"/>
      <c r="DA71" s="55" t="n"/>
      <c r="DB71" s="55" t="n"/>
      <c r="DD71" s="55" t="n"/>
      <c r="DE71" s="55" t="n"/>
      <c r="DG71" s="55" t="n"/>
      <c r="DH71" s="55" t="n"/>
      <c r="DJ71" s="55" t="n"/>
      <c r="DK71" s="55" t="n"/>
      <c r="DM71" s="55" t="n"/>
      <c r="DN71" s="55" t="n"/>
      <c r="DP71" s="55" t="n"/>
      <c r="DQ71" s="55" t="n"/>
      <c r="DR71" s="55" t="n"/>
      <c r="DT71" s="55" t="n"/>
      <c r="DU71" s="55" t="n"/>
      <c r="DW71" s="55" t="n"/>
      <c r="DX71" s="55" t="n"/>
      <c r="DZ71" s="55" t="n"/>
      <c r="EA71" s="55" t="n"/>
      <c r="EC71" s="55" t="n"/>
      <c r="ED71" s="55" t="n"/>
      <c r="EF71" s="55" t="n"/>
      <c r="EG71" s="55" t="n"/>
      <c r="EI71" s="55" t="n"/>
      <c r="EJ71" s="55" t="n"/>
    </row>
    <row r="72">
      <c r="A72" s="18" t="inlineStr">
        <is>
          <t>Nucleic acid Phase</t>
        </is>
      </c>
      <c r="G72" s="55" t="n"/>
      <c r="H72" s="55" t="n"/>
      <c r="J72" s="55" t="n"/>
      <c r="K72" s="55" t="n"/>
      <c r="M72" s="55" t="n"/>
      <c r="N72" s="55" t="n"/>
      <c r="P72" s="55" t="n"/>
      <c r="Q72" s="55" t="n"/>
      <c r="S72" s="55" t="n"/>
      <c r="T72" s="55" t="n"/>
      <c r="V72" s="55" t="n"/>
      <c r="W72" s="55" t="n"/>
      <c r="Y72" s="55" t="n"/>
      <c r="Z72" s="55" t="n"/>
      <c r="AA72" s="55" t="n"/>
      <c r="AC72" s="55" t="n"/>
      <c r="AD72" s="55" t="n"/>
      <c r="AF72" s="55" t="n"/>
      <c r="AG72" s="55" t="n"/>
      <c r="AI72" s="55" t="n"/>
      <c r="AJ72" s="55" t="n"/>
      <c r="AL72" s="55" t="n"/>
      <c r="AM72" s="55" t="n"/>
      <c r="AO72" s="55" t="n"/>
      <c r="AP72" s="55" t="n"/>
      <c r="AR72" s="55" t="n"/>
      <c r="AS72" s="55" t="n"/>
      <c r="AT72" s="55" t="n"/>
      <c r="AV72" s="55" t="n"/>
      <c r="AW72" s="55" t="n"/>
      <c r="AY72" s="55" t="n"/>
      <c r="AZ72" s="55" t="n"/>
      <c r="BB72" s="55" t="n"/>
      <c r="BC72" s="55" t="n"/>
      <c r="BE72" s="55" t="n"/>
      <c r="BF72" s="55" t="n"/>
      <c r="BH72" s="55" t="n"/>
      <c r="BI72" s="55" t="n"/>
      <c r="BK72" s="55" t="n"/>
      <c r="BL72" s="55" t="n"/>
      <c r="BM72" s="55" t="n"/>
      <c r="BO72" s="55" t="n"/>
      <c r="BP72" s="55" t="n"/>
      <c r="BR72" s="55" t="n"/>
      <c r="BS72" s="55" t="n"/>
      <c r="BU72" s="55" t="n"/>
      <c r="BV72" s="55" t="n"/>
      <c r="BX72" s="55" t="n"/>
      <c r="BY72" s="55" t="n"/>
      <c r="CA72" s="55" t="n"/>
      <c r="CB72" s="55" t="n"/>
      <c r="CD72" s="55" t="n"/>
      <c r="CE72" s="55" t="n"/>
      <c r="CF72" s="55" t="n"/>
      <c r="CH72" s="55" t="n"/>
      <c r="CI72" s="55" t="n"/>
      <c r="CK72" s="55" t="n"/>
      <c r="CL72" s="55" t="n"/>
      <c r="CN72" s="55" t="n"/>
      <c r="CO72" s="55" t="n"/>
      <c r="CQ72" s="55" t="n"/>
      <c r="CR72" s="55" t="n"/>
      <c r="CT72" s="55" t="n"/>
      <c r="CU72" s="55" t="n"/>
      <c r="CW72" s="55" t="n"/>
      <c r="CX72" s="55" t="n"/>
      <c r="CY72" s="55" t="n"/>
      <c r="DA72" s="55" t="n"/>
      <c r="DB72" s="55" t="n"/>
      <c r="DD72" s="55" t="n"/>
      <c r="DE72" s="55" t="n"/>
      <c r="DG72" s="55" t="n"/>
      <c r="DH72" s="55" t="n"/>
      <c r="DJ72" s="55" t="n"/>
      <c r="DK72" s="55" t="n"/>
      <c r="DM72" s="55" t="n"/>
      <c r="DN72" s="55" t="n"/>
      <c r="DP72" s="55" t="n"/>
      <c r="DQ72" s="55" t="n"/>
      <c r="DR72" s="55" t="n"/>
      <c r="DT72" s="55" t="n"/>
      <c r="DU72" s="55" t="n"/>
      <c r="DW72" s="55" t="n"/>
      <c r="DX72" s="55" t="n"/>
      <c r="DZ72" s="55" t="n"/>
      <c r="EA72" s="55" t="n"/>
      <c r="EC72" s="55" t="n"/>
      <c r="ED72" s="55" t="n"/>
      <c r="EF72" s="55" t="n"/>
      <c r="EG72" s="55" t="n"/>
      <c r="EI72" s="55" t="n"/>
      <c r="EJ72" s="55" t="n"/>
    </row>
    <row r="73" customFormat="1" s="9">
      <c r="A73" s="42" t="inlineStr">
        <is>
          <t>Nucleic Acid Stock Solution (μL)</t>
        </is>
      </c>
      <c r="B73" s="97" t="inlineStr">
        <is>
          <t>ul</t>
        </is>
      </c>
      <c r="C73" s="85">
        <f>C37/C59*1000</f>
        <v/>
      </c>
      <c r="D73" s="65">
        <f>D37/D59*1000</f>
        <v/>
      </c>
      <c r="E73" s="43">
        <f>E37/E59*1000</f>
        <v/>
      </c>
      <c r="F73" s="49">
        <f>F37/F59*1000</f>
        <v/>
      </c>
      <c r="G73" s="65">
        <f>G37/G59*1000</f>
        <v/>
      </c>
      <c r="H73" s="65">
        <f>H37/H59*1000</f>
        <v/>
      </c>
      <c r="I73" s="49">
        <f>I37/I59*1000</f>
        <v/>
      </c>
      <c r="J73" s="65">
        <f>J37/J59*1000</f>
        <v/>
      </c>
      <c r="K73" s="65">
        <f>K37/K59*1000</f>
        <v/>
      </c>
      <c r="L73" s="49">
        <f>L37/L59*1000</f>
        <v/>
      </c>
      <c r="M73" s="65">
        <f>M37/M59*1000</f>
        <v/>
      </c>
      <c r="N73" s="65">
        <f>N37/N59*1000</f>
        <v/>
      </c>
      <c r="O73" s="49">
        <f>O37/O59*1000</f>
        <v/>
      </c>
      <c r="P73" s="65">
        <f>P37/P59*1000</f>
        <v/>
      </c>
      <c r="Q73" s="65">
        <f>Q37/Q59*1000</f>
        <v/>
      </c>
      <c r="R73" s="49">
        <f>R37/R59*1000</f>
        <v/>
      </c>
      <c r="S73" s="65">
        <f>S37/S59*1000</f>
        <v/>
      </c>
      <c r="T73" s="65">
        <f>T37/T59*1000</f>
        <v/>
      </c>
      <c r="U73" s="49">
        <f>U37/U59*1000</f>
        <v/>
      </c>
      <c r="V73" s="65">
        <f>V37/V59*1000</f>
        <v/>
      </c>
      <c r="W73" s="65">
        <f>W37/W59*1000</f>
        <v/>
      </c>
      <c r="X73" s="49">
        <f>X37/X59*1000</f>
        <v/>
      </c>
      <c r="Y73" s="65">
        <f>Y37/Y59*1000</f>
        <v/>
      </c>
      <c r="Z73" s="65">
        <f>Z37/Z59*1000</f>
        <v/>
      </c>
      <c r="AA73" s="65">
        <f>AA37/AA59*1000</f>
        <v/>
      </c>
      <c r="AB73" s="49">
        <f>AB37/AB59*1000</f>
        <v/>
      </c>
      <c r="AC73" s="65">
        <f>AC37/AC59*1000</f>
        <v/>
      </c>
      <c r="AD73" s="65">
        <f>AD37/AD59*1000</f>
        <v/>
      </c>
      <c r="AE73" s="49">
        <f>AE37/AE59*1000</f>
        <v/>
      </c>
      <c r="AF73" s="65">
        <f>AF37/AF59*1000</f>
        <v/>
      </c>
      <c r="AG73" s="65">
        <f>AG37/AG59*1000</f>
        <v/>
      </c>
      <c r="AH73" s="49">
        <f>AH37/AH59*1000</f>
        <v/>
      </c>
      <c r="AI73" s="65">
        <f>AI37/AI59*1000</f>
        <v/>
      </c>
      <c r="AJ73" s="65">
        <f>AJ37/AJ59*1000</f>
        <v/>
      </c>
      <c r="AK73" s="49">
        <f>AK37/AK59*1000</f>
        <v/>
      </c>
      <c r="AL73" s="65">
        <f>AL37/AL59*1000</f>
        <v/>
      </c>
      <c r="AM73" s="65">
        <f>AM37/AM59*1000</f>
        <v/>
      </c>
      <c r="AN73" s="49">
        <f>AN37/AN59*1000</f>
        <v/>
      </c>
      <c r="AO73" s="65">
        <f>AO37/AO59*1000</f>
        <v/>
      </c>
      <c r="AP73" s="65">
        <f>AP37/AP59*1000</f>
        <v/>
      </c>
      <c r="AQ73" s="49">
        <f>AQ37/AQ59*1000</f>
        <v/>
      </c>
      <c r="AR73" s="65">
        <f>AR37/AR59*1000</f>
        <v/>
      </c>
      <c r="AS73" s="65">
        <f>AS37/AS59*1000</f>
        <v/>
      </c>
      <c r="AT73" s="65">
        <f>AT37/AT59*1000</f>
        <v/>
      </c>
      <c r="AU73" s="49">
        <f>AU37/AU59*1000</f>
        <v/>
      </c>
      <c r="AV73" s="65">
        <f>AV37/AV59*1000</f>
        <v/>
      </c>
      <c r="AW73" s="65">
        <f>AW37/AW59*1000</f>
        <v/>
      </c>
      <c r="AX73" s="49">
        <f>AX37/AX59*1000</f>
        <v/>
      </c>
      <c r="AY73" s="65">
        <f>AY37/AY59*1000</f>
        <v/>
      </c>
      <c r="AZ73" s="65">
        <f>AZ37/AZ59*1000</f>
        <v/>
      </c>
      <c r="BA73" s="49">
        <f>BA37/BA59*1000</f>
        <v/>
      </c>
      <c r="BB73" s="65">
        <f>BB37/BB59*1000</f>
        <v/>
      </c>
      <c r="BC73" s="65">
        <f>BC37/BC59*1000</f>
        <v/>
      </c>
      <c r="BD73" s="49">
        <f>BD37/BD59*1000</f>
        <v/>
      </c>
      <c r="BE73" s="65">
        <f>BE37/BE59*1000</f>
        <v/>
      </c>
      <c r="BF73" s="65">
        <f>BF37/BF59*1000</f>
        <v/>
      </c>
      <c r="BG73" s="49">
        <f>BG37/BG59*1000</f>
        <v/>
      </c>
      <c r="BH73" s="65">
        <f>BH37/BH59*1000</f>
        <v/>
      </c>
      <c r="BI73" s="65">
        <f>BI37/BI59*1000</f>
        <v/>
      </c>
      <c r="BJ73" s="49">
        <f>BJ37/BJ59*1000</f>
        <v/>
      </c>
      <c r="BK73" s="65">
        <f>BK37/BK59*1000</f>
        <v/>
      </c>
      <c r="BL73" s="65">
        <f>BL37/BL59*1000</f>
        <v/>
      </c>
      <c r="BM73" s="65">
        <f>BM37/BM59*1000</f>
        <v/>
      </c>
      <c r="BN73" s="49">
        <f>BN37/BN59*1000</f>
        <v/>
      </c>
      <c r="BO73" s="65">
        <f>BO37/BO59*1000</f>
        <v/>
      </c>
      <c r="BP73" s="65">
        <f>BP37/BP59*1000</f>
        <v/>
      </c>
      <c r="BQ73" s="49">
        <f>BQ37/BQ59*1000</f>
        <v/>
      </c>
      <c r="BR73" s="65">
        <f>BR37/BR59*1000</f>
        <v/>
      </c>
      <c r="BS73" s="65">
        <f>BS37/BS59*1000</f>
        <v/>
      </c>
      <c r="BT73" s="49">
        <f>BT37/BT59*1000</f>
        <v/>
      </c>
      <c r="BU73" s="65">
        <f>BU37/BU59*1000</f>
        <v/>
      </c>
      <c r="BV73" s="65">
        <f>BV37/BV59*1000</f>
        <v/>
      </c>
      <c r="BW73" s="49">
        <f>BW37/BW59*1000</f>
        <v/>
      </c>
      <c r="BX73" s="65">
        <f>BX37/BX59*1000</f>
        <v/>
      </c>
      <c r="BY73" s="65">
        <f>BY37/BY59*1000</f>
        <v/>
      </c>
      <c r="BZ73" s="49">
        <f>BZ37/BZ59*1000</f>
        <v/>
      </c>
      <c r="CA73" s="65">
        <f>CA37/CA59*1000</f>
        <v/>
      </c>
      <c r="CB73" s="65">
        <f>CB37/CB59*1000</f>
        <v/>
      </c>
      <c r="CC73" s="49">
        <f>CC37/CC59*1000</f>
        <v/>
      </c>
      <c r="CD73" s="65">
        <f>CD37/CD59*1000</f>
        <v/>
      </c>
      <c r="CE73" s="65">
        <f>CE37/CE59*1000</f>
        <v/>
      </c>
      <c r="CF73" s="65">
        <f>CF37/CF59*1000</f>
        <v/>
      </c>
      <c r="CG73" s="49">
        <f>CG37/CG59*1000</f>
        <v/>
      </c>
      <c r="CH73" s="65">
        <f>CH37/CH59*1000</f>
        <v/>
      </c>
      <c r="CI73" s="65">
        <f>CI37/CI59*1000</f>
        <v/>
      </c>
      <c r="CJ73" s="49">
        <f>CJ37/CJ59*1000</f>
        <v/>
      </c>
      <c r="CK73" s="65">
        <f>CK37/CK59*1000</f>
        <v/>
      </c>
      <c r="CL73" s="65">
        <f>CL37/CL59*1000</f>
        <v/>
      </c>
      <c r="CM73" s="49">
        <f>CM37/CM59*1000</f>
        <v/>
      </c>
      <c r="CN73" s="65">
        <f>CN37/CN59*1000</f>
        <v/>
      </c>
      <c r="CO73" s="65">
        <f>CO37/CO59*1000</f>
        <v/>
      </c>
      <c r="CP73" s="49">
        <f>CP37/CP59*1000</f>
        <v/>
      </c>
      <c r="CQ73" s="65">
        <f>CQ37/CQ59*1000</f>
        <v/>
      </c>
      <c r="CR73" s="65">
        <f>CR37/CR59*1000</f>
        <v/>
      </c>
      <c r="CS73" s="49">
        <f>CS37/CS59*1000</f>
        <v/>
      </c>
      <c r="CT73" s="65">
        <f>CT37/CT59*1000</f>
        <v/>
      </c>
      <c r="CU73" s="65">
        <f>CU37/CU59*1000</f>
        <v/>
      </c>
      <c r="CV73" s="49">
        <f>CV37/CV59*1000</f>
        <v/>
      </c>
      <c r="CW73" s="65">
        <f>CW37/CW59*1000</f>
        <v/>
      </c>
      <c r="CX73" s="65">
        <f>CX37/CX59*1000</f>
        <v/>
      </c>
      <c r="CY73" s="65">
        <f>CY37/CY59*1000</f>
        <v/>
      </c>
      <c r="CZ73" s="49">
        <f>CZ37/CZ59*1000</f>
        <v/>
      </c>
      <c r="DA73" s="65">
        <f>DA37/DA59*1000</f>
        <v/>
      </c>
      <c r="DB73" s="65">
        <f>DB37/DB59*1000</f>
        <v/>
      </c>
      <c r="DC73" s="49">
        <f>DC37/DC59*1000</f>
        <v/>
      </c>
      <c r="DD73" s="65">
        <f>DD37/DD59*1000</f>
        <v/>
      </c>
      <c r="DE73" s="65">
        <f>DE37/DE59*1000</f>
        <v/>
      </c>
      <c r="DF73" s="49">
        <f>DF37/DF59*1000</f>
        <v/>
      </c>
      <c r="DG73" s="65">
        <f>DG37/DG59*1000</f>
        <v/>
      </c>
      <c r="DH73" s="65">
        <f>DH37/DH59*1000</f>
        <v/>
      </c>
      <c r="DI73" s="49">
        <f>DI37/DI59*1000</f>
        <v/>
      </c>
      <c r="DJ73" s="65">
        <f>DJ37/DJ59*1000</f>
        <v/>
      </c>
      <c r="DK73" s="65">
        <f>DK37/DK59*1000</f>
        <v/>
      </c>
      <c r="DL73" s="49">
        <f>DL37/DL59*1000</f>
        <v/>
      </c>
      <c r="DM73" s="65">
        <f>DM37/DM59*1000</f>
        <v/>
      </c>
      <c r="DN73" s="65">
        <f>DN37/DN59*1000</f>
        <v/>
      </c>
      <c r="DO73" s="49">
        <f>DO37/DO59*1000</f>
        <v/>
      </c>
      <c r="DP73" s="65">
        <f>DP37/DP59*1000</f>
        <v/>
      </c>
      <c r="DQ73" s="65">
        <f>DQ37/DQ59*1000</f>
        <v/>
      </c>
      <c r="DR73" s="65">
        <f>DR37/DR59*1000</f>
        <v/>
      </c>
      <c r="DS73" s="49">
        <f>DS37/DS59*1000</f>
        <v/>
      </c>
      <c r="DT73" s="65">
        <f>DT37/DT59*1000</f>
        <v/>
      </c>
      <c r="DU73" s="65">
        <f>DU37/DU59*1000</f>
        <v/>
      </c>
      <c r="DV73" s="49">
        <f>DV37/DV59*1000</f>
        <v/>
      </c>
      <c r="DW73" s="65">
        <f>DW37/DW59*1000</f>
        <v/>
      </c>
      <c r="DX73" s="65">
        <f>DX37/DX59*1000</f>
        <v/>
      </c>
      <c r="DY73" s="49">
        <f>DY37/DY59*1000</f>
        <v/>
      </c>
      <c r="DZ73" s="65">
        <f>DZ37/DZ59*1000</f>
        <v/>
      </c>
      <c r="EA73" s="65">
        <f>EA37/EA59*1000</f>
        <v/>
      </c>
      <c r="EB73" s="49">
        <f>EB37/EB59*1000</f>
        <v/>
      </c>
      <c r="EC73" s="65">
        <f>EC37/EC59*1000</f>
        <v/>
      </c>
      <c r="ED73" s="65">
        <f>ED37/ED59*1000</f>
        <v/>
      </c>
      <c r="EE73" s="49">
        <f>EE37/EE59*1000</f>
        <v/>
      </c>
      <c r="EF73" s="65">
        <f>EF37/EF59*1000</f>
        <v/>
      </c>
      <c r="EG73" s="65">
        <f>EG37/EG59*1000</f>
        <v/>
      </c>
      <c r="EH73" s="49">
        <f>EH37/EH59*1000</f>
        <v/>
      </c>
      <c r="EI73" s="65">
        <f>EI37/EI59*1000</f>
        <v/>
      </c>
      <c r="EJ73" s="65">
        <f>EJ37/EJ59*1000</f>
        <v/>
      </c>
    </row>
    <row r="74" customFormat="1" s="9">
      <c r="A74" s="42" t="inlineStr">
        <is>
          <t>Water (μL)</t>
        </is>
      </c>
      <c r="B74" s="97" t="inlineStr">
        <is>
          <t>ul</t>
        </is>
      </c>
      <c r="C74" s="85">
        <f>C39-C73</f>
        <v/>
      </c>
      <c r="D74" s="65">
        <f>D39-D73</f>
        <v/>
      </c>
      <c r="E74" s="43">
        <f>E39-E73</f>
        <v/>
      </c>
      <c r="F74" s="49">
        <f>F39-F73</f>
        <v/>
      </c>
      <c r="G74" s="65">
        <f>G39-G73</f>
        <v/>
      </c>
      <c r="H74" s="65">
        <f>H39-H73</f>
        <v/>
      </c>
      <c r="I74" s="49">
        <f>I39-I73</f>
        <v/>
      </c>
      <c r="J74" s="65">
        <f>J39-J73</f>
        <v/>
      </c>
      <c r="K74" s="65">
        <f>K39-K73</f>
        <v/>
      </c>
      <c r="L74" s="49">
        <f>L39-L73</f>
        <v/>
      </c>
      <c r="M74" s="65">
        <f>M39-M73</f>
        <v/>
      </c>
      <c r="N74" s="65">
        <f>N39-N73</f>
        <v/>
      </c>
      <c r="O74" s="49">
        <f>O39-O73</f>
        <v/>
      </c>
      <c r="P74" s="65">
        <f>P39-P73</f>
        <v/>
      </c>
      <c r="Q74" s="65">
        <f>Q39-Q73</f>
        <v/>
      </c>
      <c r="R74" s="49">
        <f>R39-R73</f>
        <v/>
      </c>
      <c r="S74" s="65">
        <f>S39-S73</f>
        <v/>
      </c>
      <c r="T74" s="65">
        <f>T39-T73</f>
        <v/>
      </c>
      <c r="U74" s="49">
        <f>U39-U73</f>
        <v/>
      </c>
      <c r="V74" s="65">
        <f>V39-V73</f>
        <v/>
      </c>
      <c r="W74" s="65">
        <f>W39-W73</f>
        <v/>
      </c>
      <c r="X74" s="49">
        <f>X39-X73</f>
        <v/>
      </c>
      <c r="Y74" s="65">
        <f>Y39-Y73</f>
        <v/>
      </c>
      <c r="Z74" s="65">
        <f>Z39-Z73</f>
        <v/>
      </c>
      <c r="AA74" s="65">
        <f>AA39-AA73</f>
        <v/>
      </c>
      <c r="AB74" s="49">
        <f>AB39-AB73</f>
        <v/>
      </c>
      <c r="AC74" s="65">
        <f>AC39-AC73</f>
        <v/>
      </c>
      <c r="AD74" s="65">
        <f>AD39-AD73</f>
        <v/>
      </c>
      <c r="AE74" s="49">
        <f>AE39-AE73</f>
        <v/>
      </c>
      <c r="AF74" s="65">
        <f>AF39-AF73</f>
        <v/>
      </c>
      <c r="AG74" s="65">
        <f>AG39-AG73</f>
        <v/>
      </c>
      <c r="AH74" s="49">
        <f>AH39-AH73</f>
        <v/>
      </c>
      <c r="AI74" s="65">
        <f>AI39-AI73</f>
        <v/>
      </c>
      <c r="AJ74" s="65">
        <f>AJ39-AJ73</f>
        <v/>
      </c>
      <c r="AK74" s="49">
        <f>AK39-AK73</f>
        <v/>
      </c>
      <c r="AL74" s="65">
        <f>AL39-AL73</f>
        <v/>
      </c>
      <c r="AM74" s="65">
        <f>AM39-AM73</f>
        <v/>
      </c>
      <c r="AN74" s="49">
        <f>AN39-AN73</f>
        <v/>
      </c>
      <c r="AO74" s="65">
        <f>AO39-AO73</f>
        <v/>
      </c>
      <c r="AP74" s="65">
        <f>AP39-AP73</f>
        <v/>
      </c>
      <c r="AQ74" s="49">
        <f>AQ39-AQ73</f>
        <v/>
      </c>
      <c r="AR74" s="65">
        <f>AR39-AR73</f>
        <v/>
      </c>
      <c r="AS74" s="65">
        <f>AS39-AS73</f>
        <v/>
      </c>
      <c r="AT74" s="65">
        <f>AT39-AT73</f>
        <v/>
      </c>
      <c r="AU74" s="49">
        <f>AU39-AU73</f>
        <v/>
      </c>
      <c r="AV74" s="65">
        <f>AV39-AV73</f>
        <v/>
      </c>
      <c r="AW74" s="65">
        <f>AW39-AW73</f>
        <v/>
      </c>
      <c r="AX74" s="49">
        <f>AX39-AX73</f>
        <v/>
      </c>
      <c r="AY74" s="65">
        <f>AY39-AY73</f>
        <v/>
      </c>
      <c r="AZ74" s="65">
        <f>AZ39-AZ73</f>
        <v/>
      </c>
      <c r="BA74" s="49">
        <f>BA39-BA73</f>
        <v/>
      </c>
      <c r="BB74" s="65">
        <f>BB39-BB73</f>
        <v/>
      </c>
      <c r="BC74" s="65">
        <f>BC39-BC73</f>
        <v/>
      </c>
      <c r="BD74" s="49">
        <f>BD39-BD73</f>
        <v/>
      </c>
      <c r="BE74" s="65">
        <f>BE39-BE73</f>
        <v/>
      </c>
      <c r="BF74" s="65">
        <f>BF39-BF73</f>
        <v/>
      </c>
      <c r="BG74" s="49">
        <f>BG39-BG73</f>
        <v/>
      </c>
      <c r="BH74" s="65">
        <f>BH39-BH73</f>
        <v/>
      </c>
      <c r="BI74" s="65">
        <f>BI39-BI73</f>
        <v/>
      </c>
      <c r="BJ74" s="49">
        <f>BJ39-BJ73</f>
        <v/>
      </c>
      <c r="BK74" s="65">
        <f>BK39-BK73</f>
        <v/>
      </c>
      <c r="BL74" s="65">
        <f>BL39-BL73</f>
        <v/>
      </c>
      <c r="BM74" s="65">
        <f>BM39-BM73</f>
        <v/>
      </c>
      <c r="BN74" s="49">
        <f>BN39-BN73</f>
        <v/>
      </c>
      <c r="BO74" s="65">
        <f>BO39-BO73</f>
        <v/>
      </c>
      <c r="BP74" s="65">
        <f>BP39-BP73</f>
        <v/>
      </c>
      <c r="BQ74" s="49">
        <f>BQ39-BQ73</f>
        <v/>
      </c>
      <c r="BR74" s="65">
        <f>BR39-BR73</f>
        <v/>
      </c>
      <c r="BS74" s="65">
        <f>BS39-BS73</f>
        <v/>
      </c>
      <c r="BT74" s="49">
        <f>BT39-BT73</f>
        <v/>
      </c>
      <c r="BU74" s="65">
        <f>BU39-BU73</f>
        <v/>
      </c>
      <c r="BV74" s="65">
        <f>BV39-BV73</f>
        <v/>
      </c>
      <c r="BW74" s="49">
        <f>BW39-BW73</f>
        <v/>
      </c>
      <c r="BX74" s="65">
        <f>BX39-BX73</f>
        <v/>
      </c>
      <c r="BY74" s="65">
        <f>BY39-BY73</f>
        <v/>
      </c>
      <c r="BZ74" s="49">
        <f>BZ39-BZ73</f>
        <v/>
      </c>
      <c r="CA74" s="65">
        <f>CA39-CA73</f>
        <v/>
      </c>
      <c r="CB74" s="65">
        <f>CB39-CB73</f>
        <v/>
      </c>
      <c r="CC74" s="49">
        <f>CC39-CC73</f>
        <v/>
      </c>
      <c r="CD74" s="65">
        <f>CD39-CD73</f>
        <v/>
      </c>
      <c r="CE74" s="65">
        <f>CE39-CE73</f>
        <v/>
      </c>
      <c r="CF74" s="65">
        <f>CF39-CF73</f>
        <v/>
      </c>
      <c r="CG74" s="49">
        <f>CG39-CG73</f>
        <v/>
      </c>
      <c r="CH74" s="65">
        <f>CH39-CH73</f>
        <v/>
      </c>
      <c r="CI74" s="65">
        <f>CI39-CI73</f>
        <v/>
      </c>
      <c r="CJ74" s="49">
        <f>CJ39-CJ73</f>
        <v/>
      </c>
      <c r="CK74" s="65">
        <f>CK39-CK73</f>
        <v/>
      </c>
      <c r="CL74" s="65">
        <f>CL39-CL73</f>
        <v/>
      </c>
      <c r="CM74" s="49">
        <f>CM39-CM73</f>
        <v/>
      </c>
      <c r="CN74" s="65">
        <f>CN39-CN73</f>
        <v/>
      </c>
      <c r="CO74" s="65">
        <f>CO39-CO73</f>
        <v/>
      </c>
      <c r="CP74" s="49">
        <f>CP39-CP73</f>
        <v/>
      </c>
      <c r="CQ74" s="65">
        <f>CQ39-CQ73</f>
        <v/>
      </c>
      <c r="CR74" s="65">
        <f>CR39-CR73</f>
        <v/>
      </c>
      <c r="CS74" s="49">
        <f>CS39-CS73</f>
        <v/>
      </c>
      <c r="CT74" s="65">
        <f>CT39-CT73</f>
        <v/>
      </c>
      <c r="CU74" s="65">
        <f>CU39-CU73</f>
        <v/>
      </c>
      <c r="CV74" s="49">
        <f>CV39-CV73</f>
        <v/>
      </c>
      <c r="CW74" s="65">
        <f>CW39-CW73</f>
        <v/>
      </c>
      <c r="CX74" s="65">
        <f>CX39-CX73</f>
        <v/>
      </c>
      <c r="CY74" s="65">
        <f>CY39-CY73</f>
        <v/>
      </c>
      <c r="CZ74" s="49">
        <f>CZ39-CZ73</f>
        <v/>
      </c>
      <c r="DA74" s="65">
        <f>DA39-DA73</f>
        <v/>
      </c>
      <c r="DB74" s="65">
        <f>DB39-DB73</f>
        <v/>
      </c>
      <c r="DC74" s="49">
        <f>DC39-DC73</f>
        <v/>
      </c>
      <c r="DD74" s="65">
        <f>DD39-DD73</f>
        <v/>
      </c>
      <c r="DE74" s="65">
        <f>DE39-DE73</f>
        <v/>
      </c>
      <c r="DF74" s="49">
        <f>DF39-DF73</f>
        <v/>
      </c>
      <c r="DG74" s="65">
        <f>DG39-DG73</f>
        <v/>
      </c>
      <c r="DH74" s="65">
        <f>DH39-DH73</f>
        <v/>
      </c>
      <c r="DI74" s="49">
        <f>DI39-DI73</f>
        <v/>
      </c>
      <c r="DJ74" s="65">
        <f>DJ39-DJ73</f>
        <v/>
      </c>
      <c r="DK74" s="65">
        <f>DK39-DK73</f>
        <v/>
      </c>
      <c r="DL74" s="49">
        <f>DL39-DL73</f>
        <v/>
      </c>
      <c r="DM74" s="65">
        <f>DM39-DM73</f>
        <v/>
      </c>
      <c r="DN74" s="65">
        <f>DN39-DN73</f>
        <v/>
      </c>
      <c r="DO74" s="49">
        <f>DO39-DO73</f>
        <v/>
      </c>
      <c r="DP74" s="65">
        <f>DP39-DP73</f>
        <v/>
      </c>
      <c r="DQ74" s="65">
        <f>DQ39-DQ73</f>
        <v/>
      </c>
      <c r="DR74" s="65">
        <f>DR39-DR73</f>
        <v/>
      </c>
      <c r="DS74" s="49">
        <f>DS39-DS73</f>
        <v/>
      </c>
      <c r="DT74" s="65">
        <f>DT39-DT73</f>
        <v/>
      </c>
      <c r="DU74" s="65">
        <f>DU39-DU73</f>
        <v/>
      </c>
      <c r="DV74" s="49">
        <f>DV39-DV73</f>
        <v/>
      </c>
      <c r="DW74" s="65">
        <f>DW39-DW73</f>
        <v/>
      </c>
      <c r="DX74" s="65">
        <f>DX39-DX73</f>
        <v/>
      </c>
      <c r="DY74" s="49">
        <f>DY39-DY73</f>
        <v/>
      </c>
      <c r="DZ74" s="65">
        <f>DZ39-DZ73</f>
        <v/>
      </c>
      <c r="EA74" s="65">
        <f>EA39-EA73</f>
        <v/>
      </c>
      <c r="EB74" s="49">
        <f>EB39-EB73</f>
        <v/>
      </c>
      <c r="EC74" s="65">
        <f>EC39-EC73</f>
        <v/>
      </c>
      <c r="ED74" s="65">
        <f>ED39-ED73</f>
        <v/>
      </c>
      <c r="EE74" s="49">
        <f>EE39-EE73</f>
        <v/>
      </c>
      <c r="EF74" s="65">
        <f>EF39-EF73</f>
        <v/>
      </c>
      <c r="EG74" s="65">
        <f>EG39-EG73</f>
        <v/>
      </c>
      <c r="EH74" s="49">
        <f>EH39-EH73</f>
        <v/>
      </c>
      <c r="EI74" s="65">
        <f>EI39-EI73</f>
        <v/>
      </c>
      <c r="EJ74" s="65">
        <f>EJ39-EJ73</f>
        <v/>
      </c>
    </row>
    <row r="75" customFormat="1" s="9">
      <c r="A75" s="42" t="inlineStr">
        <is>
          <t>Total Volume</t>
        </is>
      </c>
      <c r="B75" s="97" t="inlineStr">
        <is>
          <t>ul</t>
        </is>
      </c>
      <c r="C75" s="85">
        <f>SUM(C73:C74)</f>
        <v/>
      </c>
      <c r="D75" s="65">
        <f>SUM(D73:D74)</f>
        <v/>
      </c>
      <c r="E75" s="43">
        <f>SUM(E73:E74)</f>
        <v/>
      </c>
      <c r="F75" s="49">
        <f>SUM(F73:F74)</f>
        <v/>
      </c>
      <c r="G75" s="65">
        <f>SUM(G73:G74)</f>
        <v/>
      </c>
      <c r="H75" s="65">
        <f>SUM(H73:H74)</f>
        <v/>
      </c>
      <c r="I75" s="49">
        <f>SUM(I73:I74)</f>
        <v/>
      </c>
      <c r="J75" s="65">
        <f>SUM(J73:J74)</f>
        <v/>
      </c>
      <c r="K75" s="65">
        <f>SUM(K73:K74)</f>
        <v/>
      </c>
      <c r="L75" s="49">
        <f>SUM(L73:L74)</f>
        <v/>
      </c>
      <c r="M75" s="65">
        <f>SUM(M73:M74)</f>
        <v/>
      </c>
      <c r="N75" s="65">
        <f>SUM(N73:N74)</f>
        <v/>
      </c>
      <c r="O75" s="49">
        <f>SUM(O73:O74)</f>
        <v/>
      </c>
      <c r="P75" s="65">
        <f>SUM(P73:P74)</f>
        <v/>
      </c>
      <c r="Q75" s="65">
        <f>SUM(Q73:Q74)</f>
        <v/>
      </c>
      <c r="R75" s="49">
        <f>SUM(R73:R74)</f>
        <v/>
      </c>
      <c r="S75" s="65">
        <f>SUM(S73:S74)</f>
        <v/>
      </c>
      <c r="T75" s="65">
        <f>SUM(T73:T74)</f>
        <v/>
      </c>
      <c r="U75" s="49">
        <f>SUM(U73:U74)</f>
        <v/>
      </c>
      <c r="V75" s="65">
        <f>SUM(V73:V74)</f>
        <v/>
      </c>
      <c r="W75" s="65">
        <f>SUM(W73:W74)</f>
        <v/>
      </c>
      <c r="X75" s="49">
        <f>SUM(X73:X74)</f>
        <v/>
      </c>
      <c r="Y75" s="65">
        <f>SUM(Y73:Y74)</f>
        <v/>
      </c>
      <c r="Z75" s="65">
        <f>SUM(Z73:Z74)</f>
        <v/>
      </c>
      <c r="AA75" s="65">
        <f>SUM(AA73:AA74)</f>
        <v/>
      </c>
      <c r="AB75" s="49">
        <f>SUM(AB73:AB74)</f>
        <v/>
      </c>
      <c r="AC75" s="65">
        <f>SUM(AC73:AC74)</f>
        <v/>
      </c>
      <c r="AD75" s="65">
        <f>SUM(AD73:AD74)</f>
        <v/>
      </c>
      <c r="AE75" s="49">
        <f>SUM(AE73:AE74)</f>
        <v/>
      </c>
      <c r="AF75" s="65">
        <f>SUM(AF73:AF74)</f>
        <v/>
      </c>
      <c r="AG75" s="65">
        <f>SUM(AG73:AG74)</f>
        <v/>
      </c>
      <c r="AH75" s="49">
        <f>SUM(AH73:AH74)</f>
        <v/>
      </c>
      <c r="AI75" s="65">
        <f>SUM(AI73:AI74)</f>
        <v/>
      </c>
      <c r="AJ75" s="65">
        <f>SUM(AJ73:AJ74)</f>
        <v/>
      </c>
      <c r="AK75" s="49">
        <f>SUM(AK73:AK74)</f>
        <v/>
      </c>
      <c r="AL75" s="65">
        <f>SUM(AL73:AL74)</f>
        <v/>
      </c>
      <c r="AM75" s="65">
        <f>SUM(AM73:AM74)</f>
        <v/>
      </c>
      <c r="AN75" s="49">
        <f>SUM(AN73:AN74)</f>
        <v/>
      </c>
      <c r="AO75" s="65">
        <f>SUM(AO73:AO74)</f>
        <v/>
      </c>
      <c r="AP75" s="65">
        <f>SUM(AP73:AP74)</f>
        <v/>
      </c>
      <c r="AQ75" s="49">
        <f>SUM(AQ73:AQ74)</f>
        <v/>
      </c>
      <c r="AR75" s="65">
        <f>SUM(AR73:AR74)</f>
        <v/>
      </c>
      <c r="AS75" s="65">
        <f>SUM(AS73:AS74)</f>
        <v/>
      </c>
      <c r="AT75" s="65">
        <f>SUM(AT73:AT74)</f>
        <v/>
      </c>
      <c r="AU75" s="49">
        <f>SUM(AU73:AU74)</f>
        <v/>
      </c>
      <c r="AV75" s="65">
        <f>SUM(AV73:AV74)</f>
        <v/>
      </c>
      <c r="AW75" s="65">
        <f>SUM(AW73:AW74)</f>
        <v/>
      </c>
      <c r="AX75" s="49">
        <f>SUM(AX73:AX74)</f>
        <v/>
      </c>
      <c r="AY75" s="65">
        <f>SUM(AY73:AY74)</f>
        <v/>
      </c>
      <c r="AZ75" s="65">
        <f>SUM(AZ73:AZ74)</f>
        <v/>
      </c>
      <c r="BA75" s="49">
        <f>SUM(BA73:BA74)</f>
        <v/>
      </c>
      <c r="BB75" s="65">
        <f>SUM(BB73:BB74)</f>
        <v/>
      </c>
      <c r="BC75" s="65">
        <f>SUM(BC73:BC74)</f>
        <v/>
      </c>
      <c r="BD75" s="49">
        <f>SUM(BD73:BD74)</f>
        <v/>
      </c>
      <c r="BE75" s="65">
        <f>SUM(BE73:BE74)</f>
        <v/>
      </c>
      <c r="BF75" s="65">
        <f>SUM(BF73:BF74)</f>
        <v/>
      </c>
      <c r="BG75" s="49">
        <f>SUM(BG73:BG74)</f>
        <v/>
      </c>
      <c r="BH75" s="65">
        <f>SUM(BH73:BH74)</f>
        <v/>
      </c>
      <c r="BI75" s="65">
        <f>SUM(BI73:BI74)</f>
        <v/>
      </c>
      <c r="BJ75" s="49">
        <f>SUM(BJ73:BJ74)</f>
        <v/>
      </c>
      <c r="BK75" s="65">
        <f>SUM(BK73:BK74)</f>
        <v/>
      </c>
      <c r="BL75" s="65">
        <f>SUM(BL73:BL74)</f>
        <v/>
      </c>
      <c r="BM75" s="65">
        <f>SUM(BM73:BM74)</f>
        <v/>
      </c>
      <c r="BN75" s="49">
        <f>SUM(BN73:BN74)</f>
        <v/>
      </c>
      <c r="BO75" s="65">
        <f>SUM(BO73:BO74)</f>
        <v/>
      </c>
      <c r="BP75" s="65">
        <f>SUM(BP73:BP74)</f>
        <v/>
      </c>
      <c r="BQ75" s="49">
        <f>SUM(BQ73:BQ74)</f>
        <v/>
      </c>
      <c r="BR75" s="65">
        <f>SUM(BR73:BR74)</f>
        <v/>
      </c>
      <c r="BS75" s="65">
        <f>SUM(BS73:BS74)</f>
        <v/>
      </c>
      <c r="BT75" s="49">
        <f>SUM(BT73:BT74)</f>
        <v/>
      </c>
      <c r="BU75" s="65">
        <f>SUM(BU73:BU74)</f>
        <v/>
      </c>
      <c r="BV75" s="65">
        <f>SUM(BV73:BV74)</f>
        <v/>
      </c>
      <c r="BW75" s="49">
        <f>SUM(BW73:BW74)</f>
        <v/>
      </c>
      <c r="BX75" s="65">
        <f>SUM(BX73:BX74)</f>
        <v/>
      </c>
      <c r="BY75" s="65">
        <f>SUM(BY73:BY74)</f>
        <v/>
      </c>
      <c r="BZ75" s="49">
        <f>SUM(BZ73:BZ74)</f>
        <v/>
      </c>
      <c r="CA75" s="65">
        <f>SUM(CA73:CA74)</f>
        <v/>
      </c>
      <c r="CB75" s="65">
        <f>SUM(CB73:CB74)</f>
        <v/>
      </c>
      <c r="CC75" s="49">
        <f>SUM(CC73:CC74)</f>
        <v/>
      </c>
      <c r="CD75" s="65">
        <f>SUM(CD73:CD74)</f>
        <v/>
      </c>
      <c r="CE75" s="65">
        <f>SUM(CE73:CE74)</f>
        <v/>
      </c>
      <c r="CF75" s="65">
        <f>SUM(CF73:CF74)</f>
        <v/>
      </c>
      <c r="CG75" s="49">
        <f>SUM(CG73:CG74)</f>
        <v/>
      </c>
      <c r="CH75" s="65">
        <f>SUM(CH73:CH74)</f>
        <v/>
      </c>
      <c r="CI75" s="65">
        <f>SUM(CI73:CI74)</f>
        <v/>
      </c>
      <c r="CJ75" s="49">
        <f>SUM(CJ73:CJ74)</f>
        <v/>
      </c>
      <c r="CK75" s="65">
        <f>SUM(CK73:CK74)</f>
        <v/>
      </c>
      <c r="CL75" s="65">
        <f>SUM(CL73:CL74)</f>
        <v/>
      </c>
      <c r="CM75" s="49">
        <f>SUM(CM73:CM74)</f>
        <v/>
      </c>
      <c r="CN75" s="65">
        <f>SUM(CN73:CN74)</f>
        <v/>
      </c>
      <c r="CO75" s="65">
        <f>SUM(CO73:CO74)</f>
        <v/>
      </c>
      <c r="CP75" s="49">
        <f>SUM(CP73:CP74)</f>
        <v/>
      </c>
      <c r="CQ75" s="65">
        <f>SUM(CQ73:CQ74)</f>
        <v/>
      </c>
      <c r="CR75" s="65">
        <f>SUM(CR73:CR74)</f>
        <v/>
      </c>
      <c r="CS75" s="49">
        <f>SUM(CS73:CS74)</f>
        <v/>
      </c>
      <c r="CT75" s="65">
        <f>SUM(CT73:CT74)</f>
        <v/>
      </c>
      <c r="CU75" s="65">
        <f>SUM(CU73:CU74)</f>
        <v/>
      </c>
      <c r="CV75" s="49">
        <f>SUM(CV73:CV74)</f>
        <v/>
      </c>
      <c r="CW75" s="65">
        <f>SUM(CW73:CW74)</f>
        <v/>
      </c>
      <c r="CX75" s="65">
        <f>SUM(CX73:CX74)</f>
        <v/>
      </c>
      <c r="CY75" s="65">
        <f>SUM(CY73:CY74)</f>
        <v/>
      </c>
      <c r="CZ75" s="49">
        <f>SUM(CZ73:CZ74)</f>
        <v/>
      </c>
      <c r="DA75" s="65">
        <f>SUM(DA73:DA74)</f>
        <v/>
      </c>
      <c r="DB75" s="65">
        <f>SUM(DB73:DB74)</f>
        <v/>
      </c>
      <c r="DC75" s="49">
        <f>SUM(DC73:DC74)</f>
        <v/>
      </c>
      <c r="DD75" s="65">
        <f>SUM(DD73:DD74)</f>
        <v/>
      </c>
      <c r="DE75" s="65">
        <f>SUM(DE73:DE74)</f>
        <v/>
      </c>
      <c r="DF75" s="49">
        <f>SUM(DF73:DF74)</f>
        <v/>
      </c>
      <c r="DG75" s="65">
        <f>SUM(DG73:DG74)</f>
        <v/>
      </c>
      <c r="DH75" s="65">
        <f>SUM(DH73:DH74)</f>
        <v/>
      </c>
      <c r="DI75" s="49">
        <f>SUM(DI73:DI74)</f>
        <v/>
      </c>
      <c r="DJ75" s="65">
        <f>SUM(DJ73:DJ74)</f>
        <v/>
      </c>
      <c r="DK75" s="65">
        <f>SUM(DK73:DK74)</f>
        <v/>
      </c>
      <c r="DL75" s="49">
        <f>SUM(DL73:DL74)</f>
        <v/>
      </c>
      <c r="DM75" s="65">
        <f>SUM(DM73:DM74)</f>
        <v/>
      </c>
      <c r="DN75" s="65">
        <f>SUM(DN73:DN74)</f>
        <v/>
      </c>
      <c r="DO75" s="49">
        <f>SUM(DO73:DO74)</f>
        <v/>
      </c>
      <c r="DP75" s="65">
        <f>SUM(DP73:DP74)</f>
        <v/>
      </c>
      <c r="DQ75" s="65">
        <f>SUM(DQ73:DQ74)</f>
        <v/>
      </c>
      <c r="DR75" s="65">
        <f>SUM(DR73:DR74)</f>
        <v/>
      </c>
      <c r="DS75" s="49">
        <f>SUM(DS73:DS74)</f>
        <v/>
      </c>
      <c r="DT75" s="65">
        <f>SUM(DT73:DT74)</f>
        <v/>
      </c>
      <c r="DU75" s="65">
        <f>SUM(DU73:DU74)</f>
        <v/>
      </c>
      <c r="DV75" s="49">
        <f>SUM(DV73:DV74)</f>
        <v/>
      </c>
      <c r="DW75" s="65">
        <f>SUM(DW73:DW74)</f>
        <v/>
      </c>
      <c r="DX75" s="65">
        <f>SUM(DX73:DX74)</f>
        <v/>
      </c>
      <c r="DY75" s="49">
        <f>SUM(DY73:DY74)</f>
        <v/>
      </c>
      <c r="DZ75" s="65">
        <f>SUM(DZ73:DZ74)</f>
        <v/>
      </c>
      <c r="EA75" s="65">
        <f>SUM(EA73:EA74)</f>
        <v/>
      </c>
      <c r="EB75" s="49">
        <f>SUM(EB73:EB74)</f>
        <v/>
      </c>
      <c r="EC75" s="65">
        <f>SUM(EC73:EC74)</f>
        <v/>
      </c>
      <c r="ED75" s="65">
        <f>SUM(ED73:ED74)</f>
        <v/>
      </c>
      <c r="EE75" s="49">
        <f>SUM(EE73:EE74)</f>
        <v/>
      </c>
      <c r="EF75" s="65">
        <f>SUM(EF73:EF74)</f>
        <v/>
      </c>
      <c r="EG75" s="65">
        <f>SUM(EG73:EG74)</f>
        <v/>
      </c>
      <c r="EH75" s="49">
        <f>SUM(EH73:EH74)</f>
        <v/>
      </c>
      <c r="EI75" s="65">
        <f>SUM(EI73:EI74)</f>
        <v/>
      </c>
      <c r="EJ75" s="65">
        <f>SUM(EJ73:EJ74)</f>
        <v/>
      </c>
    </row>
    <row r="76">
      <c r="A76" s="19" t="n"/>
      <c r="B76" s="96" t="n"/>
      <c r="G76" s="55" t="n"/>
      <c r="H76" s="55" t="n"/>
      <c r="J76" s="55" t="n"/>
      <c r="K76" s="55" t="n"/>
      <c r="M76" s="55" t="n"/>
      <c r="N76" s="55" t="n"/>
      <c r="P76" s="55" t="n"/>
      <c r="Q76" s="55" t="n"/>
      <c r="S76" s="55" t="n"/>
      <c r="T76" s="55" t="n"/>
      <c r="V76" s="55" t="n"/>
      <c r="W76" s="55" t="n"/>
      <c r="Y76" s="55" t="n"/>
      <c r="Z76" s="55" t="n"/>
      <c r="AA76" s="55" t="n"/>
      <c r="AC76" s="55" t="n"/>
      <c r="AD76" s="55" t="n"/>
      <c r="AF76" s="55" t="n"/>
      <c r="AG76" s="55" t="n"/>
      <c r="AI76" s="55" t="n"/>
      <c r="AJ76" s="55" t="n"/>
      <c r="AL76" s="55" t="n"/>
      <c r="AM76" s="55" t="n"/>
      <c r="AO76" s="55" t="n"/>
      <c r="AP76" s="55" t="n"/>
      <c r="AR76" s="55" t="n"/>
      <c r="AS76" s="55" t="n"/>
      <c r="AT76" s="55" t="n"/>
      <c r="AV76" s="55" t="n"/>
      <c r="AW76" s="55" t="n"/>
      <c r="AY76" s="55" t="n"/>
      <c r="AZ76" s="55" t="n"/>
      <c r="BB76" s="55" t="n"/>
      <c r="BC76" s="55" t="n"/>
      <c r="BE76" s="55" t="n"/>
      <c r="BF76" s="55" t="n"/>
      <c r="BH76" s="55" t="n"/>
      <c r="BI76" s="55" t="n"/>
      <c r="BK76" s="55" t="n"/>
      <c r="BL76" s="55" t="n"/>
      <c r="BM76" s="55" t="n"/>
      <c r="BO76" s="55" t="n"/>
      <c r="BP76" s="55" t="n"/>
      <c r="BR76" s="55" t="n"/>
      <c r="BS76" s="55" t="n"/>
      <c r="BU76" s="55" t="n"/>
      <c r="BV76" s="55" t="n"/>
      <c r="BX76" s="55" t="n"/>
      <c r="BY76" s="55" t="n"/>
      <c r="CA76" s="55" t="n"/>
      <c r="CB76" s="55" t="n"/>
      <c r="CD76" s="55" t="n"/>
      <c r="CE76" s="55" t="n"/>
      <c r="CF76" s="55" t="n"/>
      <c r="CH76" s="55" t="n"/>
      <c r="CI76" s="55" t="n"/>
      <c r="CK76" s="55" t="n"/>
      <c r="CL76" s="55" t="n"/>
      <c r="CN76" s="55" t="n"/>
      <c r="CO76" s="55" t="n"/>
      <c r="CQ76" s="55" t="n"/>
      <c r="CR76" s="55" t="n"/>
      <c r="CT76" s="55" t="n"/>
      <c r="CU76" s="55" t="n"/>
      <c r="CW76" s="55" t="n"/>
      <c r="CX76" s="55" t="n"/>
      <c r="CY76" s="55" t="n"/>
      <c r="DA76" s="55" t="n"/>
      <c r="DB76" s="55" t="n"/>
      <c r="DD76" s="55" t="n"/>
      <c r="DE76" s="55" t="n"/>
      <c r="DG76" s="55" t="n"/>
      <c r="DH76" s="55" t="n"/>
      <c r="DJ76" s="55" t="n"/>
      <c r="DK76" s="55" t="n"/>
      <c r="DM76" s="55" t="n"/>
      <c r="DN76" s="55" t="n"/>
      <c r="DP76" s="55" t="n"/>
      <c r="DQ76" s="55" t="n"/>
      <c r="DR76" s="55" t="n"/>
      <c r="DT76" s="55" t="n"/>
      <c r="DU76" s="55" t="n"/>
      <c r="DW76" s="55" t="n"/>
      <c r="DX76" s="55" t="n"/>
      <c r="DZ76" s="55" t="n"/>
      <c r="EA76" s="55" t="n"/>
      <c r="EC76" s="55" t="n"/>
      <c r="ED76" s="55" t="n"/>
      <c r="EF76" s="55" t="n"/>
      <c r="EG76" s="55" t="n"/>
      <c r="EI76" s="55" t="n"/>
      <c r="EJ76" s="55" t="n"/>
    </row>
    <row r="77">
      <c r="A77" s="20" t="inlineStr">
        <is>
          <t>Combined Total Volume (Assuming backfill has evaporated)</t>
        </is>
      </c>
      <c r="B77" s="96" t="inlineStr">
        <is>
          <t>ul</t>
        </is>
      </c>
      <c r="C77" s="75">
        <f>SUM(C68,C75)-$C$83</f>
        <v/>
      </c>
      <c r="D77" s="55">
        <f>SUM(D68,D75)-$C$83</f>
        <v/>
      </c>
      <c r="E77" s="13">
        <f>SUM(E68,E75)-$C$83</f>
        <v/>
      </c>
      <c r="F77" s="12">
        <f>SUM(F68,F75)-$C$83</f>
        <v/>
      </c>
      <c r="G77" s="55">
        <f>SUM(G68,G75)-$C$83</f>
        <v/>
      </c>
      <c r="H77" s="55">
        <f>SUM(H68,H75)-$C$83</f>
        <v/>
      </c>
      <c r="I77" s="12">
        <f>SUM(I68,I75)-$C$83</f>
        <v/>
      </c>
      <c r="J77" s="55">
        <f>SUM(J68,J75)-$C$83</f>
        <v/>
      </c>
      <c r="K77" s="55">
        <f>SUM(K68,K75)-$C$83</f>
        <v/>
      </c>
      <c r="L77" s="12">
        <f>SUM(L68,L75)-$C$83</f>
        <v/>
      </c>
      <c r="M77" s="55">
        <f>SUM(M68,M75)-$C$83</f>
        <v/>
      </c>
      <c r="N77" s="55">
        <f>SUM(N68,N75)-$C$83</f>
        <v/>
      </c>
      <c r="O77" s="12">
        <f>SUM(O68,O75)-$C$83</f>
        <v/>
      </c>
      <c r="P77" s="55">
        <f>SUM(P68,P75)-$C$83</f>
        <v/>
      </c>
      <c r="Q77" s="55">
        <f>SUM(Q68,Q75)-$C$83</f>
        <v/>
      </c>
      <c r="R77" s="12">
        <f>SUM(R68,R75)-$C$83</f>
        <v/>
      </c>
      <c r="S77" s="55">
        <f>SUM(S68,S75)-$C$83</f>
        <v/>
      </c>
      <c r="T77" s="55">
        <f>SUM(T68,T75)-$C$83</f>
        <v/>
      </c>
      <c r="U77" s="12">
        <f>SUM(U68,U75)-$C$83</f>
        <v/>
      </c>
      <c r="V77" s="55">
        <f>SUM(V68,V75)-$C$83</f>
        <v/>
      </c>
      <c r="W77" s="55">
        <f>SUM(W68,W75)-$C$83</f>
        <v/>
      </c>
      <c r="X77" s="12">
        <f>SUM(X68,X75)-$C$83</f>
        <v/>
      </c>
      <c r="Y77" s="55">
        <f>SUM(Y68,Y75)-$C$83</f>
        <v/>
      </c>
      <c r="Z77" s="55">
        <f>SUM(Z68,Z75)-$C$83</f>
        <v/>
      </c>
      <c r="AA77" s="55">
        <f>SUM(AA68,AA75)-$C$83</f>
        <v/>
      </c>
      <c r="AB77" s="12">
        <f>SUM(AB68,AB75)-$C$83</f>
        <v/>
      </c>
      <c r="AC77" s="55">
        <f>SUM(AC68,AC75)-$C$83</f>
        <v/>
      </c>
      <c r="AD77" s="55">
        <f>SUM(AD68,AD75)-$C$83</f>
        <v/>
      </c>
      <c r="AE77" s="12">
        <f>SUM(AE68,AE75)-$C$83</f>
        <v/>
      </c>
      <c r="AF77" s="55">
        <f>SUM(AF68,AF75)-$C$83</f>
        <v/>
      </c>
      <c r="AG77" s="55">
        <f>SUM(AG68,AG75)-$C$83</f>
        <v/>
      </c>
      <c r="AH77" s="12">
        <f>SUM(AH68,AH75)-$C$83</f>
        <v/>
      </c>
      <c r="AI77" s="55">
        <f>SUM(AI68,AI75)-$C$83</f>
        <v/>
      </c>
      <c r="AJ77" s="55">
        <f>SUM(AJ68,AJ75)-$C$83</f>
        <v/>
      </c>
      <c r="AK77" s="12">
        <f>SUM(AK68,AK75)-$C$83</f>
        <v/>
      </c>
      <c r="AL77" s="55">
        <f>SUM(AL68,AL75)-$C$83</f>
        <v/>
      </c>
      <c r="AM77" s="55">
        <f>SUM(AM68,AM75)-$C$83</f>
        <v/>
      </c>
      <c r="AN77" s="12">
        <f>SUM(AN68,AN75)-$C$83</f>
        <v/>
      </c>
      <c r="AO77" s="55">
        <f>SUM(AO68,AO75)-$C$83</f>
        <v/>
      </c>
      <c r="AP77" s="55">
        <f>SUM(AP68,AP75)-$C$83</f>
        <v/>
      </c>
      <c r="AQ77" s="12">
        <f>SUM(AQ68,AQ75)-$C$83</f>
        <v/>
      </c>
      <c r="AR77" s="55">
        <f>SUM(AR68,AR75)-$C$83</f>
        <v/>
      </c>
      <c r="AS77" s="55">
        <f>SUM(AS68,AS75)-$C$83</f>
        <v/>
      </c>
      <c r="AT77" s="55">
        <f>SUM(AT68,AT75)-$C$83</f>
        <v/>
      </c>
      <c r="AU77" s="12">
        <f>SUM(AU68,AU75)-$C$83</f>
        <v/>
      </c>
      <c r="AV77" s="55">
        <f>SUM(AV68,AV75)-$C$83</f>
        <v/>
      </c>
      <c r="AW77" s="55">
        <f>SUM(AW68,AW75)-$C$83</f>
        <v/>
      </c>
      <c r="AX77" s="12">
        <f>SUM(AX68,AX75)-$C$83</f>
        <v/>
      </c>
      <c r="AY77" s="55">
        <f>SUM(AY68,AY75)-$C$83</f>
        <v/>
      </c>
      <c r="AZ77" s="55">
        <f>SUM(AZ68,AZ75)-$C$83</f>
        <v/>
      </c>
      <c r="BA77" s="12">
        <f>SUM(BA68,BA75)-$C$83</f>
        <v/>
      </c>
      <c r="BB77" s="55">
        <f>SUM(BB68,BB75)-$C$83</f>
        <v/>
      </c>
      <c r="BC77" s="55">
        <f>SUM(BC68,BC75)-$C$83</f>
        <v/>
      </c>
      <c r="BD77" s="12">
        <f>SUM(BD68,BD75)-$C$83</f>
        <v/>
      </c>
      <c r="BE77" s="55">
        <f>SUM(BE68,BE75)-$C$83</f>
        <v/>
      </c>
      <c r="BF77" s="55">
        <f>SUM(BF68,BF75)-$C$83</f>
        <v/>
      </c>
      <c r="BG77" s="12">
        <f>SUM(BG68,BG75)-$C$83</f>
        <v/>
      </c>
      <c r="BH77" s="55">
        <f>SUM(BH68,BH75)-$C$83</f>
        <v/>
      </c>
      <c r="BI77" s="55">
        <f>SUM(BI68,BI75)-$C$83</f>
        <v/>
      </c>
      <c r="BJ77" s="12">
        <f>SUM(BJ68,BJ75)-$C$83</f>
        <v/>
      </c>
      <c r="BK77" s="55">
        <f>SUM(BK68,BK75)-$C$83</f>
        <v/>
      </c>
      <c r="BL77" s="55">
        <f>SUM(BL68,BL75)-$C$83</f>
        <v/>
      </c>
      <c r="BM77" s="55">
        <f>SUM(BM68,BM75)-$C$83</f>
        <v/>
      </c>
      <c r="BN77" s="12">
        <f>SUM(BN68,BN75)-$C$83</f>
        <v/>
      </c>
      <c r="BO77" s="55">
        <f>SUM(BO68,BO75)-$C$83</f>
        <v/>
      </c>
      <c r="BP77" s="55">
        <f>SUM(BP68,BP75)-$C$83</f>
        <v/>
      </c>
      <c r="BQ77" s="12">
        <f>SUM(BQ68,BQ75)-$C$83</f>
        <v/>
      </c>
      <c r="BR77" s="55">
        <f>SUM(BR68,BR75)-$C$83</f>
        <v/>
      </c>
      <c r="BS77" s="55">
        <f>SUM(BS68,BS75)-$C$83</f>
        <v/>
      </c>
      <c r="BT77" s="12">
        <f>SUM(BT68,BT75)-$C$83</f>
        <v/>
      </c>
      <c r="BU77" s="55">
        <f>SUM(BU68,BU75)-$C$83</f>
        <v/>
      </c>
      <c r="BV77" s="55">
        <f>SUM(BV68,BV75)-$C$83</f>
        <v/>
      </c>
      <c r="BW77" s="12">
        <f>SUM(BW68,BW75)-$C$83</f>
        <v/>
      </c>
      <c r="BX77" s="55">
        <f>SUM(BX68,BX75)-$C$83</f>
        <v/>
      </c>
      <c r="BY77" s="55">
        <f>SUM(BY68,BY75)-$C$83</f>
        <v/>
      </c>
      <c r="BZ77" s="12">
        <f>SUM(BZ68,BZ75)-$C$83</f>
        <v/>
      </c>
      <c r="CA77" s="55">
        <f>SUM(CA68,CA75)-$C$83</f>
        <v/>
      </c>
      <c r="CB77" s="55">
        <f>SUM(CB68,CB75)-$C$83</f>
        <v/>
      </c>
      <c r="CC77" s="12">
        <f>SUM(CC68,CC75)-$C$83</f>
        <v/>
      </c>
      <c r="CD77" s="55">
        <f>SUM(CD68,CD75)-$C$83</f>
        <v/>
      </c>
      <c r="CE77" s="55">
        <f>SUM(CE68,CE75)-$C$83</f>
        <v/>
      </c>
      <c r="CF77" s="55">
        <f>SUM(CF68,CF75)-$C$83</f>
        <v/>
      </c>
      <c r="CG77" s="12">
        <f>SUM(CG68,CG75)-$C$83</f>
        <v/>
      </c>
      <c r="CH77" s="55">
        <f>SUM(CH68,CH75)-$C$83</f>
        <v/>
      </c>
      <c r="CI77" s="55">
        <f>SUM(CI68,CI75)-$C$83</f>
        <v/>
      </c>
      <c r="CJ77" s="12">
        <f>SUM(CJ68,CJ75)-$C$83</f>
        <v/>
      </c>
      <c r="CK77" s="55">
        <f>SUM(CK68,CK75)-$C$83</f>
        <v/>
      </c>
      <c r="CL77" s="55">
        <f>SUM(CL68,CL75)-$C$83</f>
        <v/>
      </c>
      <c r="CM77" s="12">
        <f>SUM(CM68,CM75)-$C$83</f>
        <v/>
      </c>
      <c r="CN77" s="55">
        <f>SUM(CN68,CN75)-$C$83</f>
        <v/>
      </c>
      <c r="CO77" s="55">
        <f>SUM(CO68,CO75)-$C$83</f>
        <v/>
      </c>
      <c r="CP77" s="12">
        <f>SUM(CP68,CP75)-$C$83</f>
        <v/>
      </c>
      <c r="CQ77" s="55">
        <f>SUM(CQ68,CQ75)-$C$83</f>
        <v/>
      </c>
      <c r="CR77" s="55">
        <f>SUM(CR68,CR75)-$C$83</f>
        <v/>
      </c>
      <c r="CS77" s="12">
        <f>SUM(CS68,CS75)-$C$83</f>
        <v/>
      </c>
      <c r="CT77" s="55">
        <f>SUM(CT68,CT75)-$C$83</f>
        <v/>
      </c>
      <c r="CU77" s="55">
        <f>SUM(CU68,CU75)-$C$83</f>
        <v/>
      </c>
      <c r="CV77" s="12">
        <f>SUM(CV68,CV75)-$C$83</f>
        <v/>
      </c>
      <c r="CW77" s="55">
        <f>SUM(CW68,CW75)-$C$83</f>
        <v/>
      </c>
      <c r="CX77" s="55">
        <f>SUM(CX68,CX75)-$C$83</f>
        <v/>
      </c>
      <c r="CY77" s="55">
        <f>SUM(CY68,CY75)-$C$83</f>
        <v/>
      </c>
      <c r="CZ77" s="12">
        <f>SUM(CZ68,CZ75)-$C$83</f>
        <v/>
      </c>
      <c r="DA77" s="55">
        <f>SUM(DA68,DA75)-$C$83</f>
        <v/>
      </c>
      <c r="DB77" s="55">
        <f>SUM(DB68,DB75)-$C$83</f>
        <v/>
      </c>
      <c r="DC77" s="12">
        <f>SUM(DC68,DC75)-$C$83</f>
        <v/>
      </c>
      <c r="DD77" s="55">
        <f>SUM(DD68,DD75)-$C$83</f>
        <v/>
      </c>
      <c r="DE77" s="55">
        <f>SUM(DE68,DE75)-$C$83</f>
        <v/>
      </c>
      <c r="DF77" s="12">
        <f>SUM(DF68,DF75)-$C$83</f>
        <v/>
      </c>
      <c r="DG77" s="55">
        <f>SUM(DG68,DG75)-$C$83</f>
        <v/>
      </c>
      <c r="DH77" s="55">
        <f>SUM(DH68,DH75)-$C$83</f>
        <v/>
      </c>
      <c r="DI77" s="12">
        <f>SUM(DI68,DI75)-$C$83</f>
        <v/>
      </c>
      <c r="DJ77" s="55">
        <f>SUM(DJ68,DJ75)-$C$83</f>
        <v/>
      </c>
      <c r="DK77" s="55">
        <f>SUM(DK68,DK75)-$C$83</f>
        <v/>
      </c>
      <c r="DL77" s="12">
        <f>SUM(DL68,DL75)-$C$83</f>
        <v/>
      </c>
      <c r="DM77" s="55">
        <f>SUM(DM68,DM75)-$C$83</f>
        <v/>
      </c>
      <c r="DN77" s="55">
        <f>SUM(DN68,DN75)-$C$83</f>
        <v/>
      </c>
      <c r="DO77" s="12">
        <f>SUM(DO68,DO75)-$C$83</f>
        <v/>
      </c>
      <c r="DP77" s="55">
        <f>SUM(DP68,DP75)-$C$83</f>
        <v/>
      </c>
      <c r="DQ77" s="55">
        <f>SUM(DQ68,DQ75)-$C$83</f>
        <v/>
      </c>
      <c r="DR77" s="55">
        <f>SUM(DR68,DR75)-$C$83</f>
        <v/>
      </c>
      <c r="DS77" s="12">
        <f>SUM(DS68,DS75)-$C$83</f>
        <v/>
      </c>
      <c r="DT77" s="55">
        <f>SUM(DT68,DT75)-$C$83</f>
        <v/>
      </c>
      <c r="DU77" s="55">
        <f>SUM(DU68,DU75)-$C$83</f>
        <v/>
      </c>
      <c r="DV77" s="12">
        <f>SUM(DV68,DV75)-$C$83</f>
        <v/>
      </c>
      <c r="DW77" s="55">
        <f>SUM(DW68,DW75)-$C$83</f>
        <v/>
      </c>
      <c r="DX77" s="55">
        <f>SUM(DX68,DX75)-$C$83</f>
        <v/>
      </c>
      <c r="DY77" s="12">
        <f>SUM(DY68,DY75)-$C$83</f>
        <v/>
      </c>
      <c r="DZ77" s="55">
        <f>SUM(DZ68,DZ75)-$C$83</f>
        <v/>
      </c>
      <c r="EA77" s="55">
        <f>SUM(EA68,EA75)-$C$83</f>
        <v/>
      </c>
      <c r="EB77" s="12">
        <f>SUM(EB68,EB75)-$C$83</f>
        <v/>
      </c>
      <c r="EC77" s="55">
        <f>SUM(EC68,EC75)-$C$83</f>
        <v/>
      </c>
      <c r="ED77" s="55">
        <f>SUM(ED68,ED75)-$C$83</f>
        <v/>
      </c>
      <c r="EE77" s="12">
        <f>SUM(EE68,EE75)-$C$83</f>
        <v/>
      </c>
      <c r="EF77" s="55">
        <f>SUM(EF68,EF75)-$C$83</f>
        <v/>
      </c>
      <c r="EG77" s="55">
        <f>SUM(EG68,EG75)-$C$83</f>
        <v/>
      </c>
      <c r="EH77" s="12">
        <f>SUM(EH68,EH75)-$C$83</f>
        <v/>
      </c>
      <c r="EI77" s="55">
        <f>SUM(EI68,EI75)-$C$83</f>
        <v/>
      </c>
      <c r="EJ77" s="55">
        <f>SUM(EJ68,EJ75)-$C$83</f>
        <v/>
      </c>
    </row>
    <row r="78">
      <c r="A78" s="20" t="n"/>
      <c r="B78" s="96" t="n"/>
      <c r="G78" s="55" t="n"/>
      <c r="H78" s="55" t="n"/>
      <c r="J78" s="55" t="n"/>
      <c r="K78" s="55" t="n"/>
      <c r="M78" s="55" t="n"/>
      <c r="N78" s="55" t="n"/>
      <c r="P78" s="55" t="n"/>
      <c r="Q78" s="55" t="n"/>
      <c r="S78" s="55" t="n"/>
      <c r="T78" s="55" t="n"/>
      <c r="V78" s="55" t="n"/>
      <c r="W78" s="55" t="n"/>
      <c r="Y78" s="55" t="n"/>
      <c r="Z78" s="55" t="n"/>
      <c r="AA78" s="55" t="n"/>
      <c r="AC78" s="55" t="n"/>
      <c r="AD78" s="55" t="n"/>
      <c r="AF78" s="55" t="n"/>
      <c r="AG78" s="55" t="n"/>
      <c r="AI78" s="55" t="n"/>
      <c r="AJ78" s="55" t="n"/>
      <c r="AL78" s="55" t="n"/>
      <c r="AM78" s="55" t="n"/>
      <c r="AO78" s="55" t="n"/>
      <c r="AP78" s="55" t="n"/>
      <c r="AR78" s="55" t="n"/>
      <c r="AS78" s="55" t="n"/>
      <c r="AT78" s="55" t="n"/>
      <c r="AV78" s="55" t="n"/>
      <c r="AW78" s="55" t="n"/>
      <c r="AY78" s="55" t="n"/>
      <c r="AZ78" s="55" t="n"/>
      <c r="BB78" s="55" t="n"/>
      <c r="BC78" s="55" t="n"/>
      <c r="BE78" s="55" t="n"/>
      <c r="BF78" s="55" t="n"/>
      <c r="BH78" s="55" t="n"/>
      <c r="BI78" s="55" t="n"/>
      <c r="BK78" s="55" t="n"/>
      <c r="BL78" s="55" t="n"/>
      <c r="BM78" s="55" t="n"/>
      <c r="BO78" s="55" t="n"/>
      <c r="BP78" s="55" t="n"/>
      <c r="BR78" s="55" t="n"/>
      <c r="BS78" s="55" t="n"/>
      <c r="BU78" s="55" t="n"/>
      <c r="BV78" s="55" t="n"/>
      <c r="BX78" s="55" t="n"/>
      <c r="BY78" s="55" t="n"/>
      <c r="CA78" s="55" t="n"/>
      <c r="CB78" s="55" t="n"/>
      <c r="CD78" s="55" t="n"/>
      <c r="CE78" s="55" t="n"/>
      <c r="CF78" s="55" t="n"/>
      <c r="CH78" s="55" t="n"/>
      <c r="CI78" s="55" t="n"/>
      <c r="CK78" s="55" t="n"/>
      <c r="CL78" s="55" t="n"/>
      <c r="CN78" s="55" t="n"/>
      <c r="CO78" s="55" t="n"/>
      <c r="CQ78" s="55" t="n"/>
      <c r="CR78" s="55" t="n"/>
      <c r="CT78" s="55" t="n"/>
      <c r="CU78" s="55" t="n"/>
      <c r="CW78" s="55" t="n"/>
      <c r="CX78" s="55" t="n"/>
      <c r="CY78" s="55" t="n"/>
      <c r="DA78" s="55" t="n"/>
      <c r="DB78" s="55" t="n"/>
      <c r="DD78" s="55" t="n"/>
      <c r="DE78" s="55" t="n"/>
      <c r="DG78" s="55" t="n"/>
      <c r="DH78" s="55" t="n"/>
      <c r="DJ78" s="55" t="n"/>
      <c r="DK78" s="55" t="n"/>
      <c r="DM78" s="55" t="n"/>
      <c r="DN78" s="55" t="n"/>
      <c r="DP78" s="55" t="n"/>
      <c r="DQ78" s="55" t="n"/>
      <c r="DR78" s="55" t="n"/>
      <c r="DT78" s="55" t="n"/>
      <c r="DU78" s="55" t="n"/>
      <c r="DW78" s="55" t="n"/>
      <c r="DX78" s="55" t="n"/>
      <c r="DZ78" s="55" t="n"/>
      <c r="EA78" s="55" t="n"/>
      <c r="EC78" s="55" t="n"/>
      <c r="ED78" s="55" t="n"/>
      <c r="EF78" s="55" t="n"/>
      <c r="EG78" s="55" t="n"/>
      <c r="EI78" s="55" t="n"/>
      <c r="EJ78" s="55" t="n"/>
    </row>
    <row r="79" customFormat="1" s="10">
      <c r="A79" s="21" t="n"/>
      <c r="B79" s="98" t="n"/>
      <c r="C79" s="86" t="n"/>
      <c r="D79" s="66" t="n"/>
      <c r="E79" s="22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0" t="n"/>
      <c r="AK79" s="50" t="n"/>
      <c r="AL79" s="50" t="n"/>
      <c r="AM79" s="50" t="n"/>
      <c r="AN79" s="50" t="n"/>
      <c r="AO79" s="50" t="n"/>
      <c r="AP79" s="50" t="n"/>
      <c r="AQ79" s="50" t="n"/>
      <c r="AR79" s="50" t="n"/>
      <c r="AS79" s="50" t="n"/>
      <c r="AT79" s="50" t="n"/>
      <c r="AU79" s="50" t="n"/>
      <c r="AV79" s="50" t="n"/>
      <c r="AW79" s="50" t="n"/>
      <c r="AX79" s="50" t="n"/>
      <c r="AY79" s="50" t="n"/>
      <c r="AZ79" s="50" t="n"/>
      <c r="BA79" s="50" t="n"/>
      <c r="BB79" s="50" t="n"/>
      <c r="BC79" s="50" t="n"/>
      <c r="BD79" s="50" t="n"/>
      <c r="BE79" s="50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50" t="n"/>
      <c r="BP79" s="50" t="n"/>
      <c r="BQ79" s="50" t="n"/>
      <c r="BR79" s="50" t="n"/>
      <c r="BS79" s="50" t="n"/>
      <c r="BT79" s="50" t="n"/>
      <c r="BU79" s="50" t="n"/>
      <c r="BV79" s="50" t="n"/>
      <c r="BW79" s="50" t="n"/>
      <c r="BX79" s="50" t="n"/>
      <c r="BY79" s="50" t="n"/>
      <c r="BZ79" s="50" t="n"/>
      <c r="CA79" s="50" t="n"/>
      <c r="CB79" s="50" t="n"/>
      <c r="CC79" s="50" t="n"/>
      <c r="CD79" s="50" t="n"/>
      <c r="CE79" s="50" t="n"/>
      <c r="CF79" s="50" t="n"/>
      <c r="CG79" s="50" t="n"/>
      <c r="CH79" s="50" t="n"/>
      <c r="CI79" s="50" t="n"/>
      <c r="CJ79" s="50" t="n"/>
      <c r="CK79" s="50" t="n"/>
      <c r="CL79" s="50" t="n"/>
      <c r="CM79" s="50" t="n"/>
      <c r="CN79" s="50" t="n"/>
      <c r="CO79" s="50" t="n"/>
      <c r="CP79" s="50" t="n"/>
      <c r="CQ79" s="50" t="n"/>
      <c r="CR79" s="50" t="n"/>
      <c r="CS79" s="50" t="n"/>
      <c r="CT79" s="50" t="n"/>
      <c r="CU79" s="50" t="n"/>
      <c r="CV79" s="50" t="n"/>
      <c r="CW79" s="50" t="n"/>
      <c r="CX79" s="50" t="n"/>
      <c r="CY79" s="50" t="n"/>
      <c r="CZ79" s="50" t="n"/>
      <c r="DA79" s="50" t="n"/>
      <c r="DB79" s="50" t="n"/>
      <c r="DC79" s="50" t="n"/>
      <c r="DD79" s="50" t="n"/>
      <c r="DE79" s="50" t="n"/>
      <c r="DF79" s="50" t="n"/>
      <c r="DG79" s="50" t="n"/>
      <c r="DH79" s="50" t="n"/>
      <c r="DI79" s="50" t="n"/>
      <c r="DJ79" s="50" t="n"/>
      <c r="DK79" s="50" t="n"/>
      <c r="DL79" s="50" t="n"/>
      <c r="DM79" s="50" t="n"/>
      <c r="DN79" s="50" t="n"/>
      <c r="DO79" s="50" t="n"/>
      <c r="DP79" s="50" t="n"/>
      <c r="DQ79" s="50" t="n"/>
      <c r="DR79" s="50" t="n"/>
      <c r="DS79" s="50" t="n"/>
      <c r="DT79" s="50" t="n"/>
      <c r="DU79" s="50" t="n"/>
      <c r="DV79" s="50" t="n"/>
      <c r="DW79" s="50" t="n"/>
      <c r="DX79" s="50" t="n"/>
      <c r="DY79" s="50" t="n"/>
      <c r="DZ79" s="50" t="n"/>
      <c r="EA79" s="50" t="n"/>
      <c r="EB79" s="50" t="n"/>
      <c r="EC79" s="50" t="n"/>
      <c r="ED79" s="50" t="n"/>
      <c r="EE79" s="50" t="n"/>
      <c r="EF79" s="50" t="n"/>
      <c r="EG79" s="50" t="n"/>
      <c r="EH79" s="50" t="n"/>
      <c r="EI79" s="50" t="n"/>
      <c r="EJ79" s="50" t="n"/>
    </row>
    <row r="80">
      <c r="A80" s="44" t="inlineStr">
        <is>
          <t xml:space="preserve">Minimum Needed Across All Formulations </t>
        </is>
      </c>
      <c r="B80" s="96" t="n"/>
    </row>
    <row r="81" ht="16" customHeight="1" thickBot="1">
      <c r="A81" s="14" t="inlineStr">
        <is>
          <t>*not accounting for different stock concentrations*</t>
        </is>
      </c>
      <c r="B81" s="96" t="n"/>
    </row>
    <row r="82">
      <c r="A82" s="23" t="inlineStr">
        <is>
          <t>Priming Volume</t>
        </is>
      </c>
      <c r="B82" s="99" t="inlineStr">
        <is>
          <t>ul</t>
        </is>
      </c>
      <c r="C82" s="87" t="n">
        <v>80</v>
      </c>
    </row>
    <row r="83">
      <c r="A83" s="24" t="inlineStr">
        <is>
          <t>Ethanol Backfill Per Well</t>
        </is>
      </c>
      <c r="B83" s="100" t="inlineStr">
        <is>
          <t>ul</t>
        </is>
      </c>
      <c r="C83" s="88" t="n">
        <v>25</v>
      </c>
      <c r="E83" s="13" t="inlineStr">
        <is>
          <t>Note: Set Backfill = 5-10uL for hand formulation, 20-30uL for MANTIS</t>
        </is>
      </c>
    </row>
    <row r="84">
      <c r="A84" s="25" t="inlineStr">
        <is>
          <t>Overage Factor</t>
        </is>
      </c>
      <c r="B84" s="96" t="inlineStr">
        <is>
          <t>ul</t>
        </is>
      </c>
      <c r="C84" s="75" t="n">
        <v>1.2</v>
      </c>
    </row>
    <row r="85" ht="16" customHeight="1" thickBot="1">
      <c r="A85" s="25" t="n"/>
      <c r="B85" s="96" t="n"/>
    </row>
    <row r="86">
      <c r="A86" s="36" t="inlineStr">
        <is>
          <t>Dlin MC3 solution (μL)</t>
        </is>
      </c>
      <c r="B86" s="96" t="inlineStr">
        <is>
          <t>ul</t>
        </is>
      </c>
      <c r="C86" s="75">
        <f>SUM(63:63)*$C$84+$C$82</f>
        <v/>
      </c>
    </row>
    <row r="87">
      <c r="A87" s="38" t="inlineStr">
        <is>
          <t>Helper lipid solution (μL)</t>
        </is>
      </c>
      <c r="B87" s="96" t="inlineStr">
        <is>
          <t>ul</t>
        </is>
      </c>
      <c r="C87" s="75">
        <f>SUM(64:64)*$C$84+$C$82</f>
        <v/>
      </c>
      <c r="D87" s="58" t="n"/>
      <c r="E87" s="1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15" t="n"/>
      <c r="BC87" s="15" t="n"/>
      <c r="BD87" s="15" t="n"/>
      <c r="BE87" s="15" t="n"/>
      <c r="BF87" s="15" t="n"/>
      <c r="BG87" s="15" t="n"/>
      <c r="BH87" s="15" t="n"/>
      <c r="BI87" s="15" t="n"/>
      <c r="BJ87" s="15" t="n"/>
      <c r="BK87" s="15" t="n"/>
      <c r="BL87" s="15" t="n"/>
      <c r="BM87" s="15" t="n"/>
      <c r="BN87" s="15" t="n"/>
      <c r="BO87" s="15" t="n"/>
      <c r="BP87" s="15" t="n"/>
      <c r="BQ87" s="15" t="n"/>
      <c r="BR87" s="15" t="n"/>
      <c r="BS87" s="15" t="n"/>
      <c r="BT87" s="15" t="n"/>
      <c r="BU87" s="15" t="n"/>
      <c r="BV87" s="15" t="n"/>
      <c r="BW87" s="15" t="n"/>
      <c r="BX87" s="15" t="n"/>
      <c r="BY87" s="15" t="n"/>
      <c r="BZ87" s="15" t="n"/>
      <c r="CA87" s="15" t="n"/>
      <c r="CB87" s="15" t="n"/>
      <c r="CC87" s="15" t="n"/>
      <c r="CD87" s="15" t="n"/>
      <c r="CE87" s="15" t="n"/>
      <c r="CF87" s="15" t="n"/>
      <c r="CG87" s="15" t="n"/>
      <c r="CH87" s="15" t="n"/>
      <c r="CI87" s="15" t="n"/>
      <c r="CJ87" s="15" t="n"/>
      <c r="CK87" s="15" t="n"/>
      <c r="CL87" s="15" t="n"/>
      <c r="CM87" s="15" t="n"/>
      <c r="CN87" s="15" t="n"/>
      <c r="CO87" s="15" t="n"/>
      <c r="CP87" s="15" t="n"/>
      <c r="CQ87" s="15" t="n"/>
      <c r="CR87" s="15" t="n"/>
      <c r="CS87" s="15" t="n"/>
      <c r="CT87" s="15" t="n"/>
      <c r="CU87" s="15" t="n"/>
      <c r="CV87" s="15" t="n"/>
      <c r="CW87" s="15" t="n"/>
      <c r="CX87" s="15" t="n"/>
      <c r="CY87" s="15" t="n"/>
      <c r="CZ87" s="15" t="n"/>
      <c r="DA87" s="15" t="n"/>
      <c r="DB87" s="15" t="n"/>
      <c r="DC87" s="15" t="n"/>
      <c r="DD87" s="15" t="n"/>
      <c r="DE87" s="15" t="n"/>
      <c r="DF87" s="15" t="n"/>
      <c r="DG87" s="15" t="n"/>
      <c r="DH87" s="15" t="n"/>
      <c r="DI87" s="15" t="n"/>
      <c r="DJ87" s="15" t="n"/>
      <c r="DK87" s="15" t="n"/>
      <c r="DL87" s="15" t="n"/>
      <c r="DM87" s="15" t="n"/>
      <c r="DN87" s="15" t="n"/>
      <c r="DO87" s="15" t="n"/>
      <c r="DP87" s="15" t="n"/>
      <c r="DQ87" s="15" t="n"/>
      <c r="DR87" s="15" t="n"/>
      <c r="DS87" s="15" t="n"/>
      <c r="DT87" s="15" t="n"/>
      <c r="DU87" s="15" t="n"/>
      <c r="DV87" s="15" t="n"/>
      <c r="DW87" s="15" t="n"/>
      <c r="DX87" s="15" t="n"/>
      <c r="DY87" s="15" t="n"/>
      <c r="DZ87" s="15" t="n"/>
      <c r="EA87" s="15" t="n"/>
      <c r="EB87" s="15" t="n"/>
      <c r="EC87" s="15" t="n"/>
      <c r="ED87" s="15" t="n"/>
      <c r="EE87" s="15" t="n"/>
      <c r="EF87" s="15" t="n"/>
      <c r="EG87" s="15" t="n"/>
      <c r="EH87" s="15" t="n"/>
      <c r="EI87" s="15" t="n"/>
      <c r="EJ87" s="15" t="n"/>
    </row>
    <row r="88">
      <c r="A88" s="38" t="inlineStr">
        <is>
          <t>Cholesterol Solution (μL)</t>
        </is>
      </c>
      <c r="B88" s="96" t="inlineStr">
        <is>
          <t>ul</t>
        </is>
      </c>
      <c r="C88" s="75">
        <f>SUM(65:65)*$C$84+$C$82</f>
        <v/>
      </c>
      <c r="D88" s="58" t="n"/>
      <c r="E88" s="1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15" t="n"/>
      <c r="BC88" s="15" t="n"/>
      <c r="BD88" s="15" t="n"/>
      <c r="BE88" s="15" t="n"/>
      <c r="BF88" s="15" t="n"/>
      <c r="BG88" s="15" t="n"/>
      <c r="BH88" s="15" t="n"/>
      <c r="BI88" s="15" t="n"/>
      <c r="BJ88" s="15" t="n"/>
      <c r="BK88" s="15" t="n"/>
      <c r="BL88" s="15" t="n"/>
      <c r="BM88" s="15" t="n"/>
      <c r="BN88" s="15" t="n"/>
      <c r="BO88" s="15" t="n"/>
      <c r="BP88" s="15" t="n"/>
      <c r="BQ88" s="15" t="n"/>
      <c r="BR88" s="15" t="n"/>
      <c r="BS88" s="15" t="n"/>
      <c r="BT88" s="15" t="n"/>
      <c r="BU88" s="15" t="n"/>
      <c r="BV88" s="15" t="n"/>
      <c r="BW88" s="15" t="n"/>
      <c r="BX88" s="15" t="n"/>
      <c r="BY88" s="15" t="n"/>
      <c r="BZ88" s="15" t="n"/>
      <c r="CA88" s="15" t="n"/>
      <c r="CB88" s="15" t="n"/>
      <c r="CC88" s="15" t="n"/>
      <c r="CD88" s="15" t="n"/>
      <c r="CE88" s="15" t="n"/>
      <c r="CF88" s="15" t="n"/>
      <c r="CG88" s="15" t="n"/>
      <c r="CH88" s="15" t="n"/>
      <c r="CI88" s="15" t="n"/>
      <c r="CJ88" s="15" t="n"/>
      <c r="CK88" s="15" t="n"/>
      <c r="CL88" s="15" t="n"/>
      <c r="CM88" s="15" t="n"/>
      <c r="CN88" s="15" t="n"/>
      <c r="CO88" s="15" t="n"/>
      <c r="CP88" s="15" t="n"/>
      <c r="CQ88" s="15" t="n"/>
      <c r="CR88" s="15" t="n"/>
      <c r="CS88" s="15" t="n"/>
      <c r="CT88" s="15" t="n"/>
      <c r="CU88" s="15" t="n"/>
      <c r="CV88" s="15" t="n"/>
      <c r="CW88" s="15" t="n"/>
      <c r="CX88" s="15" t="n"/>
      <c r="CY88" s="15" t="n"/>
      <c r="CZ88" s="15" t="n"/>
      <c r="DA88" s="15" t="n"/>
      <c r="DB88" s="15" t="n"/>
      <c r="DC88" s="15" t="n"/>
      <c r="DD88" s="15" t="n"/>
      <c r="DE88" s="15" t="n"/>
      <c r="DF88" s="15" t="n"/>
      <c r="DG88" s="15" t="n"/>
      <c r="DH88" s="15" t="n"/>
      <c r="DI88" s="15" t="n"/>
      <c r="DJ88" s="15" t="n"/>
      <c r="DK88" s="15" t="n"/>
      <c r="DL88" s="15" t="n"/>
      <c r="DM88" s="15" t="n"/>
      <c r="DN88" s="15" t="n"/>
      <c r="DO88" s="15" t="n"/>
      <c r="DP88" s="15" t="n"/>
      <c r="DQ88" s="15" t="n"/>
      <c r="DR88" s="15" t="n"/>
      <c r="DS88" s="15" t="n"/>
      <c r="DT88" s="15" t="n"/>
      <c r="DU88" s="15" t="n"/>
      <c r="DV88" s="15" t="n"/>
      <c r="DW88" s="15" t="n"/>
      <c r="DX88" s="15" t="n"/>
      <c r="DY88" s="15" t="n"/>
      <c r="DZ88" s="15" t="n"/>
      <c r="EA88" s="15" t="n"/>
      <c r="EB88" s="15" t="n"/>
      <c r="EC88" s="15" t="n"/>
      <c r="ED88" s="15" t="n"/>
      <c r="EE88" s="15" t="n"/>
      <c r="EF88" s="15" t="n"/>
      <c r="EG88" s="15" t="n"/>
      <c r="EH88" s="15" t="n"/>
      <c r="EI88" s="15" t="n"/>
      <c r="EJ88" s="15" t="n"/>
    </row>
    <row r="89">
      <c r="A89" s="38" t="inlineStr">
        <is>
          <t>DMG-PEG solution (μL)</t>
        </is>
      </c>
      <c r="B89" s="96" t="inlineStr">
        <is>
          <t>ul</t>
        </is>
      </c>
      <c r="C89" s="75">
        <f>SUM(66:66)*$C$84+$C$82</f>
        <v/>
      </c>
      <c r="D89" s="69" t="n"/>
      <c r="E89" s="53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  <c r="BP89" s="52" t="n"/>
      <c r="BQ89" s="52" t="n"/>
      <c r="BR89" s="52" t="n"/>
      <c r="BS89" s="52" t="n"/>
      <c r="BT89" s="52" t="n"/>
      <c r="BU89" s="52" t="n"/>
      <c r="BV89" s="52" t="n"/>
      <c r="BW89" s="52" t="n"/>
      <c r="BX89" s="52" t="n"/>
      <c r="BY89" s="52" t="n"/>
      <c r="BZ89" s="52" t="n"/>
      <c r="CA89" s="52" t="n"/>
      <c r="CB89" s="52" t="n"/>
      <c r="CC89" s="52" t="n"/>
      <c r="CD89" s="52" t="n"/>
      <c r="CE89" s="52" t="n"/>
      <c r="CF89" s="52" t="n"/>
      <c r="CG89" s="52" t="n"/>
      <c r="CH89" s="52" t="n"/>
      <c r="CI89" s="52" t="n"/>
      <c r="CJ89" s="52" t="n"/>
      <c r="CK89" s="52" t="n"/>
      <c r="CL89" s="52" t="n"/>
      <c r="CM89" s="52" t="n"/>
      <c r="CN89" s="52" t="n"/>
      <c r="CO89" s="52" t="n"/>
      <c r="CP89" s="52" t="n"/>
      <c r="CQ89" s="52" t="n"/>
      <c r="CR89" s="52" t="n"/>
      <c r="CS89" s="52" t="n"/>
      <c r="CT89" s="52" t="n"/>
      <c r="CU89" s="52" t="n"/>
      <c r="CV89" s="52" t="n"/>
      <c r="CW89" s="52" t="n"/>
      <c r="CX89" s="52" t="n"/>
      <c r="CY89" s="52" t="n"/>
      <c r="CZ89" s="52" t="n"/>
      <c r="DA89" s="52" t="n"/>
      <c r="DB89" s="52" t="n"/>
      <c r="DC89" s="52" t="n"/>
      <c r="DD89" s="52" t="n"/>
      <c r="DE89" s="52" t="n"/>
      <c r="DF89" s="52" t="n"/>
      <c r="DG89" s="52" t="n"/>
      <c r="DH89" s="52" t="n"/>
      <c r="DI89" s="52" t="n"/>
      <c r="DJ89" s="52" t="n"/>
      <c r="DK89" s="52" t="n"/>
      <c r="DL89" s="52" t="n"/>
      <c r="DM89" s="52" t="n"/>
      <c r="DN89" s="52" t="n"/>
      <c r="DO89" s="52" t="n"/>
      <c r="DP89" s="52" t="n"/>
      <c r="DQ89" s="52" t="n"/>
      <c r="DR89" s="52" t="n"/>
      <c r="DS89" s="52" t="n"/>
      <c r="DT89" s="52" t="n"/>
      <c r="DU89" s="52" t="n"/>
      <c r="DV89" s="52" t="n"/>
      <c r="DW89" s="52" t="n"/>
      <c r="DX89" s="52" t="n"/>
      <c r="DY89" s="52" t="n"/>
      <c r="DZ89" s="52" t="n"/>
      <c r="EA89" s="52" t="n"/>
      <c r="EB89" s="52" t="n"/>
      <c r="EC89" s="52" t="n"/>
      <c r="ED89" s="52" t="n"/>
      <c r="EE89" s="52" t="n"/>
      <c r="EF89" s="52" t="n"/>
      <c r="EG89" s="52" t="n"/>
      <c r="EH89" s="52" t="n"/>
      <c r="EI89" s="52" t="n"/>
      <c r="EJ89" s="52" t="n"/>
    </row>
    <row r="90" ht="16" customHeight="1" thickBot="1">
      <c r="A90" s="40" t="inlineStr">
        <is>
          <t>Needed Ethonal Volume (μL)</t>
        </is>
      </c>
      <c r="B90" s="96" t="inlineStr">
        <is>
          <t>ul</t>
        </is>
      </c>
      <c r="C90" s="75">
        <f>(SUM(67:67)+COUNT(3:3)*C83)*$C$84+$C$82</f>
        <v/>
      </c>
      <c r="D90" s="69" t="n"/>
      <c r="E90" s="53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  <c r="BP90" s="52" t="n"/>
      <c r="BQ90" s="52" t="n"/>
      <c r="BR90" s="52" t="n"/>
      <c r="BS90" s="52" t="n"/>
      <c r="BT90" s="52" t="n"/>
      <c r="BU90" s="52" t="n"/>
      <c r="BV90" s="52" t="n"/>
      <c r="BW90" s="52" t="n"/>
      <c r="BX90" s="52" t="n"/>
      <c r="BY90" s="52" t="n"/>
      <c r="BZ90" s="52" t="n"/>
      <c r="CA90" s="52" t="n"/>
      <c r="CB90" s="52" t="n"/>
      <c r="CC90" s="52" t="n"/>
      <c r="CD90" s="52" t="n"/>
      <c r="CE90" s="52" t="n"/>
      <c r="CF90" s="52" t="n"/>
      <c r="CG90" s="52" t="n"/>
      <c r="CH90" s="52" t="n"/>
      <c r="CI90" s="52" t="n"/>
      <c r="CJ90" s="52" t="n"/>
      <c r="CK90" s="52" t="n"/>
      <c r="CL90" s="52" t="n"/>
      <c r="CM90" s="52" t="n"/>
      <c r="CN90" s="52" t="n"/>
      <c r="CO90" s="52" t="n"/>
      <c r="CP90" s="52" t="n"/>
      <c r="CQ90" s="52" t="n"/>
      <c r="CR90" s="52" t="n"/>
      <c r="CS90" s="52" t="n"/>
      <c r="CT90" s="52" t="n"/>
      <c r="CU90" s="52" t="n"/>
      <c r="CV90" s="52" t="n"/>
      <c r="CW90" s="52" t="n"/>
      <c r="CX90" s="52" t="n"/>
      <c r="CY90" s="52" t="n"/>
      <c r="CZ90" s="52" t="n"/>
      <c r="DA90" s="52" t="n"/>
      <c r="DB90" s="52" t="n"/>
      <c r="DC90" s="52" t="n"/>
      <c r="DD90" s="52" t="n"/>
      <c r="DE90" s="52" t="n"/>
      <c r="DF90" s="52" t="n"/>
      <c r="DG90" s="52" t="n"/>
      <c r="DH90" s="52" t="n"/>
      <c r="DI90" s="52" t="n"/>
      <c r="DJ90" s="52" t="n"/>
      <c r="DK90" s="52" t="n"/>
      <c r="DL90" s="52" t="n"/>
      <c r="DM90" s="52" t="n"/>
      <c r="DN90" s="52" t="n"/>
      <c r="DO90" s="52" t="n"/>
      <c r="DP90" s="52" t="n"/>
      <c r="DQ90" s="52" t="n"/>
      <c r="DR90" s="52" t="n"/>
      <c r="DS90" s="52" t="n"/>
      <c r="DT90" s="52" t="n"/>
      <c r="DU90" s="52" t="n"/>
      <c r="DV90" s="52" t="n"/>
      <c r="DW90" s="52" t="n"/>
      <c r="DX90" s="52" t="n"/>
      <c r="DY90" s="52" t="n"/>
      <c r="DZ90" s="52" t="n"/>
      <c r="EA90" s="52" t="n"/>
      <c r="EB90" s="52" t="n"/>
      <c r="EC90" s="52" t="n"/>
      <c r="ED90" s="52" t="n"/>
      <c r="EE90" s="52" t="n"/>
      <c r="EF90" s="52" t="n"/>
      <c r="EG90" s="52" t="n"/>
      <c r="EH90" s="52" t="n"/>
      <c r="EI90" s="52" t="n"/>
      <c r="EJ90" s="52" t="n"/>
    </row>
    <row r="91" ht="16" customHeight="1" thickBot="1">
      <c r="A91" s="1" t="n"/>
      <c r="C91" s="78" t="n"/>
      <c r="D91" s="58" t="n"/>
      <c r="E91" s="1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5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5" t="n"/>
      <c r="BF91" s="15" t="n"/>
      <c r="BG91" s="15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5" t="n"/>
      <c r="BQ91" s="15" t="n"/>
      <c r="BR91" s="15" t="n"/>
      <c r="BS91" s="15" t="n"/>
      <c r="BT91" s="15" t="n"/>
      <c r="BU91" s="15" t="n"/>
      <c r="BV91" s="15" t="n"/>
      <c r="BW91" s="15" t="n"/>
      <c r="BX91" s="15" t="n"/>
      <c r="BY91" s="15" t="n"/>
      <c r="BZ91" s="15" t="n"/>
      <c r="CA91" s="15" t="n"/>
      <c r="CB91" s="15" t="n"/>
      <c r="CC91" s="15" t="n"/>
      <c r="CD91" s="15" t="n"/>
      <c r="CE91" s="15" t="n"/>
      <c r="CF91" s="15" t="n"/>
      <c r="CG91" s="15" t="n"/>
      <c r="CH91" s="15" t="n"/>
      <c r="CI91" s="15" t="n"/>
      <c r="CJ91" s="15" t="n"/>
      <c r="CK91" s="15" t="n"/>
      <c r="CL91" s="15" t="n"/>
      <c r="CM91" s="15" t="n"/>
      <c r="CN91" s="15" t="n"/>
      <c r="CO91" s="15" t="n"/>
      <c r="CP91" s="15" t="n"/>
      <c r="CQ91" s="15" t="n"/>
      <c r="CR91" s="15" t="n"/>
      <c r="CS91" s="15" t="n"/>
      <c r="CT91" s="15" t="n"/>
      <c r="CU91" s="15" t="n"/>
      <c r="CV91" s="15" t="n"/>
      <c r="CW91" s="15" t="n"/>
      <c r="CX91" s="15" t="n"/>
      <c r="CY91" s="15" t="n"/>
      <c r="CZ91" s="15" t="n"/>
      <c r="DA91" s="15" t="n"/>
      <c r="DB91" s="15" t="n"/>
      <c r="DC91" s="15" t="n"/>
      <c r="DD91" s="15" t="n"/>
      <c r="DE91" s="15" t="n"/>
      <c r="DF91" s="15" t="n"/>
      <c r="DG91" s="15" t="n"/>
      <c r="DH91" s="15" t="n"/>
      <c r="DI91" s="15" t="n"/>
      <c r="DJ91" s="15" t="n"/>
      <c r="DK91" s="15" t="n"/>
      <c r="DL91" s="15" t="n"/>
      <c r="DM91" s="15" t="n"/>
      <c r="DN91" s="15" t="n"/>
      <c r="DO91" s="15" t="n"/>
      <c r="DP91" s="15" t="n"/>
      <c r="DQ91" s="15" t="n"/>
      <c r="DR91" s="15" t="n"/>
      <c r="DS91" s="15" t="n"/>
      <c r="DT91" s="15" t="n"/>
      <c r="DU91" s="15" t="n"/>
      <c r="DV91" s="15" t="n"/>
      <c r="DW91" s="15" t="n"/>
      <c r="DX91" s="15" t="n"/>
      <c r="DY91" s="15" t="n"/>
      <c r="DZ91" s="15" t="n"/>
      <c r="EA91" s="15" t="n"/>
      <c r="EB91" s="15" t="n"/>
      <c r="EC91" s="15" t="n"/>
      <c r="ED91" s="15" t="n"/>
      <c r="EE91" s="15" t="n"/>
      <c r="EF91" s="15" t="n"/>
      <c r="EG91" s="15" t="n"/>
      <c r="EH91" s="15" t="n"/>
      <c r="EI91" s="15" t="n"/>
      <c r="EJ91" s="15" t="n"/>
    </row>
    <row r="92">
      <c r="A92" s="73" t="inlineStr">
        <is>
          <t>Nucleic Acid Stock Solution (μL)</t>
        </is>
      </c>
      <c r="B92" s="97" t="inlineStr">
        <is>
          <t>ul</t>
        </is>
      </c>
      <c r="C92" s="75">
        <f>SUM(73:73)*C84</f>
        <v/>
      </c>
      <c r="D92" s="58" t="n"/>
      <c r="E92" s="1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5" t="n"/>
      <c r="BF92" s="15" t="n"/>
      <c r="BG92" s="15" t="n"/>
      <c r="BH92" s="15" t="n"/>
      <c r="BI92" s="15" t="n"/>
      <c r="BJ92" s="15" t="n"/>
      <c r="BK92" s="15" t="n"/>
      <c r="BL92" s="15" t="n"/>
      <c r="BM92" s="15" t="n"/>
      <c r="BN92" s="15" t="n"/>
      <c r="BO92" s="15" t="n"/>
      <c r="BP92" s="15" t="n"/>
      <c r="BQ92" s="15" t="n"/>
      <c r="BR92" s="15" t="n"/>
      <c r="BS92" s="15" t="n"/>
      <c r="BT92" s="15" t="n"/>
      <c r="BU92" s="15" t="n"/>
      <c r="BV92" s="15" t="n"/>
      <c r="BW92" s="15" t="n"/>
      <c r="BX92" s="15" t="n"/>
      <c r="BY92" s="15" t="n"/>
      <c r="BZ92" s="15" t="n"/>
      <c r="CA92" s="15" t="n"/>
      <c r="CB92" s="15" t="n"/>
      <c r="CC92" s="15" t="n"/>
      <c r="CD92" s="15" t="n"/>
      <c r="CE92" s="15" t="n"/>
      <c r="CF92" s="15" t="n"/>
      <c r="CG92" s="15" t="n"/>
      <c r="CH92" s="15" t="n"/>
      <c r="CI92" s="15" t="n"/>
      <c r="CJ92" s="15" t="n"/>
      <c r="CK92" s="15" t="n"/>
      <c r="CL92" s="15" t="n"/>
      <c r="CM92" s="15" t="n"/>
      <c r="CN92" s="15" t="n"/>
      <c r="CO92" s="15" t="n"/>
      <c r="CP92" s="15" t="n"/>
      <c r="CQ92" s="15" t="n"/>
      <c r="CR92" s="15" t="n"/>
      <c r="CS92" s="15" t="n"/>
      <c r="CT92" s="15" t="n"/>
      <c r="CU92" s="15" t="n"/>
      <c r="CV92" s="15" t="n"/>
      <c r="CW92" s="15" t="n"/>
      <c r="CX92" s="15" t="n"/>
      <c r="CY92" s="15" t="n"/>
      <c r="CZ92" s="15" t="n"/>
      <c r="DA92" s="15" t="n"/>
      <c r="DB92" s="15" t="n"/>
      <c r="DC92" s="15" t="n"/>
      <c r="DD92" s="15" t="n"/>
      <c r="DE92" s="15" t="n"/>
      <c r="DF92" s="15" t="n"/>
      <c r="DG92" s="15" t="n"/>
      <c r="DH92" s="15" t="n"/>
      <c r="DI92" s="15" t="n"/>
      <c r="DJ92" s="15" t="n"/>
      <c r="DK92" s="15" t="n"/>
      <c r="DL92" s="15" t="n"/>
      <c r="DM92" s="15" t="n"/>
      <c r="DN92" s="15" t="n"/>
      <c r="DO92" s="15" t="n"/>
      <c r="DP92" s="15" t="n"/>
      <c r="DQ92" s="15" t="n"/>
      <c r="DR92" s="15" t="n"/>
      <c r="DS92" s="15" t="n"/>
      <c r="DT92" s="15" t="n"/>
      <c r="DU92" s="15" t="n"/>
      <c r="DV92" s="15" t="n"/>
      <c r="DW92" s="15" t="n"/>
      <c r="DX92" s="15" t="n"/>
      <c r="DY92" s="15" t="n"/>
      <c r="DZ92" s="15" t="n"/>
      <c r="EA92" s="15" t="n"/>
      <c r="EB92" s="15" t="n"/>
      <c r="EC92" s="15" t="n"/>
      <c r="ED92" s="15" t="n"/>
      <c r="EE92" s="15" t="n"/>
      <c r="EF92" s="15" t="n"/>
      <c r="EG92" s="15" t="n"/>
      <c r="EH92" s="15" t="n"/>
      <c r="EI92" s="15" t="n"/>
      <c r="EJ92" s="15" t="n"/>
    </row>
    <row r="93" ht="16" customHeight="1" thickBot="1">
      <c r="A93" s="46" t="inlineStr">
        <is>
          <t>Water (mL)</t>
        </is>
      </c>
      <c r="B93" s="45" t="inlineStr">
        <is>
          <t>ml</t>
        </is>
      </c>
      <c r="C93" s="89">
        <f>SUM(74:74)*C84/1000</f>
        <v/>
      </c>
      <c r="D93" s="58" t="n"/>
      <c r="E93" s="1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n"/>
      <c r="BL93" s="15" t="n"/>
      <c r="BM93" s="15" t="n"/>
      <c r="BN93" s="15" t="n"/>
      <c r="BO93" s="15" t="n"/>
      <c r="BP93" s="15" t="n"/>
      <c r="BQ93" s="15" t="n"/>
      <c r="BR93" s="15" t="n"/>
      <c r="BS93" s="15" t="n"/>
      <c r="BT93" s="15" t="n"/>
      <c r="BU93" s="15" t="n"/>
      <c r="BV93" s="15" t="n"/>
      <c r="BW93" s="15" t="n"/>
      <c r="BX93" s="15" t="n"/>
      <c r="BY93" s="15" t="n"/>
      <c r="BZ93" s="15" t="n"/>
      <c r="CA93" s="15" t="n"/>
      <c r="CB93" s="15" t="n"/>
      <c r="CC93" s="15" t="n"/>
      <c r="CD93" s="15" t="n"/>
      <c r="CE93" s="15" t="n"/>
      <c r="CF93" s="15" t="n"/>
      <c r="CG93" s="15" t="n"/>
      <c r="CH93" s="15" t="n"/>
      <c r="CI93" s="15" t="n"/>
      <c r="CJ93" s="15" t="n"/>
      <c r="CK93" s="15" t="n"/>
      <c r="CL93" s="15" t="n"/>
      <c r="CM93" s="15" t="n"/>
      <c r="CN93" s="15" t="n"/>
      <c r="CO93" s="15" t="n"/>
      <c r="CP93" s="15" t="n"/>
      <c r="CQ93" s="15" t="n"/>
      <c r="CR93" s="15" t="n"/>
      <c r="CS93" s="15" t="n"/>
      <c r="CT93" s="15" t="n"/>
      <c r="CU93" s="15" t="n"/>
      <c r="CV93" s="15" t="n"/>
      <c r="CW93" s="15" t="n"/>
      <c r="CX93" s="15" t="n"/>
      <c r="CY93" s="15" t="n"/>
      <c r="CZ93" s="15" t="n"/>
      <c r="DA93" s="15" t="n"/>
      <c r="DB93" s="15" t="n"/>
      <c r="DC93" s="15" t="n"/>
      <c r="DD93" s="15" t="n"/>
      <c r="DE93" s="15" t="n"/>
      <c r="DF93" s="15" t="n"/>
      <c r="DG93" s="15" t="n"/>
      <c r="DH93" s="15" t="n"/>
      <c r="DI93" s="15" t="n"/>
      <c r="DJ93" s="15" t="n"/>
      <c r="DK93" s="15" t="n"/>
      <c r="DL93" s="15" t="n"/>
      <c r="DM93" s="15" t="n"/>
      <c r="DN93" s="15" t="n"/>
      <c r="DO93" s="15" t="n"/>
      <c r="DP93" s="15" t="n"/>
      <c r="DQ93" s="15" t="n"/>
      <c r="DR93" s="15" t="n"/>
      <c r="DS93" s="15" t="n"/>
      <c r="DT93" s="15" t="n"/>
      <c r="DU93" s="15" t="n"/>
      <c r="DV93" s="15" t="n"/>
      <c r="DW93" s="15" t="n"/>
      <c r="DX93" s="15" t="n"/>
      <c r="DY93" s="15" t="n"/>
      <c r="DZ93" s="15" t="n"/>
      <c r="EA93" s="15" t="n"/>
      <c r="EB93" s="15" t="n"/>
      <c r="EC93" s="15" t="n"/>
      <c r="ED93" s="15" t="n"/>
      <c r="EE93" s="15" t="n"/>
      <c r="EF93" s="15" t="n"/>
      <c r="EG93" s="15" t="n"/>
      <c r="EH93" s="15" t="n"/>
      <c r="EI93" s="15" t="n"/>
      <c r="EJ93" s="15" t="n"/>
    </row>
    <row r="94">
      <c r="A94" s="26" t="n"/>
      <c r="B94" s="92" t="n"/>
      <c r="C94" s="78" t="n"/>
      <c r="D94" s="58" t="n"/>
      <c r="E94" s="1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  <c r="AX94" s="15" t="n"/>
      <c r="AY94" s="15" t="n"/>
      <c r="AZ94" s="15" t="n"/>
      <c r="BA94" s="15" t="n"/>
      <c r="BB94" s="15" t="n"/>
      <c r="BC94" s="15" t="n"/>
      <c r="BD94" s="15" t="n"/>
      <c r="BE94" s="15" t="n"/>
      <c r="BF94" s="15" t="n"/>
      <c r="BG94" s="15" t="n"/>
      <c r="BH94" s="15" t="n"/>
      <c r="BI94" s="15" t="n"/>
      <c r="BJ94" s="15" t="n"/>
      <c r="BK94" s="15" t="n"/>
      <c r="BL94" s="15" t="n"/>
      <c r="BM94" s="15" t="n"/>
      <c r="BN94" s="15" t="n"/>
      <c r="BO94" s="15" t="n"/>
      <c r="BP94" s="15" t="n"/>
      <c r="BQ94" s="15" t="n"/>
      <c r="BR94" s="15" t="n"/>
      <c r="BS94" s="15" t="n"/>
      <c r="BT94" s="15" t="n"/>
      <c r="BU94" s="15" t="n"/>
      <c r="BV94" s="15" t="n"/>
      <c r="BW94" s="15" t="n"/>
      <c r="BX94" s="15" t="n"/>
      <c r="BY94" s="15" t="n"/>
      <c r="BZ94" s="15" t="n"/>
      <c r="CA94" s="15" t="n"/>
      <c r="CB94" s="15" t="n"/>
      <c r="CC94" s="15" t="n"/>
      <c r="CD94" s="15" t="n"/>
      <c r="CE94" s="15" t="n"/>
      <c r="CF94" s="15" t="n"/>
      <c r="CG94" s="15" t="n"/>
      <c r="CH94" s="15" t="n"/>
      <c r="CI94" s="15" t="n"/>
      <c r="CJ94" s="15" t="n"/>
      <c r="CK94" s="15" t="n"/>
      <c r="CL94" s="15" t="n"/>
      <c r="CM94" s="15" t="n"/>
      <c r="CN94" s="15" t="n"/>
      <c r="CO94" s="15" t="n"/>
      <c r="CP94" s="15" t="n"/>
      <c r="CQ94" s="15" t="n"/>
      <c r="CR94" s="15" t="n"/>
      <c r="CS94" s="15" t="n"/>
      <c r="CT94" s="15" t="n"/>
      <c r="CU94" s="15" t="n"/>
      <c r="CV94" s="15" t="n"/>
      <c r="CW94" s="15" t="n"/>
      <c r="CX94" s="15" t="n"/>
      <c r="CY94" s="15" t="n"/>
      <c r="CZ94" s="15" t="n"/>
      <c r="DA94" s="15" t="n"/>
      <c r="DB94" s="15" t="n"/>
      <c r="DC94" s="15" t="n"/>
      <c r="DD94" s="15" t="n"/>
      <c r="DE94" s="15" t="n"/>
      <c r="DF94" s="15" t="n"/>
      <c r="DG94" s="15" t="n"/>
      <c r="DH94" s="15" t="n"/>
      <c r="DI94" s="15" t="n"/>
      <c r="DJ94" s="15" t="n"/>
      <c r="DK94" s="15" t="n"/>
      <c r="DL94" s="15" t="n"/>
      <c r="DM94" s="15" t="n"/>
      <c r="DN94" s="15" t="n"/>
      <c r="DO94" s="15" t="n"/>
      <c r="DP94" s="15" t="n"/>
      <c r="DQ94" s="15" t="n"/>
      <c r="DR94" s="15" t="n"/>
      <c r="DS94" s="15" t="n"/>
      <c r="DT94" s="15" t="n"/>
      <c r="DU94" s="15" t="n"/>
      <c r="DV94" s="15" t="n"/>
      <c r="DW94" s="15" t="n"/>
      <c r="DX94" s="15" t="n"/>
      <c r="DY94" s="15" t="n"/>
      <c r="DZ94" s="15" t="n"/>
      <c r="EA94" s="15" t="n"/>
      <c r="EB94" s="15" t="n"/>
      <c r="EC94" s="15" t="n"/>
      <c r="ED94" s="15" t="n"/>
      <c r="EE94" s="15" t="n"/>
      <c r="EF94" s="15" t="n"/>
      <c r="EG94" s="15" t="n"/>
      <c r="EH94" s="15" t="n"/>
      <c r="EI94" s="15" t="n"/>
      <c r="EJ94" s="15" t="n"/>
    </row>
    <row r="95">
      <c r="B95" s="92" t="n"/>
      <c r="C95" s="78" t="n"/>
      <c r="D95" s="58" t="n"/>
      <c r="E95" s="1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  <c r="AX95" s="15" t="n"/>
      <c r="AY95" s="15" t="n"/>
      <c r="AZ95" s="15" t="n"/>
      <c r="BA95" s="15" t="n"/>
      <c r="BB95" s="15" t="n"/>
      <c r="BC95" s="15" t="n"/>
      <c r="BD95" s="15" t="n"/>
      <c r="BE95" s="15" t="n"/>
      <c r="BF95" s="15" t="n"/>
      <c r="BG95" s="15" t="n"/>
      <c r="BH95" s="15" t="n"/>
      <c r="BI95" s="15" t="n"/>
      <c r="BJ95" s="15" t="n"/>
      <c r="BK95" s="15" t="n"/>
      <c r="BL95" s="15" t="n"/>
      <c r="BM95" s="15" t="n"/>
      <c r="BN95" s="15" t="n"/>
      <c r="BO95" s="15" t="n"/>
      <c r="BP95" s="15" t="n"/>
      <c r="BQ95" s="15" t="n"/>
      <c r="BR95" s="15" t="n"/>
      <c r="BS95" s="15" t="n"/>
      <c r="BT95" s="15" t="n"/>
      <c r="BU95" s="15" t="n"/>
      <c r="BV95" s="15" t="n"/>
      <c r="BW95" s="15" t="n"/>
      <c r="BX95" s="15" t="n"/>
      <c r="BY95" s="15" t="n"/>
      <c r="BZ95" s="15" t="n"/>
      <c r="CA95" s="15" t="n"/>
      <c r="CB95" s="15" t="n"/>
      <c r="CC95" s="15" t="n"/>
      <c r="CD95" s="15" t="n"/>
      <c r="CE95" s="15" t="n"/>
      <c r="CF95" s="15" t="n"/>
      <c r="CG95" s="15" t="n"/>
      <c r="CH95" s="15" t="n"/>
      <c r="CI95" s="15" t="n"/>
      <c r="CJ95" s="15" t="n"/>
      <c r="CK95" s="15" t="n"/>
      <c r="CL95" s="15" t="n"/>
      <c r="CM95" s="15" t="n"/>
      <c r="CN95" s="15" t="n"/>
      <c r="CO95" s="15" t="n"/>
      <c r="CP95" s="15" t="n"/>
      <c r="CQ95" s="15" t="n"/>
      <c r="CR95" s="15" t="n"/>
      <c r="CS95" s="15" t="n"/>
      <c r="CT95" s="15" t="n"/>
      <c r="CU95" s="15" t="n"/>
      <c r="CV95" s="15" t="n"/>
      <c r="CW95" s="15" t="n"/>
      <c r="CX95" s="15" t="n"/>
      <c r="CY95" s="15" t="n"/>
      <c r="CZ95" s="15" t="n"/>
      <c r="DA95" s="15" t="n"/>
      <c r="DB95" s="15" t="n"/>
      <c r="DC95" s="15" t="n"/>
      <c r="DD95" s="15" t="n"/>
      <c r="DE95" s="15" t="n"/>
      <c r="DF95" s="15" t="n"/>
      <c r="DG95" s="15" t="n"/>
      <c r="DH95" s="15" t="n"/>
      <c r="DI95" s="15" t="n"/>
      <c r="DJ95" s="15" t="n"/>
      <c r="DK95" s="15" t="n"/>
      <c r="DL95" s="15" t="n"/>
      <c r="DM95" s="15" t="n"/>
      <c r="DN95" s="15" t="n"/>
      <c r="DO95" s="15" t="n"/>
      <c r="DP95" s="15" t="n"/>
      <c r="DQ95" s="15" t="n"/>
      <c r="DR95" s="15" t="n"/>
      <c r="DS95" s="15" t="n"/>
      <c r="DT95" s="15" t="n"/>
      <c r="DU95" s="15" t="n"/>
      <c r="DV95" s="15" t="n"/>
      <c r="DW95" s="15" t="n"/>
      <c r="DX95" s="15" t="n"/>
      <c r="DY95" s="15" t="n"/>
      <c r="DZ95" s="15" t="n"/>
      <c r="EA95" s="15" t="n"/>
      <c r="EB95" s="15" t="n"/>
      <c r="EC95" s="15" t="n"/>
      <c r="ED95" s="15" t="n"/>
      <c r="EE95" s="15" t="n"/>
      <c r="EF95" s="15" t="n"/>
      <c r="EG95" s="15" t="n"/>
      <c r="EH95" s="15" t="n"/>
      <c r="EI95" s="15" t="n"/>
      <c r="EJ95" s="15" t="n"/>
    </row>
    <row r="96">
      <c r="A96" s="26" t="n"/>
      <c r="C96" s="78" t="n"/>
      <c r="D96" s="58" t="n"/>
      <c r="E96" s="1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15" t="n"/>
      <c r="BC96" s="15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M96" s="15" t="n"/>
      <c r="BN96" s="15" t="n"/>
      <c r="BO96" s="15" t="n"/>
      <c r="BP96" s="15" t="n"/>
      <c r="BQ96" s="15" t="n"/>
      <c r="BR96" s="15" t="n"/>
      <c r="BS96" s="15" t="n"/>
      <c r="BT96" s="15" t="n"/>
      <c r="BU96" s="15" t="n"/>
      <c r="BV96" s="15" t="n"/>
      <c r="BW96" s="15" t="n"/>
      <c r="BX96" s="15" t="n"/>
      <c r="BY96" s="15" t="n"/>
      <c r="BZ96" s="15" t="n"/>
      <c r="CA96" s="15" t="n"/>
      <c r="CB96" s="15" t="n"/>
      <c r="CC96" s="15" t="n"/>
      <c r="CD96" s="15" t="n"/>
      <c r="CE96" s="15" t="n"/>
      <c r="CF96" s="15" t="n"/>
      <c r="CG96" s="15" t="n"/>
      <c r="CH96" s="15" t="n"/>
      <c r="CI96" s="15" t="n"/>
      <c r="CJ96" s="15" t="n"/>
      <c r="CK96" s="15" t="n"/>
      <c r="CL96" s="15" t="n"/>
      <c r="CM96" s="15" t="n"/>
      <c r="CN96" s="15" t="n"/>
      <c r="CO96" s="15" t="n"/>
      <c r="CP96" s="15" t="n"/>
      <c r="CQ96" s="15" t="n"/>
      <c r="CR96" s="15" t="n"/>
      <c r="CS96" s="15" t="n"/>
      <c r="CT96" s="15" t="n"/>
      <c r="CU96" s="15" t="n"/>
      <c r="CV96" s="15" t="n"/>
      <c r="CW96" s="15" t="n"/>
      <c r="CX96" s="15" t="n"/>
      <c r="CY96" s="15" t="n"/>
      <c r="CZ96" s="15" t="n"/>
      <c r="DA96" s="15" t="n"/>
      <c r="DB96" s="15" t="n"/>
      <c r="DC96" s="15" t="n"/>
      <c r="DD96" s="15" t="n"/>
      <c r="DE96" s="15" t="n"/>
      <c r="DF96" s="15" t="n"/>
      <c r="DG96" s="15" t="n"/>
      <c r="DH96" s="15" t="n"/>
      <c r="DI96" s="15" t="n"/>
      <c r="DJ96" s="15" t="n"/>
      <c r="DK96" s="15" t="n"/>
      <c r="DL96" s="15" t="n"/>
      <c r="DM96" s="15" t="n"/>
      <c r="DN96" s="15" t="n"/>
      <c r="DO96" s="15" t="n"/>
      <c r="DP96" s="15" t="n"/>
      <c r="DQ96" s="15" t="n"/>
      <c r="DR96" s="15" t="n"/>
      <c r="DS96" s="15" t="n"/>
      <c r="DT96" s="15" t="n"/>
      <c r="DU96" s="15" t="n"/>
      <c r="DV96" s="15" t="n"/>
      <c r="DW96" s="15" t="n"/>
      <c r="DX96" s="15" t="n"/>
      <c r="DY96" s="15" t="n"/>
      <c r="DZ96" s="15" t="n"/>
      <c r="EA96" s="15" t="n"/>
      <c r="EB96" s="15" t="n"/>
      <c r="EC96" s="15" t="n"/>
      <c r="ED96" s="15" t="n"/>
      <c r="EE96" s="15" t="n"/>
      <c r="EF96" s="15" t="n"/>
      <c r="EG96" s="15" t="n"/>
      <c r="EH96" s="15" t="n"/>
      <c r="EI96" s="15" t="n"/>
      <c r="EJ96" s="15" t="n"/>
    </row>
    <row r="97">
      <c r="C97" s="90" t="n"/>
      <c r="D97" s="68" t="n"/>
      <c r="E97" s="27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1" t="n"/>
      <c r="CN97" s="51" t="n"/>
      <c r="CO97" s="51" t="n"/>
      <c r="CP97" s="51" t="n"/>
      <c r="CQ97" s="51" t="n"/>
      <c r="CR97" s="51" t="n"/>
      <c r="CS97" s="51" t="n"/>
      <c r="CT97" s="51" t="n"/>
      <c r="CU97" s="51" t="n"/>
      <c r="CV97" s="51" t="n"/>
      <c r="CW97" s="51" t="n"/>
      <c r="CX97" s="51" t="n"/>
      <c r="CY97" s="51" t="n"/>
      <c r="CZ97" s="51" t="n"/>
      <c r="DA97" s="51" t="n"/>
      <c r="DB97" s="51" t="n"/>
      <c r="DC97" s="51" t="n"/>
      <c r="DD97" s="51" t="n"/>
      <c r="DE97" s="51" t="n"/>
      <c r="DF97" s="51" t="n"/>
      <c r="DG97" s="51" t="n"/>
      <c r="DH97" s="51" t="n"/>
      <c r="DI97" s="51" t="n"/>
      <c r="DJ97" s="51" t="n"/>
      <c r="DK97" s="51" t="n"/>
      <c r="DL97" s="51" t="n"/>
      <c r="DM97" s="51" t="n"/>
      <c r="DN97" s="51" t="n"/>
      <c r="DO97" s="51" t="n"/>
      <c r="DP97" s="51" t="n"/>
      <c r="DQ97" s="51" t="n"/>
      <c r="DR97" s="51" t="n"/>
      <c r="DS97" s="51" t="n"/>
      <c r="DT97" s="51" t="n"/>
      <c r="DU97" s="51" t="n"/>
      <c r="DV97" s="51" t="n"/>
      <c r="DW97" s="51" t="n"/>
      <c r="DX97" s="51" t="n"/>
      <c r="DY97" s="51" t="n"/>
      <c r="DZ97" s="51" t="n"/>
      <c r="EA97" s="51" t="n"/>
      <c r="EB97" s="51" t="n"/>
      <c r="EC97" s="51" t="n"/>
      <c r="ED97" s="51" t="n"/>
      <c r="EE97" s="51" t="n"/>
      <c r="EF97" s="51" t="n"/>
      <c r="EG97" s="51" t="n"/>
      <c r="EH97" s="51" t="n"/>
      <c r="EI97" s="51" t="n"/>
      <c r="EJ97" s="51" t="n"/>
    </row>
    <row r="98">
      <c r="C98" s="78" t="n"/>
      <c r="D98" s="58" t="n"/>
      <c r="E98" s="1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  <c r="BA98" s="15" t="n"/>
      <c r="BB98" s="15" t="n"/>
      <c r="BC98" s="15" t="n"/>
      <c r="BD98" s="15" t="n"/>
      <c r="BE98" s="15" t="n"/>
      <c r="BF98" s="15" t="n"/>
      <c r="BG98" s="15" t="n"/>
      <c r="BH98" s="15" t="n"/>
      <c r="BI98" s="15" t="n"/>
      <c r="BJ98" s="15" t="n"/>
      <c r="BK98" s="15" t="n"/>
      <c r="BL98" s="15" t="n"/>
      <c r="BM98" s="15" t="n"/>
      <c r="BN98" s="15" t="n"/>
      <c r="BO98" s="15" t="n"/>
      <c r="BP98" s="15" t="n"/>
      <c r="BQ98" s="15" t="n"/>
      <c r="BR98" s="15" t="n"/>
      <c r="BS98" s="15" t="n"/>
      <c r="BT98" s="15" t="n"/>
      <c r="BU98" s="15" t="n"/>
      <c r="BV98" s="15" t="n"/>
      <c r="BW98" s="15" t="n"/>
      <c r="BX98" s="15" t="n"/>
      <c r="BY98" s="15" t="n"/>
      <c r="BZ98" s="15" t="n"/>
      <c r="CA98" s="15" t="n"/>
      <c r="CB98" s="15" t="n"/>
      <c r="CC98" s="15" t="n"/>
      <c r="CD98" s="15" t="n"/>
      <c r="CE98" s="15" t="n"/>
      <c r="CF98" s="15" t="n"/>
      <c r="CG98" s="15" t="n"/>
      <c r="CH98" s="15" t="n"/>
      <c r="CI98" s="15" t="n"/>
      <c r="CJ98" s="15" t="n"/>
      <c r="CK98" s="15" t="n"/>
      <c r="CL98" s="15" t="n"/>
      <c r="CM98" s="15" t="n"/>
      <c r="CN98" s="15" t="n"/>
      <c r="CO98" s="15" t="n"/>
      <c r="CP98" s="15" t="n"/>
      <c r="CQ98" s="15" t="n"/>
      <c r="CR98" s="15" t="n"/>
      <c r="CS98" s="15" t="n"/>
      <c r="CT98" s="15" t="n"/>
      <c r="CU98" s="15" t="n"/>
      <c r="CV98" s="15" t="n"/>
      <c r="CW98" s="15" t="n"/>
      <c r="CX98" s="15" t="n"/>
      <c r="CY98" s="15" t="n"/>
      <c r="CZ98" s="15" t="n"/>
      <c r="DA98" s="15" t="n"/>
      <c r="DB98" s="15" t="n"/>
      <c r="DC98" s="15" t="n"/>
      <c r="DD98" s="15" t="n"/>
      <c r="DE98" s="15" t="n"/>
      <c r="DF98" s="15" t="n"/>
      <c r="DG98" s="15" t="n"/>
      <c r="DH98" s="15" t="n"/>
      <c r="DI98" s="15" t="n"/>
      <c r="DJ98" s="15" t="n"/>
      <c r="DK98" s="15" t="n"/>
      <c r="DL98" s="15" t="n"/>
      <c r="DM98" s="15" t="n"/>
      <c r="DN98" s="15" t="n"/>
      <c r="DO98" s="15" t="n"/>
      <c r="DP98" s="15" t="n"/>
      <c r="DQ98" s="15" t="n"/>
      <c r="DR98" s="15" t="n"/>
      <c r="DS98" s="15" t="n"/>
      <c r="DT98" s="15" t="n"/>
      <c r="DU98" s="15" t="n"/>
      <c r="DV98" s="15" t="n"/>
      <c r="DW98" s="15" t="n"/>
      <c r="DX98" s="15" t="n"/>
      <c r="DY98" s="15" t="n"/>
      <c r="DZ98" s="15" t="n"/>
      <c r="EA98" s="15" t="n"/>
      <c r="EB98" s="15" t="n"/>
      <c r="EC98" s="15" t="n"/>
      <c r="ED98" s="15" t="n"/>
      <c r="EE98" s="15" t="n"/>
      <c r="EF98" s="15" t="n"/>
      <c r="EG98" s="15" t="n"/>
      <c r="EH98" s="15" t="n"/>
      <c r="EI98" s="15" t="n"/>
      <c r="EJ98" s="15" t="n"/>
    </row>
    <row r="99">
      <c r="A99" s="26" t="n"/>
      <c r="C99" s="78" t="n"/>
      <c r="D99" s="58" t="n"/>
      <c r="E99" s="1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15" t="n"/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15" t="n"/>
      <c r="BN99" s="15" t="n"/>
      <c r="BO99" s="15" t="n"/>
      <c r="BP99" s="15" t="n"/>
      <c r="BQ99" s="15" t="n"/>
      <c r="BR99" s="15" t="n"/>
      <c r="BS99" s="15" t="n"/>
      <c r="BT99" s="15" t="n"/>
      <c r="BU99" s="15" t="n"/>
      <c r="BV99" s="15" t="n"/>
      <c r="BW99" s="15" t="n"/>
      <c r="BX99" s="15" t="n"/>
      <c r="BY99" s="15" t="n"/>
      <c r="BZ99" s="15" t="n"/>
      <c r="CA99" s="15" t="n"/>
      <c r="CB99" s="15" t="n"/>
      <c r="CC99" s="15" t="n"/>
      <c r="CD99" s="15" t="n"/>
      <c r="CE99" s="15" t="n"/>
      <c r="CF99" s="15" t="n"/>
      <c r="CG99" s="15" t="n"/>
      <c r="CH99" s="15" t="n"/>
      <c r="CI99" s="15" t="n"/>
      <c r="CJ99" s="15" t="n"/>
      <c r="CK99" s="15" t="n"/>
      <c r="CL99" s="15" t="n"/>
      <c r="CM99" s="15" t="n"/>
      <c r="CN99" s="15" t="n"/>
      <c r="CO99" s="15" t="n"/>
      <c r="CP99" s="15" t="n"/>
      <c r="CQ99" s="15" t="n"/>
      <c r="CR99" s="15" t="n"/>
      <c r="CS99" s="15" t="n"/>
      <c r="CT99" s="15" t="n"/>
      <c r="CU99" s="15" t="n"/>
      <c r="CV99" s="15" t="n"/>
      <c r="CW99" s="15" t="n"/>
      <c r="CX99" s="15" t="n"/>
      <c r="CY99" s="15" t="n"/>
      <c r="CZ99" s="15" t="n"/>
      <c r="DA99" s="15" t="n"/>
      <c r="DB99" s="15" t="n"/>
      <c r="DC99" s="15" t="n"/>
      <c r="DD99" s="15" t="n"/>
      <c r="DE99" s="15" t="n"/>
      <c r="DF99" s="15" t="n"/>
      <c r="DG99" s="15" t="n"/>
      <c r="DH99" s="15" t="n"/>
      <c r="DI99" s="15" t="n"/>
      <c r="DJ99" s="15" t="n"/>
      <c r="DK99" s="15" t="n"/>
      <c r="DL99" s="15" t="n"/>
      <c r="DM99" s="15" t="n"/>
      <c r="DN99" s="15" t="n"/>
      <c r="DO99" s="15" t="n"/>
      <c r="DP99" s="15" t="n"/>
      <c r="DQ99" s="15" t="n"/>
      <c r="DR99" s="15" t="n"/>
      <c r="DS99" s="15" t="n"/>
      <c r="DT99" s="15" t="n"/>
      <c r="DU99" s="15" t="n"/>
      <c r="DV99" s="15" t="n"/>
      <c r="DW99" s="15" t="n"/>
      <c r="DX99" s="15" t="n"/>
      <c r="DY99" s="15" t="n"/>
      <c r="DZ99" s="15" t="n"/>
      <c r="EA99" s="15" t="n"/>
      <c r="EB99" s="15" t="n"/>
      <c r="EC99" s="15" t="n"/>
      <c r="ED99" s="15" t="n"/>
      <c r="EE99" s="15" t="n"/>
      <c r="EF99" s="15" t="n"/>
      <c r="EG99" s="15" t="n"/>
      <c r="EH99" s="15" t="n"/>
      <c r="EI99" s="15" t="n"/>
      <c r="EJ99" s="15" t="n"/>
    </row>
    <row r="100">
      <c r="A100" s="26" t="n"/>
      <c r="C100" s="78" t="n"/>
      <c r="D100" s="58" t="n"/>
      <c r="E100" s="1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  <c r="AU100" s="15" t="n"/>
      <c r="AV100" s="15" t="n"/>
      <c r="AW100" s="15" t="n"/>
      <c r="AX100" s="15" t="n"/>
      <c r="AY100" s="15" t="n"/>
      <c r="AZ100" s="15" t="n"/>
      <c r="BA100" s="15" t="n"/>
      <c r="BB100" s="15" t="n"/>
      <c r="BC100" s="15" t="n"/>
      <c r="BD100" s="15" t="n"/>
      <c r="BE100" s="15" t="n"/>
      <c r="BF100" s="15" t="n"/>
      <c r="BG100" s="15" t="n"/>
      <c r="BH100" s="15" t="n"/>
      <c r="BI100" s="15" t="n"/>
      <c r="BJ100" s="15" t="n"/>
      <c r="BK100" s="15" t="n"/>
      <c r="BL100" s="15" t="n"/>
      <c r="BM100" s="15" t="n"/>
      <c r="BN100" s="15" t="n"/>
      <c r="BO100" s="15" t="n"/>
      <c r="BP100" s="15" t="n"/>
      <c r="BQ100" s="15" t="n"/>
      <c r="BR100" s="15" t="n"/>
      <c r="BS100" s="15" t="n"/>
      <c r="BT100" s="15" t="n"/>
      <c r="BU100" s="15" t="n"/>
      <c r="BV100" s="15" t="n"/>
      <c r="BW100" s="15" t="n"/>
      <c r="BX100" s="15" t="n"/>
      <c r="BY100" s="15" t="n"/>
      <c r="BZ100" s="15" t="n"/>
      <c r="CA100" s="15" t="n"/>
      <c r="CB100" s="15" t="n"/>
      <c r="CC100" s="15" t="n"/>
      <c r="CD100" s="15" t="n"/>
      <c r="CE100" s="15" t="n"/>
      <c r="CF100" s="15" t="n"/>
      <c r="CG100" s="15" t="n"/>
      <c r="CH100" s="15" t="n"/>
      <c r="CI100" s="15" t="n"/>
      <c r="CJ100" s="15" t="n"/>
      <c r="CK100" s="15" t="n"/>
      <c r="CL100" s="15" t="n"/>
      <c r="CM100" s="15" t="n"/>
      <c r="CN100" s="15" t="n"/>
      <c r="CO100" s="15" t="n"/>
      <c r="CP100" s="15" t="n"/>
      <c r="CQ100" s="15" t="n"/>
      <c r="CR100" s="15" t="n"/>
      <c r="CS100" s="15" t="n"/>
      <c r="CT100" s="15" t="n"/>
      <c r="CU100" s="15" t="n"/>
      <c r="CV100" s="15" t="n"/>
      <c r="CW100" s="15" t="n"/>
      <c r="CX100" s="15" t="n"/>
      <c r="CY100" s="15" t="n"/>
      <c r="CZ100" s="15" t="n"/>
      <c r="DA100" s="15" t="n"/>
      <c r="DB100" s="15" t="n"/>
      <c r="DC100" s="15" t="n"/>
      <c r="DD100" s="15" t="n"/>
      <c r="DE100" s="15" t="n"/>
      <c r="DF100" s="15" t="n"/>
      <c r="DG100" s="15" t="n"/>
      <c r="DH100" s="15" t="n"/>
      <c r="DI100" s="15" t="n"/>
      <c r="DJ100" s="15" t="n"/>
      <c r="DK100" s="15" t="n"/>
      <c r="DL100" s="15" t="n"/>
      <c r="DM100" s="15" t="n"/>
      <c r="DN100" s="15" t="n"/>
      <c r="DO100" s="15" t="n"/>
      <c r="DP100" s="15" t="n"/>
      <c r="DQ100" s="15" t="n"/>
      <c r="DR100" s="15" t="n"/>
      <c r="DS100" s="15" t="n"/>
      <c r="DT100" s="15" t="n"/>
      <c r="DU100" s="15" t="n"/>
      <c r="DV100" s="15" t="n"/>
      <c r="DW100" s="15" t="n"/>
      <c r="DX100" s="15" t="n"/>
      <c r="DY100" s="15" t="n"/>
      <c r="DZ100" s="15" t="n"/>
      <c r="EA100" s="15" t="n"/>
      <c r="EB100" s="15" t="n"/>
      <c r="EC100" s="15" t="n"/>
      <c r="ED100" s="15" t="n"/>
      <c r="EE100" s="15" t="n"/>
      <c r="EF100" s="15" t="n"/>
      <c r="EG100" s="15" t="n"/>
      <c r="EH100" s="15" t="n"/>
      <c r="EI100" s="15" t="n"/>
      <c r="EJ100" s="15" t="n"/>
    </row>
    <row r="101">
      <c r="C101" s="78" t="n"/>
      <c r="D101" s="58" t="n"/>
      <c r="E101" s="1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  <c r="BA101" s="15" t="n"/>
      <c r="BB101" s="15" t="n"/>
      <c r="BC101" s="15" t="n"/>
      <c r="BD101" s="15" t="n"/>
      <c r="BE101" s="15" t="n"/>
      <c r="BF101" s="15" t="n"/>
      <c r="BG101" s="15" t="n"/>
      <c r="BH101" s="15" t="n"/>
      <c r="BI101" s="15" t="n"/>
      <c r="BJ101" s="15" t="n"/>
      <c r="BK101" s="15" t="n"/>
      <c r="BL101" s="15" t="n"/>
      <c r="BM101" s="15" t="n"/>
      <c r="BN101" s="15" t="n"/>
      <c r="BO101" s="15" t="n"/>
      <c r="BP101" s="15" t="n"/>
      <c r="BQ101" s="15" t="n"/>
      <c r="BR101" s="15" t="n"/>
      <c r="BS101" s="15" t="n"/>
      <c r="BT101" s="15" t="n"/>
      <c r="BU101" s="15" t="n"/>
      <c r="BV101" s="15" t="n"/>
      <c r="BW101" s="15" t="n"/>
      <c r="BX101" s="15" t="n"/>
      <c r="BY101" s="15" t="n"/>
      <c r="BZ101" s="15" t="n"/>
      <c r="CA101" s="15" t="n"/>
      <c r="CB101" s="15" t="n"/>
      <c r="CC101" s="15" t="n"/>
      <c r="CD101" s="15" t="n"/>
      <c r="CE101" s="15" t="n"/>
      <c r="CF101" s="15" t="n"/>
      <c r="CG101" s="15" t="n"/>
      <c r="CH101" s="15" t="n"/>
      <c r="CI101" s="15" t="n"/>
      <c r="CJ101" s="15" t="n"/>
      <c r="CK101" s="15" t="n"/>
      <c r="CL101" s="15" t="n"/>
      <c r="CM101" s="15" t="n"/>
      <c r="CN101" s="15" t="n"/>
      <c r="CO101" s="15" t="n"/>
      <c r="CP101" s="15" t="n"/>
      <c r="CQ101" s="15" t="n"/>
      <c r="CR101" s="15" t="n"/>
      <c r="CS101" s="15" t="n"/>
      <c r="CT101" s="15" t="n"/>
      <c r="CU101" s="15" t="n"/>
      <c r="CV101" s="15" t="n"/>
      <c r="CW101" s="15" t="n"/>
      <c r="CX101" s="15" t="n"/>
      <c r="CY101" s="15" t="n"/>
      <c r="CZ101" s="15" t="n"/>
      <c r="DA101" s="15" t="n"/>
      <c r="DB101" s="15" t="n"/>
      <c r="DC101" s="15" t="n"/>
      <c r="DD101" s="15" t="n"/>
      <c r="DE101" s="15" t="n"/>
      <c r="DF101" s="15" t="n"/>
      <c r="DG101" s="15" t="n"/>
      <c r="DH101" s="15" t="n"/>
      <c r="DI101" s="15" t="n"/>
      <c r="DJ101" s="15" t="n"/>
      <c r="DK101" s="15" t="n"/>
      <c r="DL101" s="15" t="n"/>
      <c r="DM101" s="15" t="n"/>
      <c r="DN101" s="15" t="n"/>
      <c r="DO101" s="15" t="n"/>
      <c r="DP101" s="15" t="n"/>
      <c r="DQ101" s="15" t="n"/>
      <c r="DR101" s="15" t="n"/>
      <c r="DS101" s="15" t="n"/>
      <c r="DT101" s="15" t="n"/>
      <c r="DU101" s="15" t="n"/>
      <c r="DV101" s="15" t="n"/>
      <c r="DW101" s="15" t="n"/>
      <c r="DX101" s="15" t="n"/>
      <c r="DY101" s="15" t="n"/>
      <c r="DZ101" s="15" t="n"/>
      <c r="EA101" s="15" t="n"/>
      <c r="EB101" s="15" t="n"/>
      <c r="EC101" s="15" t="n"/>
      <c r="ED101" s="15" t="n"/>
      <c r="EE101" s="15" t="n"/>
      <c r="EF101" s="15" t="n"/>
      <c r="EG101" s="15" t="n"/>
      <c r="EH101" s="15" t="n"/>
      <c r="EI101" s="15" t="n"/>
      <c r="EJ101" s="15" t="n"/>
    </row>
    <row r="102">
      <c r="C102" s="78" t="n"/>
      <c r="D102" s="58" t="n"/>
      <c r="E102" s="1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5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  <c r="CF102" s="15" t="n"/>
      <c r="CG102" s="15" t="n"/>
      <c r="CH102" s="15" t="n"/>
      <c r="CI102" s="15" t="n"/>
      <c r="CJ102" s="15" t="n"/>
      <c r="CK102" s="15" t="n"/>
      <c r="CL102" s="15" t="n"/>
      <c r="CM102" s="15" t="n"/>
      <c r="CN102" s="15" t="n"/>
      <c r="CO102" s="15" t="n"/>
      <c r="CP102" s="15" t="n"/>
      <c r="CQ102" s="15" t="n"/>
      <c r="CR102" s="15" t="n"/>
      <c r="CS102" s="15" t="n"/>
      <c r="CT102" s="15" t="n"/>
      <c r="CU102" s="15" t="n"/>
      <c r="CV102" s="15" t="n"/>
      <c r="CW102" s="15" t="n"/>
      <c r="CX102" s="15" t="n"/>
      <c r="CY102" s="15" t="n"/>
      <c r="CZ102" s="15" t="n"/>
      <c r="DA102" s="15" t="n"/>
      <c r="DB102" s="15" t="n"/>
      <c r="DC102" s="15" t="n"/>
      <c r="DD102" s="15" t="n"/>
      <c r="DE102" s="15" t="n"/>
      <c r="DF102" s="15" t="n"/>
      <c r="DG102" s="15" t="n"/>
      <c r="DH102" s="15" t="n"/>
      <c r="DI102" s="15" t="n"/>
      <c r="DJ102" s="15" t="n"/>
      <c r="DK102" s="15" t="n"/>
      <c r="DL102" s="15" t="n"/>
      <c r="DM102" s="15" t="n"/>
      <c r="DN102" s="15" t="n"/>
      <c r="DO102" s="15" t="n"/>
      <c r="DP102" s="15" t="n"/>
      <c r="DQ102" s="15" t="n"/>
      <c r="DR102" s="15" t="n"/>
      <c r="DS102" s="15" t="n"/>
      <c r="DT102" s="15" t="n"/>
      <c r="DU102" s="15" t="n"/>
      <c r="DV102" s="15" t="n"/>
      <c r="DW102" s="15" t="n"/>
      <c r="DX102" s="15" t="n"/>
      <c r="DY102" s="15" t="n"/>
      <c r="DZ102" s="15" t="n"/>
      <c r="EA102" s="15" t="n"/>
      <c r="EB102" s="15" t="n"/>
      <c r="EC102" s="15" t="n"/>
      <c r="ED102" s="15" t="n"/>
      <c r="EE102" s="15" t="n"/>
      <c r="EF102" s="15" t="n"/>
      <c r="EG102" s="15" t="n"/>
      <c r="EH102" s="15" t="n"/>
      <c r="EI102" s="15" t="n"/>
      <c r="EJ102" s="15" t="n"/>
    </row>
    <row r="103">
      <c r="C103" s="78" t="n"/>
      <c r="D103" s="58" t="n"/>
      <c r="E103" s="1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n"/>
      <c r="CQ103" s="15" t="n"/>
      <c r="CR103" s="15" t="n"/>
      <c r="CS103" s="15" t="n"/>
      <c r="CT103" s="15" t="n"/>
      <c r="CU103" s="15" t="n"/>
      <c r="CV103" s="15" t="n"/>
      <c r="CW103" s="15" t="n"/>
      <c r="CX103" s="15" t="n"/>
      <c r="CY103" s="15" t="n"/>
      <c r="CZ103" s="15" t="n"/>
      <c r="DA103" s="15" t="n"/>
      <c r="DB103" s="15" t="n"/>
      <c r="DC103" s="15" t="n"/>
      <c r="DD103" s="15" t="n"/>
      <c r="DE103" s="15" t="n"/>
      <c r="DF103" s="15" t="n"/>
      <c r="DG103" s="15" t="n"/>
      <c r="DH103" s="15" t="n"/>
      <c r="DI103" s="15" t="n"/>
      <c r="DJ103" s="15" t="n"/>
      <c r="DK103" s="15" t="n"/>
      <c r="DL103" s="15" t="n"/>
      <c r="DM103" s="15" t="n"/>
      <c r="DN103" s="15" t="n"/>
      <c r="DO103" s="15" t="n"/>
      <c r="DP103" s="15" t="n"/>
      <c r="DQ103" s="15" t="n"/>
      <c r="DR103" s="15" t="n"/>
      <c r="DS103" s="15" t="n"/>
      <c r="DT103" s="15" t="n"/>
      <c r="DU103" s="15" t="n"/>
      <c r="DV103" s="15" t="n"/>
      <c r="DW103" s="15" t="n"/>
      <c r="DX103" s="15" t="n"/>
      <c r="DY103" s="15" t="n"/>
      <c r="DZ103" s="15" t="n"/>
      <c r="EA103" s="15" t="n"/>
      <c r="EB103" s="15" t="n"/>
      <c r="EC103" s="15" t="n"/>
      <c r="ED103" s="15" t="n"/>
      <c r="EE103" s="15" t="n"/>
      <c r="EF103" s="15" t="n"/>
      <c r="EG103" s="15" t="n"/>
      <c r="EH103" s="15" t="n"/>
      <c r="EI103" s="15" t="n"/>
      <c r="EJ103" s="15" t="n"/>
    </row>
    <row r="104">
      <c r="C104" s="78" t="n"/>
      <c r="D104" s="58" t="n"/>
      <c r="E104" s="1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n"/>
    </row>
    <row r="105">
      <c r="C105" s="78" t="n"/>
      <c r="D105" s="58" t="n"/>
      <c r="E105" s="1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n"/>
    </row>
    <row r="106">
      <c r="C106" s="78" t="n"/>
      <c r="D106" s="58" t="n"/>
      <c r="E106" s="1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n"/>
    </row>
    <row r="107">
      <c r="C107" s="78" t="n"/>
      <c r="D107" s="58" t="n"/>
      <c r="E107" s="1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n"/>
    </row>
    <row r="108">
      <c r="C108" s="78" t="n"/>
      <c r="D108" s="58" t="n"/>
      <c r="E108" s="1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n"/>
    </row>
    <row r="109">
      <c r="C109" s="78" t="n"/>
      <c r="D109" s="58" t="n"/>
      <c r="E109" s="1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n"/>
    </row>
    <row r="110">
      <c r="C110" s="78" t="n"/>
      <c r="D110" s="58" t="n"/>
      <c r="E110" s="1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n"/>
    </row>
    <row r="111">
      <c r="C111" s="78" t="n"/>
      <c r="D111" s="58" t="n"/>
      <c r="E111" s="1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n"/>
    </row>
    <row r="112">
      <c r="C112" s="78" t="n"/>
      <c r="D112" s="58" t="n"/>
      <c r="E112" s="1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n"/>
    </row>
    <row r="113">
      <c r="C113" s="78" t="n"/>
      <c r="D113" s="58" t="n"/>
      <c r="E113" s="1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n"/>
    </row>
    <row r="114">
      <c r="C114" s="78" t="n"/>
      <c r="D114" s="58" t="n"/>
      <c r="E114" s="1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n"/>
    </row>
    <row r="115">
      <c r="C115" s="78" t="n"/>
      <c r="D115" s="58" t="n"/>
      <c r="E115" s="1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n"/>
    </row>
    <row r="116">
      <c r="C116" s="78" t="n"/>
      <c r="D116" s="58" t="n"/>
      <c r="E116" s="1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n"/>
    </row>
    <row r="117">
      <c r="C117" s="78" t="n"/>
      <c r="D117" s="58" t="n"/>
      <c r="E117" s="1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n"/>
    </row>
    <row r="118">
      <c r="A118" s="26" t="n"/>
      <c r="C118" s="78" t="n"/>
      <c r="D118" s="58" t="n"/>
      <c r="E118" s="1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n"/>
    </row>
    <row r="119">
      <c r="A119" s="26" t="n"/>
      <c r="C119" s="78" t="n"/>
      <c r="D119" s="58" t="n"/>
      <c r="E119" s="1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n"/>
    </row>
    <row r="120">
      <c r="A120" s="26" t="n"/>
      <c r="C120" s="78" t="n"/>
      <c r="D120" s="58" t="n"/>
      <c r="E120" s="1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</row>
    <row r="121">
      <c r="A121" s="26" t="n"/>
      <c r="C121" s="78" t="n"/>
      <c r="D121" s="58" t="n"/>
      <c r="E121" s="1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</row>
    <row r="122">
      <c r="A122" s="26" t="n"/>
      <c r="C122" s="78" t="n"/>
      <c r="D122" s="58" t="n"/>
      <c r="E122" s="1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</row>
    <row r="123">
      <c r="C123" s="78" t="n"/>
      <c r="D123" s="58" t="n"/>
      <c r="E123" s="1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</row>
    <row r="124">
      <c r="C124" s="78" t="n"/>
      <c r="D124" s="58" t="n"/>
      <c r="E124" s="1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</row>
    <row r="125">
      <c r="C125" s="78" t="n"/>
      <c r="D125" s="58" t="n"/>
      <c r="E125" s="1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</row>
    <row r="126">
      <c r="A126" s="26" t="n"/>
      <c r="C126" s="78" t="n"/>
      <c r="D126" s="58" t="n"/>
      <c r="E126" s="1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</row>
    <row r="127">
      <c r="A127" s="26" t="n"/>
      <c r="C127" s="78" t="n"/>
      <c r="D127" s="58" t="n"/>
      <c r="E127" s="1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</row>
    <row r="128">
      <c r="C128" s="78" t="n"/>
      <c r="D128" s="58" t="n"/>
      <c r="E128" s="1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</row>
    <row r="129">
      <c r="A129" s="26" t="n"/>
      <c r="C129" s="78" t="n"/>
      <c r="D129" s="58" t="n"/>
      <c r="E129" s="1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</row>
  </sheetData>
  <mergeCells count="1">
    <mergeCell ref="B6:B13"/>
  </mergeCells>
  <conditionalFormatting sqref="C69:EJ70">
    <cfRule type="cellIs" priority="1" operator="equal" dxfId="0">
      <formula>"YES"</formula>
    </cfRule>
    <cfRule type="cellIs" priority="2" operator="equal" dxfId="0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2023-06-09T18:47:00Z</dcterms:created>
  <dcterms:modified xsi:type="dcterms:W3CDTF">2025-06-04T18:21:50Z</dcterms:modified>
  <cp:lastModifiedBy>Enoch Toh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89EAF8CE36F445CE9104780FA891DDEC_12</vt:lpwstr>
  </property>
  <property name="KSOProductBuildVer" fmtid="{D5CDD505-2E9C-101B-9397-08002B2CF9AE}" pid="3">
    <vt:lpwstr>1033-12.2.0.17545</vt:lpwstr>
  </property>
</Properties>
</file>