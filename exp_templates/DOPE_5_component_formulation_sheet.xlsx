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19784\Downloads\"/>
    </mc:Choice>
  </mc:AlternateContent>
  <xr:revisionPtr revIDLastSave="0" documentId="13_ncr:1_{9E81A7A4-2DB6-4FD6-B644-4BFD3673AA37}" xr6:coauthVersionLast="47" xr6:coauthVersionMax="47" xr10:uidLastSave="{00000000-0000-0000-0000-000000000000}"/>
  <bookViews>
    <workbookView xWindow="28680" yWindow="-3630" windowWidth="29040" windowHeight="15720" firstSheet="2" activeTab="2" xr2:uid="{00000000-000D-0000-FFFF-FFFF00000000}"/>
  </bookViews>
  <sheets>
    <sheet name="Lipid_Params " sheetId="1" r:id="rId1"/>
    <sheet name="Prediction_formatter" sheetId="6" r:id="rId2"/>
    <sheet name="Formulations" sheetId="2" r:id="rId3"/>
    <sheet name="filtration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OqwZ84bOEHC0TTR4G/2TTxrAPXX10ITZ88h/VFTlRKo="/>
    </ext>
  </extLst>
</workbook>
</file>

<file path=xl/calcChain.xml><?xml version="1.0" encoding="utf-8"?>
<calcChain xmlns="http://schemas.openxmlformats.org/spreadsheetml/2006/main">
  <c r="CT106" i="2" l="1"/>
  <c r="CS106" i="2"/>
  <c r="CR106" i="2"/>
  <c r="CQ106" i="2"/>
  <c r="CT76" i="2"/>
  <c r="CT75" i="2" s="1"/>
  <c r="CT73" i="2" s="1"/>
  <c r="CS76" i="2"/>
  <c r="CS113" i="2" s="1"/>
  <c r="CS115" i="2" s="1"/>
  <c r="CS116" i="2" s="1"/>
  <c r="CR76" i="2"/>
  <c r="CR75" i="2" s="1"/>
  <c r="CR73" i="2" s="1"/>
  <c r="CQ76" i="2"/>
  <c r="CQ75" i="2" s="1"/>
  <c r="CQ73" i="2" s="1"/>
  <c r="CP76" i="2"/>
  <c r="CP75" i="2" s="1"/>
  <c r="CP73" i="2" s="1"/>
  <c r="CO76" i="2"/>
  <c r="CO75" i="2" s="1"/>
  <c r="CO73" i="2" s="1"/>
  <c r="CT53" i="2"/>
  <c r="CT54" i="2" s="1"/>
  <c r="CS53" i="2"/>
  <c r="CS54" i="2" s="1"/>
  <c r="CR53" i="2"/>
  <c r="CR54" i="2" s="1"/>
  <c r="CQ53" i="2"/>
  <c r="CQ54" i="2" s="1"/>
  <c r="CP53" i="2"/>
  <c r="CP54" i="2" s="1"/>
  <c r="CO53" i="2"/>
  <c r="CO54" i="2" s="1"/>
  <c r="CT50" i="2"/>
  <c r="CT107" i="2" s="1"/>
  <c r="CS50" i="2"/>
  <c r="CS107" i="2" s="1"/>
  <c r="CR50" i="2"/>
  <c r="CR107" i="2" s="1"/>
  <c r="CQ50" i="2"/>
  <c r="CQ107" i="2" s="1"/>
  <c r="CP50" i="2"/>
  <c r="CO50" i="2"/>
  <c r="CT49" i="2"/>
  <c r="CS49" i="2"/>
  <c r="CR49" i="2"/>
  <c r="CQ49" i="2"/>
  <c r="CP49" i="2"/>
  <c r="CO49" i="2"/>
  <c r="CT48" i="2"/>
  <c r="CS48" i="2"/>
  <c r="CR48" i="2"/>
  <c r="CQ48" i="2"/>
  <c r="CP48" i="2"/>
  <c r="CP106" i="2" s="1"/>
  <c r="CO48" i="2"/>
  <c r="CT44" i="2"/>
  <c r="CS44" i="2"/>
  <c r="CR44" i="2"/>
  <c r="CQ44" i="2"/>
  <c r="CP44" i="2"/>
  <c r="CO44" i="2"/>
  <c r="CT43" i="2"/>
  <c r="CS43" i="2"/>
  <c r="CR43" i="2"/>
  <c r="CQ43" i="2"/>
  <c r="CP43" i="2"/>
  <c r="CO43" i="2"/>
  <c r="CT42" i="2"/>
  <c r="CS42" i="2"/>
  <c r="CT38" i="2"/>
  <c r="CS38" i="2"/>
  <c r="CR38" i="2"/>
  <c r="CQ38" i="2"/>
  <c r="CP38" i="2"/>
  <c r="CO38" i="2"/>
  <c r="CT36" i="2"/>
  <c r="CS36" i="2"/>
  <c r="CR36" i="2"/>
  <c r="CQ36" i="2"/>
  <c r="CP36" i="2"/>
  <c r="CO36" i="2"/>
  <c r="CT35" i="2"/>
  <c r="CS35" i="2"/>
  <c r="CR35" i="2"/>
  <c r="CQ35" i="2"/>
  <c r="CP35" i="2"/>
  <c r="CO35" i="2"/>
  <c r="CT31" i="2"/>
  <c r="CS31" i="2"/>
  <c r="CR31" i="2"/>
  <c r="CR42" i="2" s="1"/>
  <c r="CQ31" i="2"/>
  <c r="CQ42" i="2" s="1"/>
  <c r="CP31" i="2"/>
  <c r="CP42" i="2" s="1"/>
  <c r="CO31" i="2"/>
  <c r="CO42" i="2" s="1"/>
  <c r="CT30" i="2"/>
  <c r="CT41" i="2" s="1"/>
  <c r="CS30" i="2"/>
  <c r="CS41" i="2" s="1"/>
  <c r="CR30" i="2"/>
  <c r="CR41" i="2" s="1"/>
  <c r="CQ30" i="2"/>
  <c r="CQ41" i="2" s="1"/>
  <c r="CP30" i="2"/>
  <c r="CP41" i="2" s="1"/>
  <c r="CO30" i="2"/>
  <c r="CO41" i="2" s="1"/>
  <c r="CT25" i="2"/>
  <c r="CS25" i="2"/>
  <c r="CR25" i="2"/>
  <c r="CQ25" i="2"/>
  <c r="CP25" i="2"/>
  <c r="CO25" i="2"/>
  <c r="CN113" i="2"/>
  <c r="CN115" i="2" s="1"/>
  <c r="CN116" i="2" s="1"/>
  <c r="CM113" i="2"/>
  <c r="CM115" i="2" s="1"/>
  <c r="CM116" i="2" s="1"/>
  <c r="CL113" i="2"/>
  <c r="CL115" i="2" s="1"/>
  <c r="CL116" i="2" s="1"/>
  <c r="CK108" i="2"/>
  <c r="CH107" i="2"/>
  <c r="CH108" i="2" s="1"/>
  <c r="CK106" i="2"/>
  <c r="CJ106" i="2"/>
  <c r="CI106" i="2"/>
  <c r="CH106" i="2"/>
  <c r="BX106" i="2"/>
  <c r="BW106" i="2"/>
  <c r="CM97" i="2"/>
  <c r="CI113" i="2"/>
  <c r="CI115" i="2" s="1"/>
  <c r="CI116" i="2" s="1"/>
  <c r="CN76" i="2"/>
  <c r="CN75" i="2" s="1"/>
  <c r="CN73" i="2" s="1"/>
  <c r="CM76" i="2"/>
  <c r="CL76" i="2"/>
  <c r="CL75" i="2" s="1"/>
  <c r="CL73" i="2" s="1"/>
  <c r="CK76" i="2"/>
  <c r="CJ76" i="2"/>
  <c r="CI76" i="2"/>
  <c r="CH76" i="2"/>
  <c r="CG76" i="2"/>
  <c r="CF76" i="2"/>
  <c r="CE76" i="2"/>
  <c r="CE75" i="2" s="1"/>
  <c r="CE73" i="2" s="1"/>
  <c r="CD76" i="2"/>
  <c r="CD75" i="2" s="1"/>
  <c r="CD73" i="2" s="1"/>
  <c r="CC76" i="2"/>
  <c r="CB76" i="2"/>
  <c r="CA76" i="2"/>
  <c r="CA113" i="2" s="1"/>
  <c r="CA115" i="2" s="1"/>
  <c r="CA116" i="2" s="1"/>
  <c r="BZ76" i="2"/>
  <c r="BZ113" i="2" s="1"/>
  <c r="BZ115" i="2" s="1"/>
  <c r="BZ116" i="2" s="1"/>
  <c r="BY76" i="2"/>
  <c r="BX76" i="2"/>
  <c r="BW76" i="2"/>
  <c r="CM75" i="2"/>
  <c r="CI75" i="2"/>
  <c r="CI73" i="2" s="1"/>
  <c r="CH75" i="2"/>
  <c r="CH73" i="2" s="1"/>
  <c r="CC75" i="2"/>
  <c r="CC73" i="2" s="1"/>
  <c r="CB75" i="2"/>
  <c r="CB73" i="2" s="1"/>
  <c r="CA75" i="2"/>
  <c r="CA73" i="2" s="1"/>
  <c r="CM73" i="2"/>
  <c r="CM72" i="2"/>
  <c r="CE72" i="2"/>
  <c r="CE97" i="2" s="1"/>
  <c r="CD72" i="2"/>
  <c r="CD97" i="2" s="1"/>
  <c r="CD63" i="2"/>
  <c r="CB60" i="2"/>
  <c r="CD57" i="2"/>
  <c r="CD67" i="2" s="1"/>
  <c r="CD55" i="2"/>
  <c r="CD60" i="2" s="1"/>
  <c r="CB55" i="2"/>
  <c r="BW55" i="2"/>
  <c r="CN54" i="2"/>
  <c r="CM54" i="2"/>
  <c r="CL54" i="2"/>
  <c r="CK54" i="2"/>
  <c r="CJ54" i="2"/>
  <c r="CI54" i="2"/>
  <c r="CD54" i="2"/>
  <c r="CB54" i="2"/>
  <c r="CA54" i="2"/>
  <c r="BW54" i="2"/>
  <c r="CN53" i="2"/>
  <c r="CM53" i="2"/>
  <c r="CL53" i="2"/>
  <c r="CK53" i="2"/>
  <c r="CJ53" i="2"/>
  <c r="CI53" i="2"/>
  <c r="CH53" i="2"/>
  <c r="CH54" i="2" s="1"/>
  <c r="CG53" i="2"/>
  <c r="CG54" i="2" s="1"/>
  <c r="CF53" i="2"/>
  <c r="CF54" i="2" s="1"/>
  <c r="CF55" i="2" s="1"/>
  <c r="CF60" i="2" s="1"/>
  <c r="CE53" i="2"/>
  <c r="CE54" i="2" s="1"/>
  <c r="CE55" i="2" s="1"/>
  <c r="CE60" i="2" s="1"/>
  <c r="CD53" i="2"/>
  <c r="CC53" i="2"/>
  <c r="CC54" i="2" s="1"/>
  <c r="CB53" i="2"/>
  <c r="CA53" i="2"/>
  <c r="BZ53" i="2"/>
  <c r="BZ54" i="2" s="1"/>
  <c r="BY53" i="2"/>
  <c r="BY54" i="2" s="1"/>
  <c r="BX53" i="2"/>
  <c r="BX54" i="2" s="1"/>
  <c r="BW53" i="2"/>
  <c r="CN50" i="2"/>
  <c r="CM50" i="2"/>
  <c r="CL50" i="2"/>
  <c r="CK50" i="2"/>
  <c r="CK107" i="2" s="1"/>
  <c r="CJ50" i="2"/>
  <c r="CI50" i="2"/>
  <c r="CH50" i="2"/>
  <c r="CG50" i="2"/>
  <c r="CF50" i="2"/>
  <c r="CE50" i="2"/>
  <c r="CD50" i="2"/>
  <c r="CC50" i="2"/>
  <c r="CC107" i="2" s="1"/>
  <c r="CB50" i="2"/>
  <c r="CA50" i="2"/>
  <c r="BZ50" i="2"/>
  <c r="BY50" i="2"/>
  <c r="BX50" i="2"/>
  <c r="BX107" i="2" s="1"/>
  <c r="BW50" i="2"/>
  <c r="CN49" i="2"/>
  <c r="CM49" i="2"/>
  <c r="CL49" i="2"/>
  <c r="CK49" i="2"/>
  <c r="CJ49" i="2"/>
  <c r="CI49" i="2"/>
  <c r="CH49" i="2"/>
  <c r="CG49" i="2"/>
  <c r="CF49" i="2"/>
  <c r="CE49" i="2"/>
  <c r="CD49" i="2"/>
  <c r="CC49" i="2"/>
  <c r="CB49" i="2"/>
  <c r="CA49" i="2"/>
  <c r="BZ49" i="2"/>
  <c r="BY49" i="2"/>
  <c r="BX49" i="2"/>
  <c r="BW49" i="2"/>
  <c r="CN48" i="2"/>
  <c r="CM48" i="2"/>
  <c r="CL48" i="2"/>
  <c r="CK48" i="2"/>
  <c r="CJ48" i="2"/>
  <c r="CI48" i="2"/>
  <c r="CH48" i="2"/>
  <c r="CG48" i="2"/>
  <c r="CF48" i="2"/>
  <c r="CE48" i="2"/>
  <c r="CD48" i="2"/>
  <c r="CC48" i="2"/>
  <c r="CC106" i="2" s="1"/>
  <c r="CB48" i="2"/>
  <c r="CB106" i="2" s="1"/>
  <c r="CA48" i="2"/>
  <c r="CA106" i="2" s="1"/>
  <c r="BZ48" i="2"/>
  <c r="BZ106" i="2" s="1"/>
  <c r="BY48" i="2"/>
  <c r="BY106" i="2" s="1"/>
  <c r="BY107" i="2" s="1"/>
  <c r="BX48" i="2"/>
  <c r="BW48" i="2"/>
  <c r="CN44" i="2"/>
  <c r="CM44" i="2"/>
  <c r="CL44" i="2"/>
  <c r="CK44" i="2"/>
  <c r="CJ44" i="2"/>
  <c r="CI44" i="2"/>
  <c r="CH44" i="2"/>
  <c r="CG44" i="2"/>
  <c r="CF44" i="2"/>
  <c r="CE44" i="2"/>
  <c r="CD44" i="2"/>
  <c r="CC44" i="2"/>
  <c r="CB44" i="2"/>
  <c r="CA44" i="2"/>
  <c r="BZ44" i="2"/>
  <c r="BY44" i="2"/>
  <c r="BX44" i="2"/>
  <c r="BW44" i="2"/>
  <c r="CN43" i="2"/>
  <c r="CM43" i="2"/>
  <c r="CL43" i="2"/>
  <c r="CK43" i="2"/>
  <c r="CJ43" i="2"/>
  <c r="CI43" i="2"/>
  <c r="CH43" i="2"/>
  <c r="CG43" i="2"/>
  <c r="CF43" i="2"/>
  <c r="CE43" i="2"/>
  <c r="CD43" i="2"/>
  <c r="CC43" i="2"/>
  <c r="CB43" i="2"/>
  <c r="CA43" i="2"/>
  <c r="BZ43" i="2"/>
  <c r="BY43" i="2"/>
  <c r="BX43" i="2"/>
  <c r="BW43" i="2"/>
  <c r="CM42" i="2"/>
  <c r="CL42" i="2"/>
  <c r="CK42" i="2"/>
  <c r="CJ42" i="2"/>
  <c r="CI42" i="2"/>
  <c r="BX42" i="2"/>
  <c r="BW42" i="2"/>
  <c r="CN41" i="2"/>
  <c r="CM41" i="2"/>
  <c r="CI41" i="2"/>
  <c r="CH41" i="2"/>
  <c r="CG41" i="2"/>
  <c r="CB41" i="2"/>
  <c r="CA41" i="2"/>
  <c r="BZ41" i="2"/>
  <c r="CN38" i="2"/>
  <c r="CM38" i="2"/>
  <c r="CL38" i="2"/>
  <c r="CK38" i="2"/>
  <c r="CJ38" i="2"/>
  <c r="CI38" i="2"/>
  <c r="CH38" i="2"/>
  <c r="CG38" i="2"/>
  <c r="CF38" i="2"/>
  <c r="CE38" i="2"/>
  <c r="CD38" i="2"/>
  <c r="CC38" i="2"/>
  <c r="CB38" i="2"/>
  <c r="CA38" i="2"/>
  <c r="BZ38" i="2"/>
  <c r="BY38" i="2"/>
  <c r="BX38" i="2"/>
  <c r="BW38" i="2"/>
  <c r="CN36" i="2"/>
  <c r="CM36" i="2"/>
  <c r="CL36" i="2"/>
  <c r="CK36" i="2"/>
  <c r="CJ36" i="2"/>
  <c r="CI36" i="2"/>
  <c r="CH36" i="2"/>
  <c r="CG36" i="2"/>
  <c r="CF36" i="2"/>
  <c r="CE36" i="2"/>
  <c r="CD36" i="2"/>
  <c r="CC36" i="2"/>
  <c r="CB36" i="2"/>
  <c r="CA36" i="2"/>
  <c r="BZ36" i="2"/>
  <c r="BY36" i="2"/>
  <c r="BX36" i="2"/>
  <c r="BW36" i="2"/>
  <c r="CN35" i="2"/>
  <c r="CM35" i="2"/>
  <c r="CL35" i="2"/>
  <c r="CK35" i="2"/>
  <c r="CJ35" i="2"/>
  <c r="CI35" i="2"/>
  <c r="CH35" i="2"/>
  <c r="CG35" i="2"/>
  <c r="CF35" i="2"/>
  <c r="CE35" i="2"/>
  <c r="CD35" i="2"/>
  <c r="CC35" i="2"/>
  <c r="CB35" i="2"/>
  <c r="CA35" i="2"/>
  <c r="BZ35" i="2"/>
  <c r="BY35" i="2"/>
  <c r="BX35" i="2"/>
  <c r="BW35" i="2"/>
  <c r="CN31" i="2"/>
  <c r="CN42" i="2" s="1"/>
  <c r="CM31" i="2"/>
  <c r="CL31" i="2"/>
  <c r="CK31" i="2"/>
  <c r="CJ31" i="2"/>
  <c r="CI31" i="2"/>
  <c r="CH31" i="2"/>
  <c r="CH42" i="2" s="1"/>
  <c r="CG31" i="2"/>
  <c r="CG42" i="2" s="1"/>
  <c r="CF31" i="2"/>
  <c r="CF42" i="2" s="1"/>
  <c r="CE31" i="2"/>
  <c r="CE42" i="2" s="1"/>
  <c r="CD31" i="2"/>
  <c r="CD42" i="2" s="1"/>
  <c r="CC31" i="2"/>
  <c r="CC42" i="2" s="1"/>
  <c r="CB31" i="2"/>
  <c r="CB42" i="2" s="1"/>
  <c r="CA31" i="2"/>
  <c r="CA42" i="2" s="1"/>
  <c r="BZ31" i="2"/>
  <c r="BZ42" i="2" s="1"/>
  <c r="BY31" i="2"/>
  <c r="BY42" i="2" s="1"/>
  <c r="BX31" i="2"/>
  <c r="BW31" i="2"/>
  <c r="CN30" i="2"/>
  <c r="CM30" i="2"/>
  <c r="CL30" i="2"/>
  <c r="CL41" i="2" s="1"/>
  <c r="CK30" i="2"/>
  <c r="CK41" i="2" s="1"/>
  <c r="CJ30" i="2"/>
  <c r="CJ41" i="2" s="1"/>
  <c r="CI30" i="2"/>
  <c r="CH30" i="2"/>
  <c r="CG30" i="2"/>
  <c r="CF30" i="2"/>
  <c r="CF41" i="2" s="1"/>
  <c r="CE30" i="2"/>
  <c r="CE41" i="2" s="1"/>
  <c r="CD30" i="2"/>
  <c r="CD41" i="2" s="1"/>
  <c r="CC30" i="2"/>
  <c r="CC41" i="2" s="1"/>
  <c r="CB30" i="2"/>
  <c r="CA30" i="2"/>
  <c r="BZ30" i="2"/>
  <c r="BY30" i="2"/>
  <c r="BY41" i="2" s="1"/>
  <c r="BX30" i="2"/>
  <c r="BX41" i="2" s="1"/>
  <c r="BW30" i="2"/>
  <c r="BW41" i="2" s="1"/>
  <c r="CN25" i="2"/>
  <c r="CM25" i="2"/>
  <c r="CL25" i="2"/>
  <c r="CK25" i="2"/>
  <c r="CJ25" i="2"/>
  <c r="CI25" i="2"/>
  <c r="CH25" i="2"/>
  <c r="CG25" i="2"/>
  <c r="CF25" i="2"/>
  <c r="CE25" i="2"/>
  <c r="CD25" i="2"/>
  <c r="CC25" i="2"/>
  <c r="CB25" i="2"/>
  <c r="CA25" i="2"/>
  <c r="BZ25" i="2"/>
  <c r="BY25" i="2"/>
  <c r="BX25" i="2"/>
  <c r="BW25" i="2"/>
  <c r="BT113" i="2"/>
  <c r="BT115" i="2" s="1"/>
  <c r="BT116" i="2" s="1"/>
  <c r="BS113" i="2"/>
  <c r="BS115" i="2" s="1"/>
  <c r="BS116" i="2" s="1"/>
  <c r="BR113" i="2"/>
  <c r="BR115" i="2" s="1"/>
  <c r="BR116" i="2" s="1"/>
  <c r="BN113" i="2"/>
  <c r="BN115" i="2" s="1"/>
  <c r="BN116" i="2" s="1"/>
  <c r="BU108" i="2"/>
  <c r="BT108" i="2"/>
  <c r="BS108" i="2"/>
  <c r="BR108" i="2"/>
  <c r="BQ108" i="2"/>
  <c r="BU107" i="2"/>
  <c r="BT107" i="2"/>
  <c r="BS107" i="2"/>
  <c r="BR107" i="2"/>
  <c r="BQ107" i="2"/>
  <c r="BP107" i="2"/>
  <c r="BP108" i="2" s="1"/>
  <c r="BM107" i="2"/>
  <c r="BK107" i="2"/>
  <c r="BK108" i="2" s="1"/>
  <c r="BJ107" i="2"/>
  <c r="BJ108" i="2" s="1"/>
  <c r="BI107" i="2"/>
  <c r="BH107" i="2"/>
  <c r="BT106" i="2"/>
  <c r="BS106" i="2"/>
  <c r="BR106" i="2"/>
  <c r="BQ106" i="2"/>
  <c r="BP106" i="2"/>
  <c r="BM106" i="2"/>
  <c r="BK106" i="2"/>
  <c r="BJ106" i="2"/>
  <c r="BI106" i="2"/>
  <c r="BH106" i="2"/>
  <c r="BG106" i="2"/>
  <c r="BF106" i="2"/>
  <c r="BE106" i="2"/>
  <c r="BE97" i="2"/>
  <c r="BQ113" i="2"/>
  <c r="BQ115" i="2" s="1"/>
  <c r="BQ116" i="2" s="1"/>
  <c r="BP113" i="2"/>
  <c r="BP115" i="2" s="1"/>
  <c r="BP116" i="2" s="1"/>
  <c r="BO113" i="2"/>
  <c r="BO115" i="2" s="1"/>
  <c r="BO116" i="2" s="1"/>
  <c r="BE113" i="2"/>
  <c r="BE115" i="2" s="1"/>
  <c r="BE116" i="2" s="1"/>
  <c r="BV76" i="2"/>
  <c r="BU76" i="2"/>
  <c r="BT76" i="2"/>
  <c r="BS76" i="2"/>
  <c r="BR76" i="2"/>
  <c r="BQ76" i="2"/>
  <c r="BP76" i="2"/>
  <c r="BP75" i="2" s="1"/>
  <c r="BP73" i="2" s="1"/>
  <c r="BO76" i="2"/>
  <c r="BO75" i="2" s="1"/>
  <c r="BO73" i="2" s="1"/>
  <c r="BN76" i="2"/>
  <c r="BN75" i="2" s="1"/>
  <c r="BN73" i="2" s="1"/>
  <c r="BN72" i="2" s="1"/>
  <c r="BN97" i="2" s="1"/>
  <c r="BM76" i="2"/>
  <c r="BL76" i="2"/>
  <c r="BK76" i="2"/>
  <c r="BJ76" i="2"/>
  <c r="BI76" i="2"/>
  <c r="BH76" i="2"/>
  <c r="BG76" i="2"/>
  <c r="BF76" i="2"/>
  <c r="BE76" i="2"/>
  <c r="BT75" i="2"/>
  <c r="BS75" i="2"/>
  <c r="BR75" i="2"/>
  <c r="BQ75" i="2"/>
  <c r="BE75" i="2"/>
  <c r="BE73" i="2" s="1"/>
  <c r="BT73" i="2"/>
  <c r="BS73" i="2"/>
  <c r="BS72" i="2" s="1"/>
  <c r="BS97" i="2" s="1"/>
  <c r="BR73" i="2"/>
  <c r="BR72" i="2" s="1"/>
  <c r="BR97" i="2" s="1"/>
  <c r="BQ73" i="2"/>
  <c r="BQ72" i="2" s="1"/>
  <c r="BQ97" i="2" s="1"/>
  <c r="BE72" i="2"/>
  <c r="BG67" i="2"/>
  <c r="BH60" i="2"/>
  <c r="BG60" i="2"/>
  <c r="BF60" i="2"/>
  <c r="BF57" i="2" s="1"/>
  <c r="BE60" i="2"/>
  <c r="BE57" i="2" s="1"/>
  <c r="BG57" i="2"/>
  <c r="BV55" i="2"/>
  <c r="BU55" i="2"/>
  <c r="BT55" i="2"/>
  <c r="BS55" i="2"/>
  <c r="BF55" i="2"/>
  <c r="BE55" i="2"/>
  <c r="BV54" i="2"/>
  <c r="BU54" i="2"/>
  <c r="BT54" i="2"/>
  <c r="BS54" i="2"/>
  <c r="BR54" i="2"/>
  <c r="BQ54" i="2"/>
  <c r="BP54" i="2"/>
  <c r="BO54" i="2"/>
  <c r="BN54" i="2"/>
  <c r="BM54" i="2"/>
  <c r="BL54" i="2"/>
  <c r="BF54" i="2"/>
  <c r="BE54" i="2"/>
  <c r="BV53" i="2"/>
  <c r="BU53" i="2"/>
  <c r="BT53" i="2"/>
  <c r="BS53" i="2"/>
  <c r="BR53" i="2"/>
  <c r="BQ53" i="2"/>
  <c r="BP53" i="2"/>
  <c r="BO53" i="2"/>
  <c r="BN53" i="2"/>
  <c r="BM53" i="2"/>
  <c r="BL53" i="2"/>
  <c r="BK53" i="2"/>
  <c r="BK54" i="2" s="1"/>
  <c r="BJ53" i="2"/>
  <c r="BJ54" i="2" s="1"/>
  <c r="BI53" i="2"/>
  <c r="BI54" i="2" s="1"/>
  <c r="BH53" i="2"/>
  <c r="BH54" i="2" s="1"/>
  <c r="BH55" i="2" s="1"/>
  <c r="BG53" i="2"/>
  <c r="BG54" i="2" s="1"/>
  <c r="BG55" i="2" s="1"/>
  <c r="BF53" i="2"/>
  <c r="BE53" i="2"/>
  <c r="BV50" i="2"/>
  <c r="BU50" i="2"/>
  <c r="BT50" i="2"/>
  <c r="BS50" i="2"/>
  <c r="BR50" i="2"/>
  <c r="BQ50" i="2"/>
  <c r="BP50" i="2"/>
  <c r="BO50" i="2"/>
  <c r="BN50" i="2"/>
  <c r="BM50" i="2"/>
  <c r="BL50" i="2"/>
  <c r="BK50" i="2"/>
  <c r="BJ50" i="2"/>
  <c r="BI50" i="2"/>
  <c r="BH50" i="2"/>
  <c r="BG50" i="2"/>
  <c r="BF50" i="2"/>
  <c r="BE50" i="2"/>
  <c r="BV49" i="2"/>
  <c r="BU49" i="2"/>
  <c r="BT49" i="2"/>
  <c r="BS49" i="2"/>
  <c r="BR49" i="2"/>
  <c r="BQ49" i="2"/>
  <c r="BP49" i="2"/>
  <c r="BO49" i="2"/>
  <c r="BN49" i="2"/>
  <c r="BM49" i="2"/>
  <c r="BL49" i="2"/>
  <c r="BK49" i="2"/>
  <c r="BJ49" i="2"/>
  <c r="BI49" i="2"/>
  <c r="BH49" i="2"/>
  <c r="BG49" i="2"/>
  <c r="BF49" i="2"/>
  <c r="BE49" i="2"/>
  <c r="BV48" i="2"/>
  <c r="BU48" i="2"/>
  <c r="BU106" i="2" s="1"/>
  <c r="BT48" i="2"/>
  <c r="BS48" i="2"/>
  <c r="BR48" i="2"/>
  <c r="BQ48" i="2"/>
  <c r="BP48" i="2"/>
  <c r="BO48" i="2"/>
  <c r="BN48" i="2"/>
  <c r="BM48" i="2"/>
  <c r="BL48" i="2"/>
  <c r="BL106" i="2" s="1"/>
  <c r="BL107" i="2" s="1"/>
  <c r="BK48" i="2"/>
  <c r="BJ48" i="2"/>
  <c r="BI48" i="2"/>
  <c r="BH48" i="2"/>
  <c r="BG48" i="2"/>
  <c r="BF48" i="2"/>
  <c r="BE48" i="2"/>
  <c r="BV44" i="2"/>
  <c r="BU44" i="2"/>
  <c r="BT44" i="2"/>
  <c r="BS44" i="2"/>
  <c r="BR44" i="2"/>
  <c r="BQ44" i="2"/>
  <c r="BP44" i="2"/>
  <c r="BO44" i="2"/>
  <c r="BN44" i="2"/>
  <c r="BM44" i="2"/>
  <c r="BL44" i="2"/>
  <c r="BK44" i="2"/>
  <c r="BJ44" i="2"/>
  <c r="BI44" i="2"/>
  <c r="BH44" i="2"/>
  <c r="BG44" i="2"/>
  <c r="BF44" i="2"/>
  <c r="BE44" i="2"/>
  <c r="BV43" i="2"/>
  <c r="BU43" i="2"/>
  <c r="BT43" i="2"/>
  <c r="BS43" i="2"/>
  <c r="BR43" i="2"/>
  <c r="BQ43" i="2"/>
  <c r="BP43" i="2"/>
  <c r="BO43" i="2"/>
  <c r="BN43" i="2"/>
  <c r="BM43" i="2"/>
  <c r="BL43" i="2"/>
  <c r="BK43" i="2"/>
  <c r="BJ43" i="2"/>
  <c r="BI43" i="2"/>
  <c r="BH43" i="2"/>
  <c r="BG43" i="2"/>
  <c r="BF43" i="2"/>
  <c r="BE43" i="2"/>
  <c r="BV42" i="2"/>
  <c r="BT42" i="2"/>
  <c r="BS42" i="2"/>
  <c r="BR42" i="2"/>
  <c r="BQ42" i="2"/>
  <c r="BP42" i="2"/>
  <c r="BN42" i="2"/>
  <c r="BM42" i="2"/>
  <c r="BV41" i="2"/>
  <c r="BU41" i="2"/>
  <c r="BT41" i="2"/>
  <c r="BS41" i="2"/>
  <c r="BR41" i="2"/>
  <c r="BQ41" i="2"/>
  <c r="BP41" i="2"/>
  <c r="BO41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V36" i="2"/>
  <c r="BU36" i="2"/>
  <c r="BT36" i="2"/>
  <c r="BS36" i="2"/>
  <c r="BR36" i="2"/>
  <c r="BQ36" i="2"/>
  <c r="BP36" i="2"/>
  <c r="BO36" i="2"/>
  <c r="BN36" i="2"/>
  <c r="BM36" i="2"/>
  <c r="BL36" i="2"/>
  <c r="BK36" i="2"/>
  <c r="BJ36" i="2"/>
  <c r="BI36" i="2"/>
  <c r="BH36" i="2"/>
  <c r="BG36" i="2"/>
  <c r="BF36" i="2"/>
  <c r="BE36" i="2"/>
  <c r="BV35" i="2"/>
  <c r="BU35" i="2"/>
  <c r="BT35" i="2"/>
  <c r="BS35" i="2"/>
  <c r="BR35" i="2"/>
  <c r="BQ35" i="2"/>
  <c r="BP35" i="2"/>
  <c r="BO35" i="2"/>
  <c r="BN35" i="2"/>
  <c r="BM35" i="2"/>
  <c r="BL35" i="2"/>
  <c r="BK35" i="2"/>
  <c r="BJ35" i="2"/>
  <c r="BI35" i="2"/>
  <c r="BH35" i="2"/>
  <c r="BG35" i="2"/>
  <c r="BF35" i="2"/>
  <c r="BE35" i="2"/>
  <c r="BV31" i="2"/>
  <c r="BU31" i="2"/>
  <c r="BU42" i="2" s="1"/>
  <c r="BT31" i="2"/>
  <c r="BS31" i="2"/>
  <c r="BR31" i="2"/>
  <c r="BQ31" i="2"/>
  <c r="BP31" i="2"/>
  <c r="BO31" i="2"/>
  <c r="BO42" i="2" s="1"/>
  <c r="BN31" i="2"/>
  <c r="BM31" i="2"/>
  <c r="BL31" i="2"/>
  <c r="BL42" i="2" s="1"/>
  <c r="BK31" i="2"/>
  <c r="BK42" i="2" s="1"/>
  <c r="BJ31" i="2"/>
  <c r="BJ42" i="2" s="1"/>
  <c r="BI31" i="2"/>
  <c r="BI42" i="2" s="1"/>
  <c r="BH31" i="2"/>
  <c r="BH42" i="2" s="1"/>
  <c r="BG31" i="2"/>
  <c r="BG42" i="2" s="1"/>
  <c r="BF31" i="2"/>
  <c r="BF42" i="2" s="1"/>
  <c r="BE31" i="2"/>
  <c r="BE42" i="2" s="1"/>
  <c r="BV30" i="2"/>
  <c r="BU30" i="2"/>
  <c r="BT30" i="2"/>
  <c r="BS30" i="2"/>
  <c r="BR30" i="2"/>
  <c r="BQ30" i="2"/>
  <c r="BP30" i="2"/>
  <c r="BO30" i="2"/>
  <c r="BN30" i="2"/>
  <c r="BN41" i="2" s="1"/>
  <c r="BM30" i="2"/>
  <c r="BM41" i="2" s="1"/>
  <c r="BL30" i="2"/>
  <c r="BL41" i="2" s="1"/>
  <c r="BK30" i="2"/>
  <c r="BK41" i="2" s="1"/>
  <c r="BJ30" i="2"/>
  <c r="BJ41" i="2" s="1"/>
  <c r="BI30" i="2"/>
  <c r="BI41" i="2" s="1"/>
  <c r="BH30" i="2"/>
  <c r="BH41" i="2" s="1"/>
  <c r="BG30" i="2"/>
  <c r="BG41" i="2" s="1"/>
  <c r="BF30" i="2"/>
  <c r="BF41" i="2" s="1"/>
  <c r="BE30" i="2"/>
  <c r="BE41" i="2" s="1"/>
  <c r="BV25" i="2"/>
  <c r="BU25" i="2"/>
  <c r="BT25" i="2"/>
  <c r="BS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AQ115" i="2"/>
  <c r="AQ116" i="2" s="1"/>
  <c r="BD113" i="2"/>
  <c r="BD115" i="2" s="1"/>
  <c r="BD116" i="2" s="1"/>
  <c r="BC113" i="2"/>
  <c r="BC115" i="2" s="1"/>
  <c r="BC116" i="2" s="1"/>
  <c r="BB113" i="2"/>
  <c r="BB115" i="2" s="1"/>
  <c r="BB116" i="2" s="1"/>
  <c r="BB108" i="2"/>
  <c r="BA108" i="2"/>
  <c r="BB106" i="2"/>
  <c r="BA106" i="2"/>
  <c r="AZ106" i="2"/>
  <c r="AY106" i="2"/>
  <c r="AN106" i="2"/>
  <c r="AM106" i="2"/>
  <c r="BD97" i="2"/>
  <c r="AZ113" i="2"/>
  <c r="AZ115" i="2" s="1"/>
  <c r="AZ116" i="2" s="1"/>
  <c r="AY113" i="2"/>
  <c r="AY115" i="2" s="1"/>
  <c r="AY116" i="2" s="1"/>
  <c r="BD76" i="2"/>
  <c r="BC76" i="2"/>
  <c r="BC75" i="2" s="1"/>
  <c r="BC73" i="2" s="1"/>
  <c r="BB76" i="2"/>
  <c r="BB75" i="2" s="1"/>
  <c r="BB73" i="2" s="1"/>
  <c r="BA76" i="2"/>
  <c r="AZ76" i="2"/>
  <c r="AY76" i="2"/>
  <c r="AX76" i="2"/>
  <c r="AW76" i="2"/>
  <c r="AV76" i="2"/>
  <c r="AU76" i="2"/>
  <c r="AU75" i="2" s="1"/>
  <c r="AU73" i="2" s="1"/>
  <c r="AT76" i="2"/>
  <c r="AS76" i="2"/>
  <c r="AR76" i="2"/>
  <c r="AQ76" i="2"/>
  <c r="AQ113" i="2" s="1"/>
  <c r="AP76" i="2"/>
  <c r="AP75" i="2" s="1"/>
  <c r="AP73" i="2" s="1"/>
  <c r="AO76" i="2"/>
  <c r="AN76" i="2"/>
  <c r="AM76" i="2"/>
  <c r="BD75" i="2"/>
  <c r="AZ75" i="2"/>
  <c r="AZ73" i="2" s="1"/>
  <c r="AY75" i="2"/>
  <c r="AY73" i="2" s="1"/>
  <c r="AT75" i="2"/>
  <c r="AT73" i="2" s="1"/>
  <c r="AS75" i="2"/>
  <c r="AS73" i="2" s="1"/>
  <c r="AR75" i="2"/>
  <c r="AR73" i="2" s="1"/>
  <c r="BD73" i="2"/>
  <c r="BD72" i="2"/>
  <c r="BB72" i="2"/>
  <c r="BB97" i="2" s="1"/>
  <c r="AU72" i="2"/>
  <c r="AU97" i="2" s="1"/>
  <c r="AU57" i="2"/>
  <c r="AU46" i="2" s="1"/>
  <c r="AS55" i="2"/>
  <c r="AN55" i="2"/>
  <c r="AM55" i="2"/>
  <c r="BD54" i="2"/>
  <c r="BC54" i="2"/>
  <c r="BB54" i="2"/>
  <c r="BA54" i="2"/>
  <c r="AS54" i="2"/>
  <c r="AR54" i="2"/>
  <c r="AQ54" i="2"/>
  <c r="AN54" i="2"/>
  <c r="AM54" i="2"/>
  <c r="BD53" i="2"/>
  <c r="BC53" i="2"/>
  <c r="BB53" i="2"/>
  <c r="BA53" i="2"/>
  <c r="AZ53" i="2"/>
  <c r="AZ54" i="2" s="1"/>
  <c r="AY53" i="2"/>
  <c r="AY54" i="2" s="1"/>
  <c r="AX53" i="2"/>
  <c r="AX54" i="2" s="1"/>
  <c r="AX55" i="2" s="1"/>
  <c r="AW53" i="2"/>
  <c r="AW54" i="2" s="1"/>
  <c r="AW55" i="2" s="1"/>
  <c r="AV53" i="2"/>
  <c r="AV54" i="2" s="1"/>
  <c r="AV55" i="2" s="1"/>
  <c r="AV60" i="2" s="1"/>
  <c r="AU53" i="2"/>
  <c r="AU54" i="2" s="1"/>
  <c r="AU55" i="2" s="1"/>
  <c r="AU60" i="2" s="1"/>
  <c r="AT53" i="2"/>
  <c r="AT54" i="2" s="1"/>
  <c r="AS53" i="2"/>
  <c r="AR53" i="2"/>
  <c r="AQ53" i="2"/>
  <c r="AP53" i="2"/>
  <c r="AP54" i="2" s="1"/>
  <c r="AO53" i="2"/>
  <c r="AO54" i="2" s="1"/>
  <c r="AN53" i="2"/>
  <c r="AM53" i="2"/>
  <c r="BD50" i="2"/>
  <c r="BC50" i="2"/>
  <c r="BB50" i="2"/>
  <c r="BB107" i="2" s="1"/>
  <c r="BA50" i="2"/>
  <c r="BA107" i="2" s="1"/>
  <c r="AZ50" i="2"/>
  <c r="AZ107" i="2" s="1"/>
  <c r="AY50" i="2"/>
  <c r="AY107" i="2" s="1"/>
  <c r="AX50" i="2"/>
  <c r="AW50" i="2"/>
  <c r="AV50" i="2"/>
  <c r="AU50" i="2"/>
  <c r="AU107" i="2" s="1"/>
  <c r="AT50" i="2"/>
  <c r="AT107" i="2" s="1"/>
  <c r="AS50" i="2"/>
  <c r="AR50" i="2"/>
  <c r="AQ50" i="2"/>
  <c r="AP50" i="2"/>
  <c r="AO50" i="2"/>
  <c r="AN50" i="2"/>
  <c r="AN107" i="2" s="1"/>
  <c r="AM50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BD48" i="2"/>
  <c r="BC48" i="2"/>
  <c r="BB48" i="2"/>
  <c r="BA48" i="2"/>
  <c r="AZ48" i="2"/>
  <c r="AY48" i="2"/>
  <c r="AX48" i="2"/>
  <c r="AW48" i="2"/>
  <c r="AV48" i="2"/>
  <c r="AU48" i="2"/>
  <c r="AU106" i="2" s="1"/>
  <c r="AT48" i="2"/>
  <c r="AT106" i="2" s="1"/>
  <c r="AS48" i="2"/>
  <c r="AS106" i="2" s="1"/>
  <c r="AR48" i="2"/>
  <c r="AR106" i="2" s="1"/>
  <c r="AQ48" i="2"/>
  <c r="AQ106" i="2" s="1"/>
  <c r="AP48" i="2"/>
  <c r="AP106" i="2" s="1"/>
  <c r="AO48" i="2"/>
  <c r="AN48" i="2"/>
  <c r="AM48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BD42" i="2"/>
  <c r="BB42" i="2"/>
  <c r="BA42" i="2"/>
  <c r="AZ42" i="2"/>
  <c r="AY42" i="2"/>
  <c r="AN42" i="2"/>
  <c r="AM42" i="2"/>
  <c r="BD41" i="2"/>
  <c r="BC41" i="2"/>
  <c r="BB41" i="2"/>
  <c r="BA41" i="2"/>
  <c r="AZ41" i="2"/>
  <c r="AY41" i="2"/>
  <c r="AX41" i="2"/>
  <c r="AW41" i="2"/>
  <c r="AR41" i="2"/>
  <c r="AQ41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BD31" i="2"/>
  <c r="BC31" i="2"/>
  <c r="BC42" i="2" s="1"/>
  <c r="BB31" i="2"/>
  <c r="BA31" i="2"/>
  <c r="AZ31" i="2"/>
  <c r="AY31" i="2"/>
  <c r="AX31" i="2"/>
  <c r="AX42" i="2" s="1"/>
  <c r="AW31" i="2"/>
  <c r="AW42" i="2" s="1"/>
  <c r="AV31" i="2"/>
  <c r="AV42" i="2" s="1"/>
  <c r="AU31" i="2"/>
  <c r="AU42" i="2" s="1"/>
  <c r="AT31" i="2"/>
  <c r="AT42" i="2" s="1"/>
  <c r="AS31" i="2"/>
  <c r="AS42" i="2" s="1"/>
  <c r="AR31" i="2"/>
  <c r="AR42" i="2" s="1"/>
  <c r="AQ31" i="2"/>
  <c r="AQ42" i="2" s="1"/>
  <c r="AP31" i="2"/>
  <c r="AP42" i="2" s="1"/>
  <c r="AO31" i="2"/>
  <c r="AO42" i="2" s="1"/>
  <c r="AN31" i="2"/>
  <c r="AM31" i="2"/>
  <c r="BD30" i="2"/>
  <c r="BC30" i="2"/>
  <c r="BB30" i="2"/>
  <c r="BA30" i="2"/>
  <c r="AZ30" i="2"/>
  <c r="AY30" i="2"/>
  <c r="AX30" i="2"/>
  <c r="AW30" i="2"/>
  <c r="AV30" i="2"/>
  <c r="AV41" i="2" s="1"/>
  <c r="AU30" i="2"/>
  <c r="AU41" i="2" s="1"/>
  <c r="AT30" i="2"/>
  <c r="AT41" i="2" s="1"/>
  <c r="AS30" i="2"/>
  <c r="AS41" i="2" s="1"/>
  <c r="AR30" i="2"/>
  <c r="AQ30" i="2"/>
  <c r="AP30" i="2"/>
  <c r="AP41" i="2" s="1"/>
  <c r="AO30" i="2"/>
  <c r="AO41" i="2" s="1"/>
  <c r="AN30" i="2"/>
  <c r="AN41" i="2" s="1"/>
  <c r="AM30" i="2"/>
  <c r="AM41" i="2" s="1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113" i="2"/>
  <c r="AL115" i="2" s="1"/>
  <c r="AL116" i="2" s="1"/>
  <c r="AK113" i="2"/>
  <c r="AK115" i="2" s="1"/>
  <c r="AK116" i="2" s="1"/>
  <c r="AJ113" i="2"/>
  <c r="AJ115" i="2" s="1"/>
  <c r="AJ116" i="2" s="1"/>
  <c r="AI113" i="2"/>
  <c r="AI115" i="2" s="1"/>
  <c r="AI116" i="2" s="1"/>
  <c r="V113" i="2"/>
  <c r="V115" i="2" s="1"/>
  <c r="V116" i="2" s="1"/>
  <c r="U113" i="2"/>
  <c r="U115" i="2" s="1"/>
  <c r="U116" i="2" s="1"/>
  <c r="AL108" i="2"/>
  <c r="AK108" i="2"/>
  <c r="U108" i="2"/>
  <c r="AL107" i="2"/>
  <c r="AK107" i="2"/>
  <c r="AJ107" i="2"/>
  <c r="AJ108" i="2" s="1"/>
  <c r="AI107" i="2"/>
  <c r="AI108" i="2" s="1"/>
  <c r="AH107" i="2"/>
  <c r="AG107" i="2"/>
  <c r="AF107" i="2"/>
  <c r="AF108" i="2" s="1"/>
  <c r="U107" i="2"/>
  <c r="AL106" i="2"/>
  <c r="AK106" i="2"/>
  <c r="AJ106" i="2"/>
  <c r="AI106" i="2"/>
  <c r="AH106" i="2"/>
  <c r="AH108" i="2" s="1"/>
  <c r="AG106" i="2"/>
  <c r="AG108" i="2" s="1"/>
  <c r="AF106" i="2"/>
  <c r="U106" i="2"/>
  <c r="AL76" i="2"/>
  <c r="AL75" i="2" s="1"/>
  <c r="AL73" i="2" s="1"/>
  <c r="AK76" i="2"/>
  <c r="AK75" i="2" s="1"/>
  <c r="AK73" i="2" s="1"/>
  <c r="AJ76" i="2"/>
  <c r="AI76" i="2"/>
  <c r="AI75" i="2" s="1"/>
  <c r="AI73" i="2" s="1"/>
  <c r="AI72" i="2" s="1"/>
  <c r="AI97" i="2" s="1"/>
  <c r="AH76" i="2"/>
  <c r="AH113" i="2" s="1"/>
  <c r="AH115" i="2" s="1"/>
  <c r="AH116" i="2" s="1"/>
  <c r="AG76" i="2"/>
  <c r="AG113" i="2" s="1"/>
  <c r="AG115" i="2" s="1"/>
  <c r="AG116" i="2" s="1"/>
  <c r="AF76" i="2"/>
  <c r="AE76" i="2"/>
  <c r="AD76" i="2"/>
  <c r="AD75" i="2" s="1"/>
  <c r="AD73" i="2" s="1"/>
  <c r="AC76" i="2"/>
  <c r="AB76" i="2"/>
  <c r="AA76" i="2"/>
  <c r="Z76" i="2"/>
  <c r="Z113" i="2" s="1"/>
  <c r="Z115" i="2" s="1"/>
  <c r="Z116" i="2" s="1"/>
  <c r="Y76" i="2"/>
  <c r="Y113" i="2" s="1"/>
  <c r="Y115" i="2" s="1"/>
  <c r="Y116" i="2" s="1"/>
  <c r="X76" i="2"/>
  <c r="X113" i="2" s="1"/>
  <c r="X115" i="2" s="1"/>
  <c r="X116" i="2" s="1"/>
  <c r="W76" i="2"/>
  <c r="W113" i="2" s="1"/>
  <c r="W115" i="2" s="1"/>
  <c r="W116" i="2" s="1"/>
  <c r="V76" i="2"/>
  <c r="U76" i="2"/>
  <c r="AJ75" i="2"/>
  <c r="AJ73" i="2" s="1"/>
  <c r="AJ72" i="2" s="1"/>
  <c r="AJ97" i="2" s="1"/>
  <c r="Z75" i="2"/>
  <c r="Z73" i="2" s="1"/>
  <c r="Y75" i="2"/>
  <c r="Y73" i="2" s="1"/>
  <c r="X75" i="2"/>
  <c r="X73" i="2" s="1"/>
  <c r="W75" i="2"/>
  <c r="W73" i="2" s="1"/>
  <c r="V75" i="2"/>
  <c r="V73" i="2" s="1"/>
  <c r="U75" i="2"/>
  <c r="U73" i="2" s="1"/>
  <c r="Y63" i="2"/>
  <c r="X63" i="2"/>
  <c r="AA60" i="2"/>
  <c r="Y60" i="2"/>
  <c r="Y57" i="2" s="1"/>
  <c r="X60" i="2"/>
  <c r="X57" i="2" s="1"/>
  <c r="W60" i="2"/>
  <c r="W57" i="2" s="1"/>
  <c r="V60" i="2"/>
  <c r="V57" i="2" s="1"/>
  <c r="V46" i="2" s="1"/>
  <c r="AL55" i="2"/>
  <c r="AL60" i="2" s="1"/>
  <c r="Y55" i="2"/>
  <c r="X55" i="2"/>
  <c r="W55" i="2"/>
  <c r="V55" i="2"/>
  <c r="U55" i="2"/>
  <c r="AL54" i="2"/>
  <c r="AF54" i="2"/>
  <c r="AE54" i="2"/>
  <c r="AB54" i="2"/>
  <c r="AB55" i="2" s="1"/>
  <c r="Y54" i="2"/>
  <c r="X54" i="2"/>
  <c r="W54" i="2"/>
  <c r="V54" i="2"/>
  <c r="U54" i="2"/>
  <c r="AL53" i="2"/>
  <c r="AK53" i="2"/>
  <c r="AK54" i="2" s="1"/>
  <c r="AJ53" i="2"/>
  <c r="AJ54" i="2" s="1"/>
  <c r="AI53" i="2"/>
  <c r="AI54" i="2" s="1"/>
  <c r="AH53" i="2"/>
  <c r="AH54" i="2" s="1"/>
  <c r="AG53" i="2"/>
  <c r="AG54" i="2" s="1"/>
  <c r="AF53" i="2"/>
  <c r="AE53" i="2"/>
  <c r="AD53" i="2"/>
  <c r="AD54" i="2" s="1"/>
  <c r="AD55" i="2" s="1"/>
  <c r="AC53" i="2"/>
  <c r="AC54" i="2" s="1"/>
  <c r="AC55" i="2" s="1"/>
  <c r="AB53" i="2"/>
  <c r="AA53" i="2"/>
  <c r="AA54" i="2" s="1"/>
  <c r="AA55" i="2" s="1"/>
  <c r="Z53" i="2"/>
  <c r="Z54" i="2" s="1"/>
  <c r="Y53" i="2"/>
  <c r="X53" i="2"/>
  <c r="W53" i="2"/>
  <c r="V53" i="2"/>
  <c r="U53" i="2"/>
  <c r="AL50" i="2"/>
  <c r="AK50" i="2"/>
  <c r="AJ50" i="2"/>
  <c r="AI50" i="2"/>
  <c r="AH50" i="2"/>
  <c r="AG50" i="2"/>
  <c r="AF50" i="2"/>
  <c r="AE50" i="2"/>
  <c r="AD50" i="2"/>
  <c r="AD107" i="2" s="1"/>
  <c r="AC50" i="2"/>
  <c r="AB50" i="2"/>
  <c r="AA50" i="2"/>
  <c r="Z50" i="2"/>
  <c r="Y50" i="2"/>
  <c r="Y107" i="2" s="1"/>
  <c r="X50" i="2"/>
  <c r="X107" i="2" s="1"/>
  <c r="W50" i="2"/>
  <c r="V50" i="2"/>
  <c r="U50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AL48" i="2"/>
  <c r="AK48" i="2"/>
  <c r="AJ48" i="2"/>
  <c r="AI48" i="2"/>
  <c r="AH48" i="2"/>
  <c r="AG48" i="2"/>
  <c r="AF48" i="2"/>
  <c r="AE48" i="2"/>
  <c r="AD48" i="2"/>
  <c r="AD106" i="2" s="1"/>
  <c r="AC48" i="2"/>
  <c r="AB48" i="2"/>
  <c r="AB106" i="2" s="1"/>
  <c r="AA48" i="2"/>
  <c r="Z48" i="2"/>
  <c r="Z106" i="2" s="1"/>
  <c r="Y48" i="2"/>
  <c r="Y106" i="2" s="1"/>
  <c r="X48" i="2"/>
  <c r="X106" i="2" s="1"/>
  <c r="W48" i="2"/>
  <c r="W106" i="2" s="1"/>
  <c r="V48" i="2"/>
  <c r="V106" i="2" s="1"/>
  <c r="U48" i="2"/>
  <c r="Y46" i="2"/>
  <c r="X46" i="2"/>
  <c r="X61" i="2" s="1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AL42" i="2"/>
  <c r="AK42" i="2"/>
  <c r="AJ42" i="2"/>
  <c r="AI42" i="2"/>
  <c r="AH42" i="2"/>
  <c r="AG42" i="2"/>
  <c r="V42" i="2"/>
  <c r="U42" i="2"/>
  <c r="AL41" i="2"/>
  <c r="AK41" i="2"/>
  <c r="AJ41" i="2"/>
  <c r="AI41" i="2"/>
  <c r="AH41" i="2"/>
  <c r="AG41" i="2"/>
  <c r="AF41" i="2"/>
  <c r="AE41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AL31" i="2"/>
  <c r="AK31" i="2"/>
  <c r="AJ31" i="2"/>
  <c r="AI31" i="2"/>
  <c r="AH31" i="2"/>
  <c r="AG31" i="2"/>
  <c r="AF31" i="2"/>
  <c r="AF42" i="2" s="1"/>
  <c r="AE31" i="2"/>
  <c r="AE42" i="2" s="1"/>
  <c r="AD31" i="2"/>
  <c r="AD42" i="2" s="1"/>
  <c r="AC31" i="2"/>
  <c r="AC42" i="2" s="1"/>
  <c r="AB31" i="2"/>
  <c r="AB42" i="2" s="1"/>
  <c r="AA31" i="2"/>
  <c r="AA42" i="2" s="1"/>
  <c r="Z31" i="2"/>
  <c r="Z42" i="2" s="1"/>
  <c r="Y31" i="2"/>
  <c r="Y42" i="2" s="1"/>
  <c r="X31" i="2"/>
  <c r="X42" i="2" s="1"/>
  <c r="W31" i="2"/>
  <c r="W42" i="2" s="1"/>
  <c r="V31" i="2"/>
  <c r="U31" i="2"/>
  <c r="AL30" i="2"/>
  <c r="AK30" i="2"/>
  <c r="AJ30" i="2"/>
  <c r="AI30" i="2"/>
  <c r="AH30" i="2"/>
  <c r="AG30" i="2"/>
  <c r="AF30" i="2"/>
  <c r="AE30" i="2"/>
  <c r="AD30" i="2"/>
  <c r="AD41" i="2" s="1"/>
  <c r="AC30" i="2"/>
  <c r="AC41" i="2" s="1"/>
  <c r="AB30" i="2"/>
  <c r="AB41" i="2" s="1"/>
  <c r="AA30" i="2"/>
  <c r="AA41" i="2" s="1"/>
  <c r="Z30" i="2"/>
  <c r="Z41" i="2" s="1"/>
  <c r="Y30" i="2"/>
  <c r="Y41" i="2" s="1"/>
  <c r="X30" i="2"/>
  <c r="X41" i="2" s="1"/>
  <c r="W30" i="2"/>
  <c r="W41" i="2" s="1"/>
  <c r="V30" i="2"/>
  <c r="V41" i="2" s="1"/>
  <c r="U30" i="2"/>
  <c r="U41" i="2" s="1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O107" i="2"/>
  <c r="T106" i="2"/>
  <c r="S106" i="2"/>
  <c r="R106" i="2"/>
  <c r="Q106" i="2"/>
  <c r="T76" i="2"/>
  <c r="T75" i="2" s="1"/>
  <c r="T73" i="2" s="1"/>
  <c r="T72" i="2" s="1"/>
  <c r="T97" i="2" s="1"/>
  <c r="S76" i="2"/>
  <c r="R76" i="2"/>
  <c r="Q76" i="2"/>
  <c r="Q75" i="2" s="1"/>
  <c r="Q73" i="2" s="1"/>
  <c r="P76" i="2"/>
  <c r="P75" i="2" s="1"/>
  <c r="P73" i="2" s="1"/>
  <c r="O76" i="2"/>
  <c r="O75" i="2" s="1"/>
  <c r="O73" i="2" s="1"/>
  <c r="Q72" i="2"/>
  <c r="Q97" i="2" s="1"/>
  <c r="P72" i="2"/>
  <c r="P97" i="2" s="1"/>
  <c r="T53" i="2"/>
  <c r="T54" i="2" s="1"/>
  <c r="S53" i="2"/>
  <c r="S54" i="2" s="1"/>
  <c r="S55" i="2" s="1"/>
  <c r="R53" i="2"/>
  <c r="R54" i="2" s="1"/>
  <c r="Q53" i="2"/>
  <c r="Q54" i="2" s="1"/>
  <c r="P53" i="2"/>
  <c r="P54" i="2" s="1"/>
  <c r="O53" i="2"/>
  <c r="O54" i="2" s="1"/>
  <c r="T50" i="2"/>
  <c r="S50" i="2"/>
  <c r="R50" i="2"/>
  <c r="Q50" i="2"/>
  <c r="P50" i="2"/>
  <c r="O50" i="2"/>
  <c r="T49" i="2"/>
  <c r="S49" i="2"/>
  <c r="R49" i="2"/>
  <c r="Q49" i="2"/>
  <c r="P49" i="2"/>
  <c r="O49" i="2"/>
  <c r="T48" i="2"/>
  <c r="S48" i="2"/>
  <c r="R48" i="2"/>
  <c r="Q48" i="2"/>
  <c r="P48" i="2"/>
  <c r="P106" i="2" s="1"/>
  <c r="O48" i="2"/>
  <c r="O106" i="2" s="1"/>
  <c r="T44" i="2"/>
  <c r="S44" i="2"/>
  <c r="R44" i="2"/>
  <c r="Q44" i="2"/>
  <c r="P44" i="2"/>
  <c r="O44" i="2"/>
  <c r="T43" i="2"/>
  <c r="S43" i="2"/>
  <c r="R43" i="2"/>
  <c r="Q43" i="2"/>
  <c r="P43" i="2"/>
  <c r="O43" i="2"/>
  <c r="T42" i="2"/>
  <c r="S42" i="2"/>
  <c r="T38" i="2"/>
  <c r="S38" i="2"/>
  <c r="R38" i="2"/>
  <c r="Q38" i="2"/>
  <c r="P38" i="2"/>
  <c r="O38" i="2"/>
  <c r="T36" i="2"/>
  <c r="S36" i="2"/>
  <c r="R36" i="2"/>
  <c r="Q36" i="2"/>
  <c r="P36" i="2"/>
  <c r="O36" i="2"/>
  <c r="T35" i="2"/>
  <c r="S35" i="2"/>
  <c r="R35" i="2"/>
  <c r="Q35" i="2"/>
  <c r="P35" i="2"/>
  <c r="O35" i="2"/>
  <c r="T31" i="2"/>
  <c r="S31" i="2"/>
  <c r="R31" i="2"/>
  <c r="R42" i="2" s="1"/>
  <c r="Q31" i="2"/>
  <c r="Q42" i="2" s="1"/>
  <c r="P31" i="2"/>
  <c r="P42" i="2" s="1"/>
  <c r="O31" i="2"/>
  <c r="O42" i="2" s="1"/>
  <c r="T30" i="2"/>
  <c r="T41" i="2" s="1"/>
  <c r="S30" i="2"/>
  <c r="S41" i="2" s="1"/>
  <c r="R30" i="2"/>
  <c r="R41" i="2" s="1"/>
  <c r="Q30" i="2"/>
  <c r="Q41" i="2" s="1"/>
  <c r="P30" i="2"/>
  <c r="P41" i="2" s="1"/>
  <c r="O30" i="2"/>
  <c r="O41" i="2" s="1"/>
  <c r="T25" i="2"/>
  <c r="S25" i="2"/>
  <c r="R25" i="2"/>
  <c r="Q25" i="2"/>
  <c r="P25" i="2"/>
  <c r="O25" i="2"/>
  <c r="K113" i="2"/>
  <c r="K115" i="2" s="1"/>
  <c r="K116" i="2" s="1"/>
  <c r="J113" i="2"/>
  <c r="J115" i="2" s="1"/>
  <c r="J116" i="2" s="1"/>
  <c r="I113" i="2"/>
  <c r="I115" i="2" s="1"/>
  <c r="I116" i="2" s="1"/>
  <c r="N106" i="2"/>
  <c r="M106" i="2"/>
  <c r="L106" i="2"/>
  <c r="K106" i="2"/>
  <c r="J106" i="2"/>
  <c r="K97" i="2"/>
  <c r="N76" i="2"/>
  <c r="N113" i="2" s="1"/>
  <c r="N115" i="2" s="1"/>
  <c r="N116" i="2" s="1"/>
  <c r="M76" i="2"/>
  <c r="L76" i="2"/>
  <c r="K76" i="2"/>
  <c r="K75" i="2" s="1"/>
  <c r="K73" i="2" s="1"/>
  <c r="J76" i="2"/>
  <c r="J75" i="2" s="1"/>
  <c r="J73" i="2" s="1"/>
  <c r="I76" i="2"/>
  <c r="I75" i="2" s="1"/>
  <c r="I73" i="2" s="1"/>
  <c r="N75" i="2"/>
  <c r="N73" i="2" s="1"/>
  <c r="N72" i="2" s="1"/>
  <c r="N97" i="2" s="1"/>
  <c r="K72" i="2"/>
  <c r="J72" i="2"/>
  <c r="J97" i="2" s="1"/>
  <c r="I72" i="2"/>
  <c r="I97" i="2" s="1"/>
  <c r="N53" i="2"/>
  <c r="N54" i="2" s="1"/>
  <c r="M53" i="2"/>
  <c r="M54" i="2" s="1"/>
  <c r="L53" i="2"/>
  <c r="L54" i="2" s="1"/>
  <c r="K53" i="2"/>
  <c r="K54" i="2" s="1"/>
  <c r="J53" i="2"/>
  <c r="J54" i="2" s="1"/>
  <c r="I53" i="2"/>
  <c r="I54" i="2" s="1"/>
  <c r="N50" i="2"/>
  <c r="N107" i="2" s="1"/>
  <c r="M50" i="2"/>
  <c r="M107" i="2" s="1"/>
  <c r="L50" i="2"/>
  <c r="L107" i="2" s="1"/>
  <c r="K50" i="2"/>
  <c r="K107" i="2" s="1"/>
  <c r="J50" i="2"/>
  <c r="I50" i="2"/>
  <c r="N49" i="2"/>
  <c r="M49" i="2"/>
  <c r="L49" i="2"/>
  <c r="K49" i="2"/>
  <c r="J49" i="2"/>
  <c r="I49" i="2"/>
  <c r="N48" i="2"/>
  <c r="M48" i="2"/>
  <c r="L48" i="2"/>
  <c r="K48" i="2"/>
  <c r="J48" i="2"/>
  <c r="I48" i="2"/>
  <c r="I106" i="2" s="1"/>
  <c r="N44" i="2"/>
  <c r="M44" i="2"/>
  <c r="L44" i="2"/>
  <c r="K44" i="2"/>
  <c r="J44" i="2"/>
  <c r="I44" i="2"/>
  <c r="N43" i="2"/>
  <c r="M43" i="2"/>
  <c r="L43" i="2"/>
  <c r="K43" i="2"/>
  <c r="J43" i="2"/>
  <c r="I43" i="2"/>
  <c r="N42" i="2"/>
  <c r="M42" i="2"/>
  <c r="L42" i="2"/>
  <c r="N38" i="2"/>
  <c r="M38" i="2"/>
  <c r="L38" i="2"/>
  <c r="K38" i="2"/>
  <c r="J38" i="2"/>
  <c r="I38" i="2"/>
  <c r="N36" i="2"/>
  <c r="M36" i="2"/>
  <c r="L36" i="2"/>
  <c r="K36" i="2"/>
  <c r="J36" i="2"/>
  <c r="I36" i="2"/>
  <c r="N35" i="2"/>
  <c r="M35" i="2"/>
  <c r="L35" i="2"/>
  <c r="K35" i="2"/>
  <c r="J35" i="2"/>
  <c r="I35" i="2"/>
  <c r="N31" i="2"/>
  <c r="M31" i="2"/>
  <c r="L31" i="2"/>
  <c r="K31" i="2"/>
  <c r="K42" i="2" s="1"/>
  <c r="J31" i="2"/>
  <c r="J42" i="2" s="1"/>
  <c r="I31" i="2"/>
  <c r="I42" i="2" s="1"/>
  <c r="N30" i="2"/>
  <c r="N41" i="2" s="1"/>
  <c r="M30" i="2"/>
  <c r="M41" i="2" s="1"/>
  <c r="L30" i="2"/>
  <c r="L41" i="2" s="1"/>
  <c r="K30" i="2"/>
  <c r="K41" i="2" s="1"/>
  <c r="J30" i="2"/>
  <c r="J41" i="2" s="1"/>
  <c r="I30" i="2"/>
  <c r="I41" i="2" s="1"/>
  <c r="N25" i="2"/>
  <c r="M25" i="2"/>
  <c r="L25" i="2"/>
  <c r="K25" i="2"/>
  <c r="J25" i="2"/>
  <c r="I25" i="2"/>
  <c r="H76" i="2"/>
  <c r="H113" i="2" s="1"/>
  <c r="H115" i="2" s="1"/>
  <c r="H116" i="2" s="1"/>
  <c r="G76" i="2"/>
  <c r="G113" i="2" s="1"/>
  <c r="G115" i="2" s="1"/>
  <c r="G116" i="2" s="1"/>
  <c r="H75" i="2"/>
  <c r="H73" i="2" s="1"/>
  <c r="G75" i="2"/>
  <c r="G73" i="2" s="1"/>
  <c r="H53" i="2"/>
  <c r="H54" i="2" s="1"/>
  <c r="G53" i="2"/>
  <c r="G54" i="2" s="1"/>
  <c r="H50" i="2"/>
  <c r="G50" i="2"/>
  <c r="H49" i="2"/>
  <c r="G49" i="2"/>
  <c r="H48" i="2"/>
  <c r="H106" i="2" s="1"/>
  <c r="G48" i="2"/>
  <c r="G106" i="2" s="1"/>
  <c r="H44" i="2"/>
  <c r="G44" i="2"/>
  <c r="H43" i="2"/>
  <c r="G43" i="2"/>
  <c r="H38" i="2"/>
  <c r="G38" i="2"/>
  <c r="H36" i="2"/>
  <c r="G36" i="2"/>
  <c r="H35" i="2"/>
  <c r="G35" i="2"/>
  <c r="H31" i="2"/>
  <c r="H42" i="2" s="1"/>
  <c r="G31" i="2"/>
  <c r="G42" i="2" s="1"/>
  <c r="H30" i="2"/>
  <c r="H41" i="2" s="1"/>
  <c r="G30" i="2"/>
  <c r="G41" i="2" s="1"/>
  <c r="H25" i="2"/>
  <c r="G25" i="2"/>
  <c r="F76" i="2"/>
  <c r="F75" i="2" s="1"/>
  <c r="F73" i="2" s="1"/>
  <c r="E76" i="2"/>
  <c r="E75" i="2" s="1"/>
  <c r="E73" i="2" s="1"/>
  <c r="F53" i="2"/>
  <c r="F54" i="2" s="1"/>
  <c r="E53" i="2"/>
  <c r="E54" i="2" s="1"/>
  <c r="F50" i="2"/>
  <c r="E50" i="2"/>
  <c r="F49" i="2"/>
  <c r="E49" i="2"/>
  <c r="F48" i="2"/>
  <c r="E48" i="2"/>
  <c r="F44" i="2"/>
  <c r="E44" i="2"/>
  <c r="F43" i="2"/>
  <c r="E43" i="2"/>
  <c r="F38" i="2"/>
  <c r="E38" i="2"/>
  <c r="F36" i="2"/>
  <c r="E36" i="2"/>
  <c r="F35" i="2"/>
  <c r="E35" i="2"/>
  <c r="F31" i="2"/>
  <c r="F42" i="2" s="1"/>
  <c r="E31" i="2"/>
  <c r="E42" i="2" s="1"/>
  <c r="F30" i="2"/>
  <c r="F41" i="2" s="1"/>
  <c r="E30" i="2"/>
  <c r="E41" i="2" s="1"/>
  <c r="F25" i="2"/>
  <c r="E25" i="2"/>
  <c r="D76" i="2"/>
  <c r="D75" i="2" s="1"/>
  <c r="D73" i="2" s="1"/>
  <c r="D53" i="2"/>
  <c r="D54" i="2" s="1"/>
  <c r="D50" i="2"/>
  <c r="D49" i="2"/>
  <c r="D48" i="2"/>
  <c r="D44" i="2"/>
  <c r="D43" i="2"/>
  <c r="D38" i="2"/>
  <c r="D36" i="2"/>
  <c r="D35" i="2"/>
  <c r="D31" i="2"/>
  <c r="D42" i="2" s="1"/>
  <c r="D30" i="2"/>
  <c r="D41" i="2" s="1"/>
  <c r="D25" i="2"/>
  <c r="X94" i="2" l="1"/>
  <c r="CQ55" i="2"/>
  <c r="CP107" i="2"/>
  <c r="CP108" i="2" s="1"/>
  <c r="CS55" i="2"/>
  <c r="CP72" i="2"/>
  <c r="CP97" i="2" s="1"/>
  <c r="CR72" i="2"/>
  <c r="CR97" i="2" s="1"/>
  <c r="CR108" i="2"/>
  <c r="CO55" i="2"/>
  <c r="CS108" i="2"/>
  <c r="CR55" i="2"/>
  <c r="CT55" i="2"/>
  <c r="CO72" i="2"/>
  <c r="CO97" i="2" s="1"/>
  <c r="CQ72" i="2"/>
  <c r="CQ97" i="2" s="1"/>
  <c r="CT72" i="2"/>
  <c r="CT97" i="2" s="1"/>
  <c r="CQ108" i="2"/>
  <c r="CP55" i="2"/>
  <c r="CT108" i="2"/>
  <c r="CO113" i="2"/>
  <c r="CO115" i="2" s="1"/>
  <c r="CO116" i="2" s="1"/>
  <c r="CQ113" i="2"/>
  <c r="CQ115" i="2" s="1"/>
  <c r="CQ116" i="2" s="1"/>
  <c r="CP113" i="2"/>
  <c r="CP115" i="2" s="1"/>
  <c r="CP116" i="2" s="1"/>
  <c r="CR113" i="2"/>
  <c r="CR115" i="2" s="1"/>
  <c r="CR116" i="2" s="1"/>
  <c r="CS75" i="2"/>
  <c r="CS73" i="2" s="1"/>
  <c r="CO106" i="2"/>
  <c r="CT113" i="2"/>
  <c r="CT115" i="2" s="1"/>
  <c r="CT116" i="2" s="1"/>
  <c r="CG55" i="2"/>
  <c r="CH55" i="2"/>
  <c r="CK75" i="2"/>
  <c r="CK73" i="2" s="1"/>
  <c r="CK113" i="2"/>
  <c r="CK115" i="2" s="1"/>
  <c r="CK116" i="2" s="1"/>
  <c r="CB72" i="2"/>
  <c r="CB97" i="2" s="1"/>
  <c r="CI72" i="2"/>
  <c r="CI97" i="2" s="1"/>
  <c r="CE57" i="2"/>
  <c r="CE46" i="2" s="1"/>
  <c r="CF57" i="2"/>
  <c r="CF63" i="2" s="1"/>
  <c r="BY113" i="2"/>
  <c r="BY115" i="2" s="1"/>
  <c r="BY116" i="2" s="1"/>
  <c r="BY75" i="2"/>
  <c r="BY73" i="2" s="1"/>
  <c r="CM55" i="2"/>
  <c r="CH72" i="2"/>
  <c r="CH97" i="2" s="1"/>
  <c r="BW75" i="2"/>
  <c r="BW73" i="2" s="1"/>
  <c r="BW113" i="2"/>
  <c r="BW115" i="2" s="1"/>
  <c r="BW116" i="2" s="1"/>
  <c r="BX75" i="2"/>
  <c r="BX73" i="2" s="1"/>
  <c r="BX113" i="2"/>
  <c r="BX115" i="2" s="1"/>
  <c r="BX116" i="2" s="1"/>
  <c r="CC72" i="2"/>
  <c r="CC97" i="2" s="1"/>
  <c r="CB107" i="2"/>
  <c r="CB108" i="2" s="1"/>
  <c r="CN106" i="2"/>
  <c r="BZ55" i="2"/>
  <c r="CJ107" i="2"/>
  <c r="CJ108" i="2" s="1"/>
  <c r="CN72" i="2"/>
  <c r="CN97" i="2" s="1"/>
  <c r="CJ55" i="2"/>
  <c r="CA107" i="2"/>
  <c r="CA108" i="2" s="1"/>
  <c r="CC55" i="2"/>
  <c r="CK55" i="2"/>
  <c r="BY108" i="2"/>
  <c r="CA72" i="2"/>
  <c r="CA97" i="2" s="1"/>
  <c r="BZ107" i="2"/>
  <c r="BZ108" i="2"/>
  <c r="CN55" i="2"/>
  <c r="BW60" i="2"/>
  <c r="BW57" i="2"/>
  <c r="CC108" i="2"/>
  <c r="CL72" i="2"/>
  <c r="CL97" i="2" s="1"/>
  <c r="CI108" i="2"/>
  <c r="CI107" i="2"/>
  <c r="CI55" i="2"/>
  <c r="CL55" i="2"/>
  <c r="CB57" i="2"/>
  <c r="CB63" i="2" s="1"/>
  <c r="CD46" i="2"/>
  <c r="CB113" i="2"/>
  <c r="CB115" i="2" s="1"/>
  <c r="CB116" i="2" s="1"/>
  <c r="CC113" i="2"/>
  <c r="CC115" i="2" s="1"/>
  <c r="CC116" i="2" s="1"/>
  <c r="BW108" i="2"/>
  <c r="CD71" i="2"/>
  <c r="BX108" i="2"/>
  <c r="CG113" i="2"/>
  <c r="CG115" i="2" s="1"/>
  <c r="CG116" i="2" s="1"/>
  <c r="CE106" i="2"/>
  <c r="CD113" i="2"/>
  <c r="CD115" i="2" s="1"/>
  <c r="CD116" i="2" s="1"/>
  <c r="CH113" i="2"/>
  <c r="CH115" i="2" s="1"/>
  <c r="CH116" i="2" s="1"/>
  <c r="CF106" i="2"/>
  <c r="CE113" i="2"/>
  <c r="CE115" i="2" s="1"/>
  <c r="CE116" i="2" s="1"/>
  <c r="CL106" i="2"/>
  <c r="BX55" i="2"/>
  <c r="CB67" i="2"/>
  <c r="CG106" i="2"/>
  <c r="CF113" i="2"/>
  <c r="CF115" i="2" s="1"/>
  <c r="CF116" i="2" s="1"/>
  <c r="CD106" i="2"/>
  <c r="CA55" i="2"/>
  <c r="CM106" i="2"/>
  <c r="BW107" i="2"/>
  <c r="BY55" i="2"/>
  <c r="BZ75" i="2"/>
  <c r="BZ73" i="2" s="1"/>
  <c r="CJ113" i="2"/>
  <c r="CJ115" i="2" s="1"/>
  <c r="CJ116" i="2" s="1"/>
  <c r="CJ75" i="2"/>
  <c r="CJ73" i="2" s="1"/>
  <c r="CF75" i="2"/>
  <c r="CF73" i="2" s="1"/>
  <c r="CG75" i="2"/>
  <c r="CG73" i="2" s="1"/>
  <c r="BF63" i="2"/>
  <c r="BF67" i="2"/>
  <c r="BE63" i="2"/>
  <c r="BE67" i="2"/>
  <c r="BH46" i="2"/>
  <c r="BT72" i="2"/>
  <c r="BT97" i="2" s="1"/>
  <c r="BU60" i="2"/>
  <c r="BU57" i="2"/>
  <c r="BU46" i="2" s="1"/>
  <c r="BV60" i="2"/>
  <c r="BV57" i="2" s="1"/>
  <c r="BF113" i="2"/>
  <c r="BF115" i="2" s="1"/>
  <c r="BF116" i="2" s="1"/>
  <c r="BF75" i="2"/>
  <c r="BF73" i="2" s="1"/>
  <c r="BL55" i="2"/>
  <c r="BG113" i="2"/>
  <c r="BG115" i="2" s="1"/>
  <c r="BG116" i="2" s="1"/>
  <c r="BG75" i="2"/>
  <c r="BG73" i="2" s="1"/>
  <c r="BM55" i="2"/>
  <c r="BH113" i="2"/>
  <c r="BH115" i="2" s="1"/>
  <c r="BH116" i="2" s="1"/>
  <c r="BH75" i="2"/>
  <c r="BH73" i="2" s="1"/>
  <c r="BG108" i="2"/>
  <c r="BN55" i="2"/>
  <c r="BI113" i="2"/>
  <c r="BI115" i="2" s="1"/>
  <c r="BI116" i="2" s="1"/>
  <c r="BI75" i="2"/>
  <c r="BI73" i="2" s="1"/>
  <c r="BV106" i="2"/>
  <c r="BF107" i="2"/>
  <c r="BF108" i="2" s="1"/>
  <c r="BH57" i="2"/>
  <c r="BO55" i="2"/>
  <c r="BJ113" i="2"/>
  <c r="BJ115" i="2" s="1"/>
  <c r="BJ116" i="2" s="1"/>
  <c r="BJ75" i="2"/>
  <c r="BJ73" i="2" s="1"/>
  <c r="BI108" i="2"/>
  <c r="BG107" i="2"/>
  <c r="BI55" i="2"/>
  <c r="BP55" i="2"/>
  <c r="BK113" i="2"/>
  <c r="BK115" i="2" s="1"/>
  <c r="BK116" i="2" s="1"/>
  <c r="BK75" i="2"/>
  <c r="BK73" i="2" s="1"/>
  <c r="BL108" i="2"/>
  <c r="BS60" i="2"/>
  <c r="BS57" i="2"/>
  <c r="BS46" i="2" s="1"/>
  <c r="BT60" i="2"/>
  <c r="BT57" i="2" s="1"/>
  <c r="BJ55" i="2"/>
  <c r="BQ55" i="2"/>
  <c r="BL113" i="2"/>
  <c r="BL115" i="2" s="1"/>
  <c r="BL116" i="2" s="1"/>
  <c r="BL75" i="2"/>
  <c r="BL73" i="2" s="1"/>
  <c r="BE46" i="2"/>
  <c r="BK55" i="2"/>
  <c r="BR55" i="2"/>
  <c r="BM75" i="2"/>
  <c r="BM73" i="2" s="1"/>
  <c r="BM113" i="2"/>
  <c r="BM115" i="2" s="1"/>
  <c r="BM116" i="2" s="1"/>
  <c r="BF46" i="2"/>
  <c r="BG46" i="2"/>
  <c r="BH108" i="2"/>
  <c r="BU67" i="2"/>
  <c r="BO72" i="2"/>
  <c r="BO97" i="2" s="1"/>
  <c r="BM108" i="2"/>
  <c r="BP72" i="2"/>
  <c r="BP97" i="2" s="1"/>
  <c r="BN106" i="2"/>
  <c r="BU75" i="2"/>
  <c r="BU73" i="2" s="1"/>
  <c r="BU113" i="2"/>
  <c r="BU115" i="2" s="1"/>
  <c r="BU116" i="2" s="1"/>
  <c r="BV75" i="2"/>
  <c r="BV73" i="2" s="1"/>
  <c r="BV113" i="2"/>
  <c r="BV115" i="2" s="1"/>
  <c r="BV116" i="2" s="1"/>
  <c r="BO106" i="2"/>
  <c r="BE107" i="2"/>
  <c r="BE108" i="2" s="1"/>
  <c r="BG63" i="2"/>
  <c r="AU58" i="2"/>
  <c r="AU93" i="2" s="1"/>
  <c r="AU99" i="2" s="1"/>
  <c r="AU47" i="2"/>
  <c r="AU98" i="2" s="1"/>
  <c r="AU61" i="2"/>
  <c r="AU94" i="2" s="1"/>
  <c r="AU64" i="2"/>
  <c r="AU95" i="2" s="1"/>
  <c r="AZ55" i="2"/>
  <c r="AY55" i="2"/>
  <c r="AY72" i="2"/>
  <c r="AY97" i="2" s="1"/>
  <c r="AV63" i="2"/>
  <c r="AW60" i="2"/>
  <c r="AW57" i="2" s="1"/>
  <c r="AM60" i="2"/>
  <c r="AM57" i="2" s="1"/>
  <c r="AQ108" i="2"/>
  <c r="AN60" i="2"/>
  <c r="AN57" i="2" s="1"/>
  <c r="AX60" i="2"/>
  <c r="AX57" i="2" s="1"/>
  <c r="AT108" i="2"/>
  <c r="AM75" i="2"/>
  <c r="AM73" i="2" s="1"/>
  <c r="AM113" i="2"/>
  <c r="AM115" i="2" s="1"/>
  <c r="AM116" i="2" s="1"/>
  <c r="AP72" i="2"/>
  <c r="AP97" i="2" s="1"/>
  <c r="AZ108" i="2"/>
  <c r="BA55" i="2"/>
  <c r="AQ107" i="2"/>
  <c r="BB55" i="2"/>
  <c r="AR107" i="2"/>
  <c r="AT55" i="2"/>
  <c r="BC55" i="2"/>
  <c r="AR72" i="2"/>
  <c r="AR97" i="2" s="1"/>
  <c r="BA75" i="2"/>
  <c r="BA73" i="2" s="1"/>
  <c r="BA113" i="2"/>
  <c r="BA115" i="2" s="1"/>
  <c r="BA116" i="2" s="1"/>
  <c r="AP107" i="2"/>
  <c r="AP108" i="2"/>
  <c r="AT72" i="2"/>
  <c r="AT97" i="2" s="1"/>
  <c r="AR108" i="2"/>
  <c r="AS57" i="2"/>
  <c r="AZ72" i="2"/>
  <c r="AZ97" i="2" s="1"/>
  <c r="AU63" i="2"/>
  <c r="AV57" i="2"/>
  <c r="AU108" i="2"/>
  <c r="AN75" i="2"/>
  <c r="AN73" i="2" s="1"/>
  <c r="AN113" i="2"/>
  <c r="AN115" i="2" s="1"/>
  <c r="AN116" i="2" s="1"/>
  <c r="AO75" i="2"/>
  <c r="AO73" i="2" s="1"/>
  <c r="AO113" i="2"/>
  <c r="AO115" i="2" s="1"/>
  <c r="AO116" i="2" s="1"/>
  <c r="AU67" i="2"/>
  <c r="AU68" i="2" s="1"/>
  <c r="AU69" i="2" s="1"/>
  <c r="AU96" i="2" s="1"/>
  <c r="AV67" i="2"/>
  <c r="BC72" i="2"/>
  <c r="BC97" i="2" s="1"/>
  <c r="AY108" i="2"/>
  <c r="AS60" i="2"/>
  <c r="AO106" i="2"/>
  <c r="AS107" i="2"/>
  <c r="AS108" i="2" s="1"/>
  <c r="BD55" i="2"/>
  <c r="AS72" i="2"/>
  <c r="AS97" i="2" s="1"/>
  <c r="AV46" i="2"/>
  <c r="AR113" i="2"/>
  <c r="AR115" i="2" s="1"/>
  <c r="AR116" i="2" s="1"/>
  <c r="AS113" i="2"/>
  <c r="AS115" i="2" s="1"/>
  <c r="AS116" i="2" s="1"/>
  <c r="AM108" i="2"/>
  <c r="AT113" i="2"/>
  <c r="AT115" i="2" s="1"/>
  <c r="AT116" i="2" s="1"/>
  <c r="AN108" i="2"/>
  <c r="AU71" i="2"/>
  <c r="AV113" i="2"/>
  <c r="AV115" i="2" s="1"/>
  <c r="AV116" i="2" s="1"/>
  <c r="AV75" i="2"/>
  <c r="AV73" i="2" s="1"/>
  <c r="AR55" i="2"/>
  <c r="AW113" i="2"/>
  <c r="AW115" i="2" s="1"/>
  <c r="AW116" i="2" s="1"/>
  <c r="AP113" i="2"/>
  <c r="AP115" i="2" s="1"/>
  <c r="AP116" i="2" s="1"/>
  <c r="AQ55" i="2"/>
  <c r="BC106" i="2"/>
  <c r="AM107" i="2"/>
  <c r="AO55" i="2"/>
  <c r="AX113" i="2"/>
  <c r="AX115" i="2" s="1"/>
  <c r="AX116" i="2" s="1"/>
  <c r="AV106" i="2"/>
  <c r="AU113" i="2"/>
  <c r="AU115" i="2" s="1"/>
  <c r="AU116" i="2" s="1"/>
  <c r="BD106" i="2"/>
  <c r="AP55" i="2"/>
  <c r="AW106" i="2"/>
  <c r="AQ75" i="2"/>
  <c r="AQ73" i="2" s="1"/>
  <c r="AX106" i="2"/>
  <c r="AW75" i="2"/>
  <c r="AW73" i="2" s="1"/>
  <c r="AX75" i="2"/>
  <c r="AX73" i="2" s="1"/>
  <c r="AI55" i="2"/>
  <c r="AL72" i="2"/>
  <c r="AL97" i="2" s="1"/>
  <c r="AG55" i="2"/>
  <c r="W46" i="2"/>
  <c r="W63" i="2"/>
  <c r="AJ55" i="2"/>
  <c r="AK55" i="2"/>
  <c r="U72" i="2"/>
  <c r="U97" i="2" s="1"/>
  <c r="W72" i="2"/>
  <c r="W97" i="2" s="1"/>
  <c r="AH55" i="2"/>
  <c r="AD108" i="2"/>
  <c r="X71" i="2"/>
  <c r="X72" i="2"/>
  <c r="X97" i="2" s="1"/>
  <c r="V58" i="2"/>
  <c r="V93" i="2" s="1"/>
  <c r="V61" i="2"/>
  <c r="V94" i="2" s="1"/>
  <c r="V47" i="2"/>
  <c r="V98" i="2" s="1"/>
  <c r="V71" i="2"/>
  <c r="V72" i="2"/>
  <c r="V97" i="2" s="1"/>
  <c r="AK72" i="2"/>
  <c r="AK97" i="2" s="1"/>
  <c r="Y72" i="2"/>
  <c r="Y97" i="2" s="1"/>
  <c r="Y71" i="2"/>
  <c r="AA106" i="2"/>
  <c r="X67" i="2"/>
  <c r="X68" i="2" s="1"/>
  <c r="X69" i="2" s="1"/>
  <c r="X96" i="2" s="1"/>
  <c r="AF55" i="2"/>
  <c r="AA113" i="2"/>
  <c r="AA115" i="2" s="1"/>
  <c r="AA116" i="2" s="1"/>
  <c r="AA75" i="2"/>
  <c r="AA73" i="2" s="1"/>
  <c r="AA57" i="2"/>
  <c r="AA63" i="2" s="1"/>
  <c r="AB75" i="2"/>
  <c r="AB73" i="2" s="1"/>
  <c r="AB113" i="2"/>
  <c r="AB115" i="2" s="1"/>
  <c r="AB116" i="2" s="1"/>
  <c r="V107" i="2"/>
  <c r="V108" i="2"/>
  <c r="AC113" i="2"/>
  <c r="AC115" i="2" s="1"/>
  <c r="AC116" i="2" s="1"/>
  <c r="X64" i="2"/>
  <c r="X95" i="2" s="1"/>
  <c r="Y58" i="2"/>
  <c r="Y93" i="2" s="1"/>
  <c r="U60" i="2"/>
  <c r="U57" i="2" s="1"/>
  <c r="AE106" i="2"/>
  <c r="AL46" i="2"/>
  <c r="Y64" i="2"/>
  <c r="Y95" i="2" s="1"/>
  <c r="Y67" i="2"/>
  <c r="Y68" i="2" s="1"/>
  <c r="Y69" i="2" s="1"/>
  <c r="Y96" i="2" s="1"/>
  <c r="W108" i="2"/>
  <c r="W107" i="2"/>
  <c r="AC60" i="2"/>
  <c r="AC57" i="2"/>
  <c r="AC63" i="2" s="1"/>
  <c r="Y61" i="2"/>
  <c r="Y94" i="2" s="1"/>
  <c r="AD72" i="2"/>
  <c r="AD97" i="2" s="1"/>
  <c r="AE55" i="2"/>
  <c r="X108" i="2"/>
  <c r="AB107" i="2"/>
  <c r="AB108" i="2" s="1"/>
  <c r="AD60" i="2"/>
  <c r="AD57" i="2"/>
  <c r="AL57" i="2"/>
  <c r="AL63" i="2" s="1"/>
  <c r="AE113" i="2"/>
  <c r="AE115" i="2" s="1"/>
  <c r="AE116" i="2" s="1"/>
  <c r="X58" i="2"/>
  <c r="X93" i="2" s="1"/>
  <c r="X47" i="2"/>
  <c r="X98" i="2" s="1"/>
  <c r="W67" i="2"/>
  <c r="Y47" i="2"/>
  <c r="Y98" i="2" s="1"/>
  <c r="Z55" i="2"/>
  <c r="Y108" i="2"/>
  <c r="AF113" i="2"/>
  <c r="AF115" i="2" s="1"/>
  <c r="AF116" i="2" s="1"/>
  <c r="Z72" i="2"/>
  <c r="Z97" i="2" s="1"/>
  <c r="AC106" i="2"/>
  <c r="V63" i="2"/>
  <c r="V64" i="2" s="1"/>
  <c r="V95" i="2" s="1"/>
  <c r="AB60" i="2"/>
  <c r="AB57" i="2"/>
  <c r="Z107" i="2"/>
  <c r="Z108" i="2" s="1"/>
  <c r="AC67" i="2"/>
  <c r="AE75" i="2"/>
  <c r="AE73" i="2" s="1"/>
  <c r="AF75" i="2"/>
  <c r="AF73" i="2" s="1"/>
  <c r="V67" i="2"/>
  <c r="AH75" i="2"/>
  <c r="AH73" i="2" s="1"/>
  <c r="AD113" i="2"/>
  <c r="AD115" i="2" s="1"/>
  <c r="AD116" i="2" s="1"/>
  <c r="AC75" i="2"/>
  <c r="AC73" i="2" s="1"/>
  <c r="AG75" i="2"/>
  <c r="AG73" i="2" s="1"/>
  <c r="S60" i="2"/>
  <c r="S57" i="2"/>
  <c r="S46" i="2"/>
  <c r="T55" i="2"/>
  <c r="R75" i="2"/>
  <c r="R73" i="2" s="1"/>
  <c r="R113" i="2"/>
  <c r="R115" i="2" s="1"/>
  <c r="R116" i="2" s="1"/>
  <c r="S75" i="2"/>
  <c r="S73" i="2" s="1"/>
  <c r="S113" i="2"/>
  <c r="S115" i="2" s="1"/>
  <c r="S116" i="2" s="1"/>
  <c r="S63" i="2"/>
  <c r="Q107" i="2"/>
  <c r="Q108" i="2" s="1"/>
  <c r="R107" i="2"/>
  <c r="R108" i="2" s="1"/>
  <c r="S107" i="2"/>
  <c r="S108" i="2" s="1"/>
  <c r="S67" i="2"/>
  <c r="T107" i="2"/>
  <c r="T108" i="2" s="1"/>
  <c r="O55" i="2"/>
  <c r="P55" i="2"/>
  <c r="O113" i="2"/>
  <c r="O115" i="2" s="1"/>
  <c r="O116" i="2" s="1"/>
  <c r="O108" i="2"/>
  <c r="Q55" i="2"/>
  <c r="P113" i="2"/>
  <c r="P115" i="2" s="1"/>
  <c r="P116" i="2" s="1"/>
  <c r="P107" i="2"/>
  <c r="P108" i="2" s="1"/>
  <c r="R55" i="2"/>
  <c r="O72" i="2"/>
  <c r="O97" i="2" s="1"/>
  <c r="Q113" i="2"/>
  <c r="Q115" i="2" s="1"/>
  <c r="Q116" i="2" s="1"/>
  <c r="T113" i="2"/>
  <c r="T115" i="2" s="1"/>
  <c r="T116" i="2" s="1"/>
  <c r="I55" i="2"/>
  <c r="J55" i="2"/>
  <c r="M108" i="2"/>
  <c r="M55" i="2"/>
  <c r="L75" i="2"/>
  <c r="L73" i="2" s="1"/>
  <c r="L113" i="2"/>
  <c r="L115" i="2" s="1"/>
  <c r="L116" i="2" s="1"/>
  <c r="M75" i="2"/>
  <c r="M73" i="2" s="1"/>
  <c r="M113" i="2"/>
  <c r="M115" i="2" s="1"/>
  <c r="M116" i="2" s="1"/>
  <c r="I108" i="2"/>
  <c r="K55" i="2"/>
  <c r="J108" i="2"/>
  <c r="K108" i="2"/>
  <c r="L108" i="2"/>
  <c r="L55" i="2"/>
  <c r="N108" i="2"/>
  <c r="N55" i="2"/>
  <c r="I107" i="2"/>
  <c r="J107" i="2"/>
  <c r="G107" i="2"/>
  <c r="H55" i="2"/>
  <c r="G72" i="2"/>
  <c r="G97" i="2" s="1"/>
  <c r="G108" i="2"/>
  <c r="H107" i="2"/>
  <c r="H108" i="2" s="1"/>
  <c r="G55" i="2"/>
  <c r="H72" i="2"/>
  <c r="H97" i="2" s="1"/>
  <c r="E55" i="2"/>
  <c r="F55" i="2"/>
  <c r="E72" i="2"/>
  <c r="E97" i="2" s="1"/>
  <c r="F72" i="2"/>
  <c r="F97" i="2" s="1"/>
  <c r="E106" i="2"/>
  <c r="E107" i="2" s="1"/>
  <c r="E113" i="2"/>
  <c r="E115" i="2" s="1"/>
  <c r="E116" i="2" s="1"/>
  <c r="F113" i="2"/>
  <c r="F115" i="2" s="1"/>
  <c r="F116" i="2" s="1"/>
  <c r="F106" i="2"/>
  <c r="D55" i="2"/>
  <c r="D72" i="2"/>
  <c r="D97" i="2" s="1"/>
  <c r="D106" i="2"/>
  <c r="D113" i="2"/>
  <c r="D115" i="2" s="1"/>
  <c r="D116" i="2" s="1"/>
  <c r="CS72" i="2" l="1"/>
  <c r="CS97" i="2" s="1"/>
  <c r="CR60" i="2"/>
  <c r="CR57" i="2"/>
  <c r="CS60" i="2"/>
  <c r="CS57" i="2" s="1"/>
  <c r="CO60" i="2"/>
  <c r="CO57" i="2"/>
  <c r="CQ60" i="2"/>
  <c r="CQ57" i="2"/>
  <c r="CT60" i="2"/>
  <c r="CT57" i="2"/>
  <c r="CO107" i="2"/>
  <c r="CO108" i="2"/>
  <c r="CP60" i="2"/>
  <c r="CP57" i="2"/>
  <c r="CE58" i="2"/>
  <c r="CE93" i="2" s="1"/>
  <c r="CE47" i="2"/>
  <c r="CE98" i="2" s="1"/>
  <c r="CE61" i="2"/>
  <c r="CE94" i="2" s="1"/>
  <c r="CE71" i="2"/>
  <c r="CJ60" i="2"/>
  <c r="CJ57" i="2" s="1"/>
  <c r="CD107" i="2"/>
  <c r="CD108" i="2" s="1"/>
  <c r="CD21" i="2"/>
  <c r="CD78" i="2"/>
  <c r="BX72" i="2"/>
  <c r="BX97" i="2" s="1"/>
  <c r="BX60" i="2"/>
  <c r="BX57" i="2" s="1"/>
  <c r="CF46" i="2"/>
  <c r="BW72" i="2"/>
  <c r="BW97" i="2" s="1"/>
  <c r="BW71" i="2"/>
  <c r="CN60" i="2"/>
  <c r="CN57" i="2" s="1"/>
  <c r="CL107" i="2"/>
  <c r="CL108" i="2"/>
  <c r="CN107" i="2"/>
  <c r="CN108" i="2"/>
  <c r="CF67" i="2"/>
  <c r="CH60" i="2"/>
  <c r="CH57" i="2" s="1"/>
  <c r="CD68" i="2"/>
  <c r="CE63" i="2"/>
  <c r="CE64" i="2" s="1"/>
  <c r="CE95" i="2" s="1"/>
  <c r="CI60" i="2"/>
  <c r="CI57" i="2" s="1"/>
  <c r="CK60" i="2"/>
  <c r="CK57" i="2"/>
  <c r="CE67" i="2"/>
  <c r="CE68" i="2" s="1"/>
  <c r="CE69" i="2" s="1"/>
  <c r="CE96" i="2" s="1"/>
  <c r="CG107" i="2"/>
  <c r="CG108" i="2" s="1"/>
  <c r="BW63" i="2"/>
  <c r="BW67" i="2"/>
  <c r="BW46" i="2"/>
  <c r="CG72" i="2"/>
  <c r="CG97" i="2" s="1"/>
  <c r="CF72" i="2"/>
  <c r="CF97" i="2" s="1"/>
  <c r="BZ60" i="2"/>
  <c r="BZ57" i="2" s="1"/>
  <c r="CJ72" i="2"/>
  <c r="CJ97" i="2" s="1"/>
  <c r="CK72" i="2"/>
  <c r="CK97" i="2" s="1"/>
  <c r="CD69" i="2"/>
  <c r="CD96" i="2" s="1"/>
  <c r="CD58" i="2"/>
  <c r="CD93" i="2" s="1"/>
  <c r="CD47" i="2"/>
  <c r="CD98" i="2" s="1"/>
  <c r="CD61" i="2"/>
  <c r="CD94" i="2" s="1"/>
  <c r="CD64" i="2"/>
  <c r="CD95" i="2" s="1"/>
  <c r="BZ72" i="2"/>
  <c r="BZ97" i="2" s="1"/>
  <c r="CF108" i="2"/>
  <c r="CF107" i="2"/>
  <c r="BY60" i="2"/>
  <c r="BY57" i="2"/>
  <c r="CM60" i="2"/>
  <c r="CM57" i="2"/>
  <c r="CL60" i="2"/>
  <c r="CL57" i="2"/>
  <c r="CB46" i="2"/>
  <c r="CM107" i="2"/>
  <c r="CM108" i="2"/>
  <c r="CA60" i="2"/>
  <c r="CA57" i="2" s="1"/>
  <c r="CG60" i="2"/>
  <c r="CG57" i="2" s="1"/>
  <c r="CC60" i="2"/>
  <c r="CC57" i="2" s="1"/>
  <c r="BY72" i="2"/>
  <c r="BY97" i="2" s="1"/>
  <c r="CE107" i="2"/>
  <c r="CE108" i="2" s="1"/>
  <c r="BT46" i="2"/>
  <c r="BT63" i="2"/>
  <c r="BT67" i="2"/>
  <c r="BV67" i="2"/>
  <c r="BV63" i="2"/>
  <c r="BV46" i="2"/>
  <c r="BM72" i="2"/>
  <c r="BM97" i="2" s="1"/>
  <c r="BV71" i="2"/>
  <c r="BV72" i="2"/>
  <c r="BV97" i="2" s="1"/>
  <c r="BE58" i="2"/>
  <c r="BE93" i="2" s="1"/>
  <c r="BE64" i="2"/>
  <c r="BE95" i="2" s="1"/>
  <c r="BE61" i="2"/>
  <c r="BE94" i="2" s="1"/>
  <c r="BE47" i="2"/>
  <c r="BE98" i="2" s="1"/>
  <c r="BE71" i="2"/>
  <c r="BE68" i="2" s="1"/>
  <c r="BE69" i="2" s="1"/>
  <c r="BE96" i="2" s="1"/>
  <c r="BI60" i="2"/>
  <c r="BI57" i="2" s="1"/>
  <c r="BR60" i="2"/>
  <c r="BR57" i="2"/>
  <c r="BF71" i="2"/>
  <c r="BF72" i="2"/>
  <c r="BF97" i="2" s="1"/>
  <c r="BK60" i="2"/>
  <c r="BK57" i="2" s="1"/>
  <c r="BP60" i="2"/>
  <c r="BP57" i="2"/>
  <c r="BL60" i="2"/>
  <c r="BL57" i="2" s="1"/>
  <c r="BV107" i="2"/>
  <c r="BV108" i="2"/>
  <c r="BK72" i="2"/>
  <c r="BK97" i="2" s="1"/>
  <c r="BU71" i="2"/>
  <c r="BU68" i="2" s="1"/>
  <c r="BU69" i="2" s="1"/>
  <c r="BU96" i="2" s="1"/>
  <c r="BU72" i="2"/>
  <c r="BU97" i="2" s="1"/>
  <c r="BH71" i="2"/>
  <c r="BH72" i="2"/>
  <c r="BH97" i="2" s="1"/>
  <c r="BM60" i="2"/>
  <c r="BM57" i="2"/>
  <c r="BG71" i="2"/>
  <c r="BG72" i="2"/>
  <c r="BG97" i="2" s="1"/>
  <c r="BS63" i="2"/>
  <c r="BO60" i="2"/>
  <c r="BO57" i="2"/>
  <c r="BS64" i="2"/>
  <c r="BS95" i="2" s="1"/>
  <c r="BS47" i="2"/>
  <c r="BS98" i="2" s="1"/>
  <c r="BS61" i="2"/>
  <c r="BS94" i="2" s="1"/>
  <c r="BS58" i="2"/>
  <c r="BS93" i="2" s="1"/>
  <c r="BO107" i="2"/>
  <c r="BO108" i="2" s="1"/>
  <c r="BI72" i="2"/>
  <c r="BI97" i="2" s="1"/>
  <c r="BN60" i="2"/>
  <c r="BN57" i="2"/>
  <c r="BU64" i="2"/>
  <c r="BU95" i="2" s="1"/>
  <c r="BU58" i="2"/>
  <c r="BU93" i="2" s="1"/>
  <c r="BU47" i="2"/>
  <c r="BU98" i="2" s="1"/>
  <c r="BU61" i="2"/>
  <c r="BU94" i="2" s="1"/>
  <c r="BL72" i="2"/>
  <c r="BL97" i="2" s="1"/>
  <c r="BN107" i="2"/>
  <c r="BN108" i="2" s="1"/>
  <c r="BQ60" i="2"/>
  <c r="BQ57" i="2"/>
  <c r="BG61" i="2"/>
  <c r="BG94" i="2" s="1"/>
  <c r="BG58" i="2"/>
  <c r="BG93" i="2" s="1"/>
  <c r="BG64" i="2"/>
  <c r="BG95" i="2" s="1"/>
  <c r="BG47" i="2"/>
  <c r="BG98" i="2" s="1"/>
  <c r="BJ72" i="2"/>
  <c r="BJ97" i="2" s="1"/>
  <c r="BS67" i="2"/>
  <c r="BS68" i="2" s="1"/>
  <c r="BS69" i="2" s="1"/>
  <c r="BS96" i="2" s="1"/>
  <c r="BJ60" i="2"/>
  <c r="BJ57" i="2" s="1"/>
  <c r="BH64" i="2"/>
  <c r="BH95" i="2" s="1"/>
  <c r="BH47" i="2"/>
  <c r="BH98" i="2" s="1"/>
  <c r="BH61" i="2"/>
  <c r="BH94" i="2" s="1"/>
  <c r="BH58" i="2"/>
  <c r="BH93" i="2" s="1"/>
  <c r="BS71" i="2"/>
  <c r="BU63" i="2"/>
  <c r="BF58" i="2"/>
  <c r="BF93" i="2" s="1"/>
  <c r="BF64" i="2"/>
  <c r="BF95" i="2" s="1"/>
  <c r="BF61" i="2"/>
  <c r="BF94" i="2" s="1"/>
  <c r="BF47" i="2"/>
  <c r="BF98" i="2" s="1"/>
  <c r="BF68" i="2"/>
  <c r="BF69" i="2" s="1"/>
  <c r="BF96" i="2" s="1"/>
  <c r="BH63" i="2"/>
  <c r="BH67" i="2"/>
  <c r="AX46" i="2"/>
  <c r="AX67" i="2"/>
  <c r="AX63" i="2"/>
  <c r="AN67" i="2"/>
  <c r="AN46" i="2"/>
  <c r="AN63" i="2"/>
  <c r="AM67" i="2"/>
  <c r="AM46" i="2"/>
  <c r="AM63" i="2"/>
  <c r="AW67" i="2"/>
  <c r="AW46" i="2"/>
  <c r="AW63" i="2"/>
  <c r="AS67" i="2"/>
  <c r="AS63" i="2"/>
  <c r="AX107" i="2"/>
  <c r="AX108" i="2" s="1"/>
  <c r="AR60" i="2"/>
  <c r="AR57" i="2" s="1"/>
  <c r="AS46" i="2"/>
  <c r="AW108" i="2"/>
  <c r="AW72" i="2"/>
  <c r="AW97" i="2" s="1"/>
  <c r="AQ72" i="2"/>
  <c r="AQ97" i="2" s="1"/>
  <c r="AV58" i="2"/>
  <c r="AV93" i="2" s="1"/>
  <c r="AV47" i="2"/>
  <c r="AV98" i="2" s="1"/>
  <c r="AV61" i="2"/>
  <c r="AV94" i="2" s="1"/>
  <c r="AV64" i="2"/>
  <c r="AV95" i="2" s="1"/>
  <c r="AV71" i="2"/>
  <c r="AV72" i="2"/>
  <c r="AV97" i="2" s="1"/>
  <c r="BD60" i="2"/>
  <c r="BD57" i="2"/>
  <c r="AP60" i="2"/>
  <c r="AP57" i="2" s="1"/>
  <c r="BA72" i="2"/>
  <c r="BA97" i="2" s="1"/>
  <c r="AM72" i="2"/>
  <c r="AM97" i="2" s="1"/>
  <c r="AM71" i="2"/>
  <c r="AU21" i="2"/>
  <c r="AU78" i="2"/>
  <c r="AY60" i="2"/>
  <c r="AY57" i="2" s="1"/>
  <c r="BD107" i="2"/>
  <c r="BD108" i="2"/>
  <c r="AO72" i="2"/>
  <c r="AO97" i="2" s="1"/>
  <c r="BC60" i="2"/>
  <c r="BC57" i="2"/>
  <c r="AW107" i="2"/>
  <c r="AV108" i="2"/>
  <c r="AO107" i="2"/>
  <c r="AO108" i="2" s="1"/>
  <c r="AN72" i="2"/>
  <c r="AN97" i="2" s="1"/>
  <c r="AN71" i="2"/>
  <c r="AT60" i="2"/>
  <c r="AT57" i="2" s="1"/>
  <c r="AZ60" i="2"/>
  <c r="AZ57" i="2" s="1"/>
  <c r="AO60" i="2"/>
  <c r="AO57" i="2" s="1"/>
  <c r="AV107" i="2"/>
  <c r="BB60" i="2"/>
  <c r="BB57" i="2"/>
  <c r="BC107" i="2"/>
  <c r="BC108" i="2"/>
  <c r="AU102" i="2"/>
  <c r="AU103" i="2"/>
  <c r="AU101" i="2"/>
  <c r="AU110" i="2" s="1"/>
  <c r="AX71" i="2"/>
  <c r="AX72" i="2"/>
  <c r="AX97" i="2" s="1"/>
  <c r="AQ60" i="2"/>
  <c r="AQ57" i="2" s="1"/>
  <c r="BA60" i="2"/>
  <c r="BA57" i="2"/>
  <c r="U46" i="2"/>
  <c r="U63" i="2"/>
  <c r="U67" i="2"/>
  <c r="X99" i="2"/>
  <c r="X103" i="2" s="1"/>
  <c r="X101" i="2"/>
  <c r="X110" i="2" s="1"/>
  <c r="V78" i="2"/>
  <c r="V21" i="2"/>
  <c r="W64" i="2"/>
  <c r="W95" i="2" s="1"/>
  <c r="W61" i="2"/>
  <c r="W94" i="2" s="1"/>
  <c r="W47" i="2"/>
  <c r="W98" i="2" s="1"/>
  <c r="W58" i="2"/>
  <c r="W93" i="2" s="1"/>
  <c r="AH60" i="2"/>
  <c r="AH57" i="2" s="1"/>
  <c r="AA108" i="2"/>
  <c r="Y78" i="2"/>
  <c r="Y21" i="2"/>
  <c r="W71" i="2"/>
  <c r="AA72" i="2"/>
  <c r="AA97" i="2" s="1"/>
  <c r="AJ60" i="2"/>
  <c r="AJ57" i="2"/>
  <c r="AA67" i="2"/>
  <c r="V99" i="2"/>
  <c r="V101" i="2"/>
  <c r="V110" i="2" s="1"/>
  <c r="AD63" i="2"/>
  <c r="AD67" i="2"/>
  <c r="AG72" i="2"/>
  <c r="AG97" i="2" s="1"/>
  <c r="AE107" i="2"/>
  <c r="AE108" i="2" s="1"/>
  <c r="Y101" i="2"/>
  <c r="Y110" i="2" s="1"/>
  <c r="Z60" i="2"/>
  <c r="Z57" i="2" s="1"/>
  <c r="AI60" i="2"/>
  <c r="AI57" i="2"/>
  <c r="AL61" i="2"/>
  <c r="AL94" i="2" s="1"/>
  <c r="AL47" i="2"/>
  <c r="AL98" i="2" s="1"/>
  <c r="AL64" i="2"/>
  <c r="AL95" i="2" s="1"/>
  <c r="AL58" i="2"/>
  <c r="AL93" i="2" s="1"/>
  <c r="AG60" i="2"/>
  <c r="AG57" i="2" s="1"/>
  <c r="AE60" i="2"/>
  <c r="AE57" i="2"/>
  <c r="AL67" i="2"/>
  <c r="AL68" i="2" s="1"/>
  <c r="AL69" i="2" s="1"/>
  <c r="AL96" i="2" s="1"/>
  <c r="AC46" i="2"/>
  <c r="AB63" i="2"/>
  <c r="AB67" i="2"/>
  <c r="AF60" i="2"/>
  <c r="AF57" i="2"/>
  <c r="AC72" i="2"/>
  <c r="AC97" i="2" s="1"/>
  <c r="AC71" i="2"/>
  <c r="AC68" i="2" s="1"/>
  <c r="AD46" i="2"/>
  <c r="V68" i="2"/>
  <c r="V69" i="2" s="1"/>
  <c r="V96" i="2" s="1"/>
  <c r="Y99" i="2"/>
  <c r="Y103" i="2" s="1"/>
  <c r="AE72" i="2"/>
  <c r="AE97" i="2" s="1"/>
  <c r="AL71" i="2"/>
  <c r="AA107" i="2"/>
  <c r="X78" i="2"/>
  <c r="X21" i="2"/>
  <c r="AH72" i="2"/>
  <c r="AH97" i="2" s="1"/>
  <c r="AC107" i="2"/>
  <c r="AC108" i="2" s="1"/>
  <c r="AB46" i="2"/>
  <c r="AF72" i="2"/>
  <c r="AF97" i="2" s="1"/>
  <c r="W68" i="2"/>
  <c r="W69" i="2" s="1"/>
  <c r="W96" i="2" s="1"/>
  <c r="AB71" i="2"/>
  <c r="AB72" i="2"/>
  <c r="AB97" i="2" s="1"/>
  <c r="AK60" i="2"/>
  <c r="AK57" i="2" s="1"/>
  <c r="AA46" i="2"/>
  <c r="P60" i="2"/>
  <c r="P57" i="2"/>
  <c r="Q60" i="2"/>
  <c r="Q57" i="2"/>
  <c r="O60" i="2"/>
  <c r="O57" i="2"/>
  <c r="S72" i="2"/>
  <c r="S97" i="2" s="1"/>
  <c r="S71" i="2"/>
  <c r="R72" i="2"/>
  <c r="R97" i="2" s="1"/>
  <c r="S68" i="2"/>
  <c r="T60" i="2"/>
  <c r="T57" i="2"/>
  <c r="R60" i="2"/>
  <c r="R57" i="2"/>
  <c r="S69" i="2"/>
  <c r="S96" i="2" s="1"/>
  <c r="S64" i="2"/>
  <c r="S95" i="2" s="1"/>
  <c r="S58" i="2"/>
  <c r="S93" i="2" s="1"/>
  <c r="S47" i="2"/>
  <c r="S98" i="2" s="1"/>
  <c r="S61" i="2"/>
  <c r="S94" i="2" s="1"/>
  <c r="K60" i="2"/>
  <c r="K57" i="2"/>
  <c r="M72" i="2"/>
  <c r="M97" i="2" s="1"/>
  <c r="L72" i="2"/>
  <c r="L97" i="2" s="1"/>
  <c r="M60" i="2"/>
  <c r="M57" i="2"/>
  <c r="N60" i="2"/>
  <c r="N57" i="2" s="1"/>
  <c r="L60" i="2"/>
  <c r="L57" i="2"/>
  <c r="J60" i="2"/>
  <c r="J57" i="2" s="1"/>
  <c r="I60" i="2"/>
  <c r="I57" i="2"/>
  <c r="H60" i="2"/>
  <c r="H57" i="2" s="1"/>
  <c r="G60" i="2"/>
  <c r="G57" i="2" s="1"/>
  <c r="F60" i="2"/>
  <c r="F57" i="2"/>
  <c r="E108" i="2"/>
  <c r="E60" i="2"/>
  <c r="E57" i="2" s="1"/>
  <c r="F107" i="2"/>
  <c r="F108" i="2" s="1"/>
  <c r="D60" i="2"/>
  <c r="D57" i="2"/>
  <c r="D107" i="2"/>
  <c r="D108" i="2" s="1"/>
  <c r="V103" i="2" l="1"/>
  <c r="Y102" i="2"/>
  <c r="CS67" i="2"/>
  <c r="CS63" i="2"/>
  <c r="CS46" i="2"/>
  <c r="CP63" i="2"/>
  <c r="CP46" i="2"/>
  <c r="CP67" i="2"/>
  <c r="CT63" i="2"/>
  <c r="CT67" i="2"/>
  <c r="CT46" i="2"/>
  <c r="CQ63" i="2"/>
  <c r="CQ46" i="2"/>
  <c r="CQ67" i="2"/>
  <c r="CO63" i="2"/>
  <c r="CO67" i="2"/>
  <c r="CO46" i="2"/>
  <c r="CR67" i="2"/>
  <c r="CR63" i="2"/>
  <c r="CR46" i="2"/>
  <c r="CH46" i="2"/>
  <c r="CH63" i="2"/>
  <c r="CH67" i="2"/>
  <c r="CN46" i="2"/>
  <c r="CN63" i="2"/>
  <c r="CN67" i="2"/>
  <c r="BX46" i="2"/>
  <c r="BX63" i="2"/>
  <c r="BX67" i="2"/>
  <c r="CI63" i="2"/>
  <c r="CI67" i="2"/>
  <c r="CI46" i="2"/>
  <c r="BZ67" i="2"/>
  <c r="BZ63" i="2"/>
  <c r="BZ46" i="2"/>
  <c r="CJ46" i="2"/>
  <c r="CJ63" i="2"/>
  <c r="CJ67" i="2"/>
  <c r="CC46" i="2"/>
  <c r="CC63" i="2"/>
  <c r="CC67" i="2"/>
  <c r="CG67" i="2"/>
  <c r="CG63" i="2"/>
  <c r="CG46" i="2"/>
  <c r="CA67" i="2"/>
  <c r="CA63" i="2"/>
  <c r="CA46" i="2"/>
  <c r="CF61" i="2"/>
  <c r="CF94" i="2" s="1"/>
  <c r="CF47" i="2"/>
  <c r="CF98" i="2" s="1"/>
  <c r="CF58" i="2"/>
  <c r="CF93" i="2" s="1"/>
  <c r="CF64" i="2"/>
  <c r="CF95" i="2" s="1"/>
  <c r="CB58" i="2"/>
  <c r="CB93" i="2" s="1"/>
  <c r="CB47" i="2"/>
  <c r="CB98" i="2" s="1"/>
  <c r="CB61" i="2"/>
  <c r="CB94" i="2" s="1"/>
  <c r="CB64" i="2"/>
  <c r="CB95" i="2" s="1"/>
  <c r="CB71" i="2"/>
  <c r="CE21" i="2"/>
  <c r="CE78" i="2"/>
  <c r="CM46" i="2"/>
  <c r="CM67" i="2"/>
  <c r="CM63" i="2"/>
  <c r="BY63" i="2"/>
  <c r="BY46" i="2"/>
  <c r="BY67" i="2"/>
  <c r="CK63" i="2"/>
  <c r="CK46" i="2"/>
  <c r="CK67" i="2"/>
  <c r="BW64" i="2"/>
  <c r="BW95" i="2" s="1"/>
  <c r="BW69" i="2"/>
  <c r="BW96" i="2" s="1"/>
  <c r="BW47" i="2"/>
  <c r="BW98" i="2" s="1"/>
  <c r="BW58" i="2"/>
  <c r="BW93" i="2" s="1"/>
  <c r="BW61" i="2"/>
  <c r="BW94" i="2" s="1"/>
  <c r="CE101" i="2"/>
  <c r="CE110" i="2" s="1"/>
  <c r="CE99" i="2"/>
  <c r="CE102" i="2" s="1"/>
  <c r="BW78" i="2"/>
  <c r="BW21" i="2"/>
  <c r="CD101" i="2"/>
  <c r="CD110" i="2" s="1"/>
  <c r="CD99" i="2"/>
  <c r="CD102" i="2" s="1"/>
  <c r="CL63" i="2"/>
  <c r="CL67" i="2"/>
  <c r="CL46" i="2"/>
  <c r="CF71" i="2"/>
  <c r="BW68" i="2"/>
  <c r="BJ67" i="2"/>
  <c r="BJ63" i="2"/>
  <c r="BJ46" i="2"/>
  <c r="BK46" i="2"/>
  <c r="BK67" i="2"/>
  <c r="BK63" i="2"/>
  <c r="BI63" i="2"/>
  <c r="BI46" i="2"/>
  <c r="BI67" i="2"/>
  <c r="BL67" i="2"/>
  <c r="BL63" i="2"/>
  <c r="BL46" i="2"/>
  <c r="BM46" i="2"/>
  <c r="BM67" i="2"/>
  <c r="BM63" i="2"/>
  <c r="BH21" i="2"/>
  <c r="BH78" i="2"/>
  <c r="BR46" i="2"/>
  <c r="BR67" i="2"/>
  <c r="BR63" i="2"/>
  <c r="BG101" i="2"/>
  <c r="BG110" i="2" s="1"/>
  <c r="BG99" i="2"/>
  <c r="BV68" i="2"/>
  <c r="BV69" i="2" s="1"/>
  <c r="BV96" i="2" s="1"/>
  <c r="BN63" i="2"/>
  <c r="BN46" i="2"/>
  <c r="BN67" i="2"/>
  <c r="BE101" i="2"/>
  <c r="BE110" i="2" s="1"/>
  <c r="BE99" i="2"/>
  <c r="BE102" i="2" s="1"/>
  <c r="BQ46" i="2"/>
  <c r="BQ67" i="2"/>
  <c r="BQ63" i="2"/>
  <c r="BP46" i="2"/>
  <c r="BP67" i="2"/>
  <c r="BP63" i="2"/>
  <c r="BS78" i="2"/>
  <c r="BS21" i="2"/>
  <c r="BO67" i="2"/>
  <c r="BO63" i="2"/>
  <c r="BO46" i="2"/>
  <c r="BT68" i="2"/>
  <c r="BU99" i="2"/>
  <c r="BU102" i="2" s="1"/>
  <c r="BU101" i="2"/>
  <c r="BU110" i="2" s="1"/>
  <c r="BH68" i="2"/>
  <c r="BH69" i="2" s="1"/>
  <c r="BH96" i="2" s="1"/>
  <c r="BV78" i="2"/>
  <c r="BV21" i="2"/>
  <c r="BS101" i="2"/>
  <c r="BS110" i="2" s="1"/>
  <c r="BS99" i="2"/>
  <c r="BS102" i="2" s="1"/>
  <c r="BF101" i="2"/>
  <c r="BF110" i="2" s="1"/>
  <c r="BF99" i="2"/>
  <c r="BF103" i="2" s="1"/>
  <c r="BV64" i="2"/>
  <c r="BV95" i="2" s="1"/>
  <c r="BV58" i="2"/>
  <c r="BV93" i="2" s="1"/>
  <c r="BV47" i="2"/>
  <c r="BV98" i="2" s="1"/>
  <c r="BV61" i="2"/>
  <c r="BV94" i="2" s="1"/>
  <c r="BG78" i="2"/>
  <c r="BG21" i="2"/>
  <c r="BG68" i="2"/>
  <c r="BG69" i="2" s="1"/>
  <c r="BG96" i="2" s="1"/>
  <c r="BE78" i="2"/>
  <c r="BE21" i="2"/>
  <c r="BU21" i="2"/>
  <c r="BU78" i="2"/>
  <c r="BH101" i="2"/>
  <c r="BH110" i="2" s="1"/>
  <c r="BH99" i="2"/>
  <c r="BH102" i="2" s="1"/>
  <c r="BF78" i="2"/>
  <c r="BF21" i="2"/>
  <c r="BT64" i="2"/>
  <c r="BT95" i="2" s="1"/>
  <c r="BT69" i="2"/>
  <c r="BT96" i="2" s="1"/>
  <c r="BT58" i="2"/>
  <c r="BT93" i="2" s="1"/>
  <c r="BT47" i="2"/>
  <c r="BT98" i="2" s="1"/>
  <c r="BT61" i="2"/>
  <c r="BT94" i="2" s="1"/>
  <c r="BT71" i="2"/>
  <c r="AQ46" i="2"/>
  <c r="AQ63" i="2"/>
  <c r="AQ67" i="2"/>
  <c r="AR63" i="2"/>
  <c r="AR46" i="2"/>
  <c r="AR67" i="2"/>
  <c r="AY46" i="2"/>
  <c r="AY63" i="2"/>
  <c r="AY67" i="2"/>
  <c r="AP63" i="2"/>
  <c r="AP67" i="2"/>
  <c r="AP46" i="2"/>
  <c r="AO63" i="2"/>
  <c r="AO67" i="2"/>
  <c r="AO46" i="2"/>
  <c r="AZ46" i="2"/>
  <c r="AZ63" i="2"/>
  <c r="AZ67" i="2"/>
  <c r="AT63" i="2"/>
  <c r="AT67" i="2"/>
  <c r="AT46" i="2"/>
  <c r="AM78" i="2"/>
  <c r="AM21" i="2"/>
  <c r="BA67" i="2"/>
  <c r="BA46" i="2"/>
  <c r="BA63" i="2"/>
  <c r="AV21" i="2"/>
  <c r="AV78" i="2"/>
  <c r="AS58" i="2"/>
  <c r="AS93" i="2" s="1"/>
  <c r="AS47" i="2"/>
  <c r="AS98" i="2" s="1"/>
  <c r="AS64" i="2"/>
  <c r="AS95" i="2" s="1"/>
  <c r="AS61" i="2"/>
  <c r="AS94" i="2" s="1"/>
  <c r="AS71" i="2"/>
  <c r="AN78" i="2"/>
  <c r="AN21" i="2"/>
  <c r="BD46" i="2"/>
  <c r="BD63" i="2"/>
  <c r="BD67" i="2"/>
  <c r="AX78" i="2"/>
  <c r="AX21" i="2"/>
  <c r="AW61" i="2"/>
  <c r="AW94" i="2" s="1"/>
  <c r="AW47" i="2"/>
  <c r="AW98" i="2" s="1"/>
  <c r="AW64" i="2"/>
  <c r="AW95" i="2" s="1"/>
  <c r="AW58" i="2"/>
  <c r="AW93" i="2" s="1"/>
  <c r="BC63" i="2"/>
  <c r="BC46" i="2"/>
  <c r="BC67" i="2"/>
  <c r="AM64" i="2"/>
  <c r="AM95" i="2" s="1"/>
  <c r="AM61" i="2"/>
  <c r="AM94" i="2" s="1"/>
  <c r="AM58" i="2"/>
  <c r="AM93" i="2" s="1"/>
  <c r="AM47" i="2"/>
  <c r="AM98" i="2" s="1"/>
  <c r="AV101" i="2"/>
  <c r="AV110" i="2" s="1"/>
  <c r="AV99" i="2"/>
  <c r="AM68" i="2"/>
  <c r="AM69" i="2" s="1"/>
  <c r="AM96" i="2" s="1"/>
  <c r="BB63" i="2"/>
  <c r="BB67" i="2"/>
  <c r="BB46" i="2"/>
  <c r="AN64" i="2"/>
  <c r="AN95" i="2" s="1"/>
  <c r="AN69" i="2"/>
  <c r="AN96" i="2" s="1"/>
  <c r="AN47" i="2"/>
  <c r="AN98" i="2" s="1"/>
  <c r="AN58" i="2"/>
  <c r="AN93" i="2" s="1"/>
  <c r="AN61" i="2"/>
  <c r="AN94" i="2" s="1"/>
  <c r="AN68" i="2"/>
  <c r="AV68" i="2"/>
  <c r="AV69" i="2" s="1"/>
  <c r="AV96" i="2" s="1"/>
  <c r="AX68" i="2"/>
  <c r="AW71" i="2"/>
  <c r="AX58" i="2"/>
  <c r="AX93" i="2" s="1"/>
  <c r="AX61" i="2"/>
  <c r="AX94" i="2" s="1"/>
  <c r="AX47" i="2"/>
  <c r="AX98" i="2" s="1"/>
  <c r="AX64" i="2"/>
  <c r="AX95" i="2" s="1"/>
  <c r="AX69" i="2"/>
  <c r="AX96" i="2" s="1"/>
  <c r="AH46" i="2"/>
  <c r="AH67" i="2"/>
  <c r="AH63" i="2"/>
  <c r="Z46" i="2"/>
  <c r="Z63" i="2"/>
  <c r="Z67" i="2"/>
  <c r="AK46" i="2"/>
  <c r="AK63" i="2"/>
  <c r="AK67" i="2"/>
  <c r="AG46" i="2"/>
  <c r="AG63" i="2"/>
  <c r="AG67" i="2"/>
  <c r="AB21" i="2"/>
  <c r="AB78" i="2"/>
  <c r="AD61" i="2"/>
  <c r="AD94" i="2" s="1"/>
  <c r="AD58" i="2"/>
  <c r="AD93" i="2" s="1"/>
  <c r="AD47" i="2"/>
  <c r="AD98" i="2" s="1"/>
  <c r="AD64" i="2"/>
  <c r="AD95" i="2" s="1"/>
  <c r="AD71" i="2"/>
  <c r="AF67" i="2"/>
  <c r="AF46" i="2"/>
  <c r="AF63" i="2"/>
  <c r="AE67" i="2"/>
  <c r="AE46" i="2"/>
  <c r="AE63" i="2"/>
  <c r="AB68" i="2"/>
  <c r="AB69" i="2" s="1"/>
  <c r="AB96" i="2" s="1"/>
  <c r="AC69" i="2"/>
  <c r="AC96" i="2" s="1"/>
  <c r="AC58" i="2"/>
  <c r="AC93" i="2" s="1"/>
  <c r="AC64" i="2"/>
  <c r="AC95" i="2" s="1"/>
  <c r="AC61" i="2"/>
  <c r="AC94" i="2" s="1"/>
  <c r="AC47" i="2"/>
  <c r="AC98" i="2" s="1"/>
  <c r="V102" i="2"/>
  <c r="AJ63" i="2"/>
  <c r="AJ67" i="2"/>
  <c r="AJ46" i="2"/>
  <c r="U68" i="2"/>
  <c r="U69" i="2" s="1"/>
  <c r="U96" i="2" s="1"/>
  <c r="W101" i="2"/>
  <c r="W110" i="2" s="1"/>
  <c r="W99" i="2"/>
  <c r="W102" i="2" s="1"/>
  <c r="AB58" i="2"/>
  <c r="AB93" i="2" s="1"/>
  <c r="AB61" i="2"/>
  <c r="AB94" i="2" s="1"/>
  <c r="AB64" i="2"/>
  <c r="AB95" i="2" s="1"/>
  <c r="AB47" i="2"/>
  <c r="AB98" i="2" s="1"/>
  <c r="AL78" i="2"/>
  <c r="AL21" i="2"/>
  <c r="X102" i="2"/>
  <c r="AA58" i="2"/>
  <c r="AA93" i="2" s="1"/>
  <c r="AA61" i="2"/>
  <c r="AA94" i="2" s="1"/>
  <c r="AA64" i="2"/>
  <c r="AA95" i="2" s="1"/>
  <c r="AA47" i="2"/>
  <c r="AA98" i="2" s="1"/>
  <c r="AI63" i="2"/>
  <c r="AI46" i="2"/>
  <c r="AI67" i="2"/>
  <c r="AA71" i="2"/>
  <c r="AC21" i="2"/>
  <c r="AC78" i="2"/>
  <c r="AL101" i="2"/>
  <c r="AL110" i="2" s="1"/>
  <c r="AL99" i="2"/>
  <c r="AL103" i="2" s="1"/>
  <c r="W21" i="2"/>
  <c r="W78" i="2"/>
  <c r="U64" i="2"/>
  <c r="U95" i="2" s="1"/>
  <c r="U58" i="2"/>
  <c r="U93" i="2" s="1"/>
  <c r="U61" i="2"/>
  <c r="U94" i="2" s="1"/>
  <c r="U47" i="2"/>
  <c r="U98" i="2" s="1"/>
  <c r="U71" i="2"/>
  <c r="R67" i="2"/>
  <c r="R63" i="2"/>
  <c r="R46" i="2"/>
  <c r="S99" i="2"/>
  <c r="S102" i="2"/>
  <c r="S103" i="2"/>
  <c r="S101" i="2"/>
  <c r="S110" i="2" s="1"/>
  <c r="T67" i="2"/>
  <c r="T63" i="2"/>
  <c r="T46" i="2"/>
  <c r="S21" i="2"/>
  <c r="S78" i="2"/>
  <c r="O67" i="2"/>
  <c r="O63" i="2"/>
  <c r="O46" i="2"/>
  <c r="Q67" i="2"/>
  <c r="Q46" i="2"/>
  <c r="Q63" i="2"/>
  <c r="P46" i="2"/>
  <c r="P63" i="2"/>
  <c r="P67" i="2"/>
  <c r="J67" i="2"/>
  <c r="J63" i="2"/>
  <c r="J46" i="2"/>
  <c r="N46" i="2"/>
  <c r="N67" i="2"/>
  <c r="N63" i="2"/>
  <c r="I63" i="2"/>
  <c r="I46" i="2"/>
  <c r="I67" i="2"/>
  <c r="L67" i="2"/>
  <c r="L46" i="2"/>
  <c r="L63" i="2"/>
  <c r="M67" i="2"/>
  <c r="M46" i="2"/>
  <c r="M63" i="2"/>
  <c r="K67" i="2"/>
  <c r="K63" i="2"/>
  <c r="K46" i="2"/>
  <c r="G46" i="2"/>
  <c r="G67" i="2"/>
  <c r="G63" i="2"/>
  <c r="H46" i="2"/>
  <c r="H67" i="2"/>
  <c r="H63" i="2"/>
  <c r="E46" i="2"/>
  <c r="E63" i="2"/>
  <c r="E67" i="2"/>
  <c r="F46" i="2"/>
  <c r="F67" i="2"/>
  <c r="F63" i="2"/>
  <c r="D46" i="2"/>
  <c r="D63" i="2"/>
  <c r="D67" i="2"/>
  <c r="BU103" i="2" l="1"/>
  <c r="BF102" i="2"/>
  <c r="AV103" i="2"/>
  <c r="BG102" i="2"/>
  <c r="CR64" i="2"/>
  <c r="CR95" i="2" s="1"/>
  <c r="CR61" i="2"/>
  <c r="CR94" i="2" s="1"/>
  <c r="CR47" i="2"/>
  <c r="CR98" i="2" s="1"/>
  <c r="CR58" i="2"/>
  <c r="CR93" i="2" s="1"/>
  <c r="CR71" i="2"/>
  <c r="CR68" i="2"/>
  <c r="CR69" i="2" s="1"/>
  <c r="CR96" i="2" s="1"/>
  <c r="CO58" i="2"/>
  <c r="CO93" i="2" s="1"/>
  <c r="CO64" i="2"/>
  <c r="CO95" i="2" s="1"/>
  <c r="CO61" i="2"/>
  <c r="CO94" i="2" s="1"/>
  <c r="CO47" i="2"/>
  <c r="CO98" i="2" s="1"/>
  <c r="CO71" i="2"/>
  <c r="CP61" i="2"/>
  <c r="CP94" i="2" s="1"/>
  <c r="CP58" i="2"/>
  <c r="CP93" i="2" s="1"/>
  <c r="CP47" i="2"/>
  <c r="CP98" i="2" s="1"/>
  <c r="CP64" i="2"/>
  <c r="CP95" i="2" s="1"/>
  <c r="CP71" i="2"/>
  <c r="CQ64" i="2"/>
  <c r="CQ95" i="2" s="1"/>
  <c r="CQ47" i="2"/>
  <c r="CQ98" i="2" s="1"/>
  <c r="CQ61" i="2"/>
  <c r="CQ94" i="2" s="1"/>
  <c r="CQ58" i="2"/>
  <c r="CQ93" i="2" s="1"/>
  <c r="CQ71" i="2"/>
  <c r="CT68" i="2"/>
  <c r="CS64" i="2"/>
  <c r="CS95" i="2" s="1"/>
  <c r="CS47" i="2"/>
  <c r="CS98" i="2" s="1"/>
  <c r="CS58" i="2"/>
  <c r="CS93" i="2" s="1"/>
  <c r="CS61" i="2"/>
  <c r="CS94" i="2" s="1"/>
  <c r="CS71" i="2"/>
  <c r="CO68" i="2"/>
  <c r="CO69" i="2" s="1"/>
  <c r="CO96" i="2" s="1"/>
  <c r="CT61" i="2"/>
  <c r="CT94" i="2" s="1"/>
  <c r="CT64" i="2"/>
  <c r="CT95" i="2" s="1"/>
  <c r="CT69" i="2"/>
  <c r="CT96" i="2" s="1"/>
  <c r="CT58" i="2"/>
  <c r="CT93" i="2" s="1"/>
  <c r="CT47" i="2"/>
  <c r="CT98" i="2" s="1"/>
  <c r="CT71" i="2"/>
  <c r="CC58" i="2"/>
  <c r="CC93" i="2" s="1"/>
  <c r="CC47" i="2"/>
  <c r="CC98" i="2" s="1"/>
  <c r="CC61" i="2"/>
  <c r="CC94" i="2" s="1"/>
  <c r="CC64" i="2"/>
  <c r="CC95" i="2" s="1"/>
  <c r="CC71" i="2"/>
  <c r="CC68" i="2" s="1"/>
  <c r="CC69" i="2" s="1"/>
  <c r="CC96" i="2" s="1"/>
  <c r="CJ58" i="2"/>
  <c r="CJ93" i="2" s="1"/>
  <c r="CJ64" i="2"/>
  <c r="CJ95" i="2" s="1"/>
  <c r="CJ61" i="2"/>
  <c r="CJ94" i="2" s="1"/>
  <c r="CJ47" i="2"/>
  <c r="CJ98" i="2" s="1"/>
  <c r="CJ71" i="2"/>
  <c r="CJ68" i="2" s="1"/>
  <c r="CJ69" i="2" s="1"/>
  <c r="CJ96" i="2" s="1"/>
  <c r="BW99" i="2"/>
  <c r="BW102" i="2" s="1"/>
  <c r="BW101" i="2"/>
  <c r="BW110" i="2" s="1"/>
  <c r="CF101" i="2"/>
  <c r="CF110" i="2" s="1"/>
  <c r="CF99" i="2"/>
  <c r="CF78" i="2"/>
  <c r="CF21" i="2"/>
  <c r="CF68" i="2"/>
  <c r="CF69" i="2" s="1"/>
  <c r="CF96" i="2" s="1"/>
  <c r="CK58" i="2"/>
  <c r="CK93" i="2" s="1"/>
  <c r="CK64" i="2"/>
  <c r="CK95" i="2" s="1"/>
  <c r="CK61" i="2"/>
  <c r="CK94" i="2" s="1"/>
  <c r="CK47" i="2"/>
  <c r="CK98" i="2" s="1"/>
  <c r="CK71" i="2"/>
  <c r="CB21" i="2"/>
  <c r="CB78" i="2"/>
  <c r="CB68" i="2"/>
  <c r="CB69" i="2" s="1"/>
  <c r="CB96" i="2" s="1"/>
  <c r="BZ64" i="2"/>
  <c r="BZ95" i="2" s="1"/>
  <c r="BZ69" i="2"/>
  <c r="BZ96" i="2" s="1"/>
  <c r="BZ47" i="2"/>
  <c r="BZ98" i="2" s="1"/>
  <c r="BZ58" i="2"/>
  <c r="BZ93" i="2" s="1"/>
  <c r="BZ61" i="2"/>
  <c r="BZ94" i="2" s="1"/>
  <c r="BZ71" i="2"/>
  <c r="CB101" i="2"/>
  <c r="CB110" i="2" s="1"/>
  <c r="CB99" i="2"/>
  <c r="CI58" i="2"/>
  <c r="CI93" i="2" s="1"/>
  <c r="CI61" i="2"/>
  <c r="CI94" i="2" s="1"/>
  <c r="CI47" i="2"/>
  <c r="CI98" i="2" s="1"/>
  <c r="CI64" i="2"/>
  <c r="CI95" i="2" s="1"/>
  <c r="CI71" i="2"/>
  <c r="BX64" i="2"/>
  <c r="BX95" i="2" s="1"/>
  <c r="BX47" i="2"/>
  <c r="BX98" i="2" s="1"/>
  <c r="BX58" i="2"/>
  <c r="BX93" i="2" s="1"/>
  <c r="BX61" i="2"/>
  <c r="BX94" i="2" s="1"/>
  <c r="BX71" i="2"/>
  <c r="BY68" i="2"/>
  <c r="BY64" i="2"/>
  <c r="BY95" i="2" s="1"/>
  <c r="BY69" i="2"/>
  <c r="BY96" i="2" s="1"/>
  <c r="BY47" i="2"/>
  <c r="BY98" i="2" s="1"/>
  <c r="BY58" i="2"/>
  <c r="BY93" i="2" s="1"/>
  <c r="BY61" i="2"/>
  <c r="BY94" i="2" s="1"/>
  <c r="BY71" i="2"/>
  <c r="CE103" i="2"/>
  <c r="CL58" i="2"/>
  <c r="CL93" i="2" s="1"/>
  <c r="CL61" i="2"/>
  <c r="CL94" i="2" s="1"/>
  <c r="CL64" i="2"/>
  <c r="CL95" i="2" s="1"/>
  <c r="CL47" i="2"/>
  <c r="CL98" i="2" s="1"/>
  <c r="CL71" i="2"/>
  <c r="CA47" i="2"/>
  <c r="CA98" i="2" s="1"/>
  <c r="CA58" i="2"/>
  <c r="CA93" i="2" s="1"/>
  <c r="CA61" i="2"/>
  <c r="CA94" i="2" s="1"/>
  <c r="CA64" i="2"/>
  <c r="CA95" i="2" s="1"/>
  <c r="CA71" i="2"/>
  <c r="CL68" i="2"/>
  <c r="CL69" i="2" s="1"/>
  <c r="CL96" i="2" s="1"/>
  <c r="CA68" i="2"/>
  <c r="CA69" i="2" s="1"/>
  <c r="CA96" i="2" s="1"/>
  <c r="CG47" i="2"/>
  <c r="CG98" i="2" s="1"/>
  <c r="CG61" i="2"/>
  <c r="CG94" i="2" s="1"/>
  <c r="CG64" i="2"/>
  <c r="CG95" i="2" s="1"/>
  <c r="CG58" i="2"/>
  <c r="CG93" i="2" s="1"/>
  <c r="CG71" i="2"/>
  <c r="CD103" i="2"/>
  <c r="CM68" i="2"/>
  <c r="CM69" i="2" s="1"/>
  <c r="CM96" i="2" s="1"/>
  <c r="CG68" i="2"/>
  <c r="CG69" i="2" s="1"/>
  <c r="CG96" i="2" s="1"/>
  <c r="BZ68" i="2"/>
  <c r="CN61" i="2"/>
  <c r="CN94" i="2" s="1"/>
  <c r="CN47" i="2"/>
  <c r="CN98" i="2" s="1"/>
  <c r="CN64" i="2"/>
  <c r="CN95" i="2" s="1"/>
  <c r="CN58" i="2"/>
  <c r="CN93" i="2" s="1"/>
  <c r="CN71" i="2"/>
  <c r="CN68" i="2" s="1"/>
  <c r="CN69" i="2" s="1"/>
  <c r="CN96" i="2" s="1"/>
  <c r="CM61" i="2"/>
  <c r="CM94" i="2" s="1"/>
  <c r="CM47" i="2"/>
  <c r="CM98" i="2" s="1"/>
  <c r="CM64" i="2"/>
  <c r="CM95" i="2" s="1"/>
  <c r="CM58" i="2"/>
  <c r="CM93" i="2" s="1"/>
  <c r="CM71" i="2"/>
  <c r="CH58" i="2"/>
  <c r="CH93" i="2" s="1"/>
  <c r="CH61" i="2"/>
  <c r="CH94" i="2" s="1"/>
  <c r="CH47" i="2"/>
  <c r="CH98" i="2" s="1"/>
  <c r="CH64" i="2"/>
  <c r="CH95" i="2" s="1"/>
  <c r="CH71" i="2"/>
  <c r="BT99" i="2"/>
  <c r="BT102" i="2" s="1"/>
  <c r="BT101" i="2"/>
  <c r="BT110" i="2" s="1"/>
  <c r="BR61" i="2"/>
  <c r="BR94" i="2" s="1"/>
  <c r="BR47" i="2"/>
  <c r="BR98" i="2" s="1"/>
  <c r="BR64" i="2"/>
  <c r="BR95" i="2" s="1"/>
  <c r="BR58" i="2"/>
  <c r="BR93" i="2" s="1"/>
  <c r="BR71" i="2"/>
  <c r="BP68" i="2"/>
  <c r="BM58" i="2"/>
  <c r="BM93" i="2" s="1"/>
  <c r="BM64" i="2"/>
  <c r="BM95" i="2" s="1"/>
  <c r="BM47" i="2"/>
  <c r="BM98" i="2" s="1"/>
  <c r="BM61" i="2"/>
  <c r="BM94" i="2" s="1"/>
  <c r="BM71" i="2"/>
  <c r="BS103" i="2"/>
  <c r="BE103" i="2"/>
  <c r="BI58" i="2"/>
  <c r="BI93" i="2" s="1"/>
  <c r="BI64" i="2"/>
  <c r="BI95" i="2" s="1"/>
  <c r="BI61" i="2"/>
  <c r="BI94" i="2" s="1"/>
  <c r="BI47" i="2"/>
  <c r="BI98" i="2" s="1"/>
  <c r="BI71" i="2"/>
  <c r="BN58" i="2"/>
  <c r="BN93" i="2" s="1"/>
  <c r="BN47" i="2"/>
  <c r="BN98" i="2" s="1"/>
  <c r="BN61" i="2"/>
  <c r="BN94" i="2" s="1"/>
  <c r="BN64" i="2"/>
  <c r="BN95" i="2" s="1"/>
  <c r="BN71" i="2"/>
  <c r="BH103" i="2"/>
  <c r="BN68" i="2"/>
  <c r="BN69" i="2" s="1"/>
  <c r="BN96" i="2" s="1"/>
  <c r="BP61" i="2"/>
  <c r="BP94" i="2" s="1"/>
  <c r="BP47" i="2"/>
  <c r="BP98" i="2" s="1"/>
  <c r="BP58" i="2"/>
  <c r="BP93" i="2" s="1"/>
  <c r="BP69" i="2"/>
  <c r="BP96" i="2" s="1"/>
  <c r="BP64" i="2"/>
  <c r="BP95" i="2" s="1"/>
  <c r="BP71" i="2"/>
  <c r="BQ61" i="2"/>
  <c r="BQ94" i="2" s="1"/>
  <c r="BQ47" i="2"/>
  <c r="BQ98" i="2" s="1"/>
  <c r="BQ58" i="2"/>
  <c r="BQ93" i="2" s="1"/>
  <c r="BQ64" i="2"/>
  <c r="BQ95" i="2" s="1"/>
  <c r="BQ71" i="2"/>
  <c r="BL58" i="2"/>
  <c r="BL93" i="2" s="1"/>
  <c r="BL64" i="2"/>
  <c r="BL95" i="2" s="1"/>
  <c r="BL47" i="2"/>
  <c r="BL98" i="2" s="1"/>
  <c r="BL61" i="2"/>
  <c r="BL94" i="2" s="1"/>
  <c r="BL71" i="2"/>
  <c r="BI68" i="2"/>
  <c r="BI69" i="2" s="1"/>
  <c r="BI96" i="2" s="1"/>
  <c r="BK68" i="2"/>
  <c r="BK58" i="2"/>
  <c r="BK93" i="2" s="1"/>
  <c r="BK69" i="2"/>
  <c r="BK96" i="2" s="1"/>
  <c r="BK47" i="2"/>
  <c r="BK98" i="2" s="1"/>
  <c r="BK61" i="2"/>
  <c r="BK94" i="2" s="1"/>
  <c r="BK64" i="2"/>
  <c r="BK95" i="2" s="1"/>
  <c r="BK71" i="2"/>
  <c r="BT78" i="2"/>
  <c r="BT21" i="2"/>
  <c r="BO61" i="2"/>
  <c r="BO94" i="2" s="1"/>
  <c r="BO47" i="2"/>
  <c r="BO98" i="2" s="1"/>
  <c r="BO58" i="2"/>
  <c r="BO93" i="2" s="1"/>
  <c r="BO64" i="2"/>
  <c r="BO95" i="2" s="1"/>
  <c r="BO71" i="2"/>
  <c r="BJ58" i="2"/>
  <c r="BJ93" i="2" s="1"/>
  <c r="BJ64" i="2"/>
  <c r="BJ95" i="2" s="1"/>
  <c r="BJ47" i="2"/>
  <c r="BJ98" i="2" s="1"/>
  <c r="BJ61" i="2"/>
  <c r="BJ94" i="2" s="1"/>
  <c r="BJ71" i="2"/>
  <c r="BG103" i="2"/>
  <c r="BQ68" i="2"/>
  <c r="BQ69" i="2" s="1"/>
  <c r="BQ96" i="2" s="1"/>
  <c r="BV99" i="2"/>
  <c r="BV103" i="2" s="1"/>
  <c r="BV101" i="2"/>
  <c r="BV110" i="2" s="1"/>
  <c r="AV102" i="2"/>
  <c r="AX101" i="2"/>
  <c r="AX110" i="2" s="1"/>
  <c r="AX99" i="2"/>
  <c r="AX102" i="2" s="1"/>
  <c r="AZ58" i="2"/>
  <c r="AZ93" i="2" s="1"/>
  <c r="AZ61" i="2"/>
  <c r="AZ94" i="2" s="1"/>
  <c r="AZ47" i="2"/>
  <c r="AZ98" i="2" s="1"/>
  <c r="AZ64" i="2"/>
  <c r="AZ95" i="2" s="1"/>
  <c r="AZ71" i="2"/>
  <c r="AZ68" i="2" s="1"/>
  <c r="AZ69" i="2" s="1"/>
  <c r="AZ96" i="2" s="1"/>
  <c r="AS78" i="2"/>
  <c r="AS21" i="2"/>
  <c r="AO68" i="2"/>
  <c r="AO69" i="2" s="1"/>
  <c r="AO96" i="2" s="1"/>
  <c r="AW78" i="2"/>
  <c r="AW21" i="2"/>
  <c r="AP64" i="2"/>
  <c r="AP95" i="2" s="1"/>
  <c r="AP69" i="2"/>
  <c r="AP96" i="2" s="1"/>
  <c r="AP47" i="2"/>
  <c r="AP98" i="2" s="1"/>
  <c r="AP58" i="2"/>
  <c r="AP93" i="2" s="1"/>
  <c r="AP61" i="2"/>
  <c r="AP94" i="2" s="1"/>
  <c r="AP71" i="2"/>
  <c r="AW68" i="2"/>
  <c r="AW69" i="2" s="1"/>
  <c r="AW96" i="2" s="1"/>
  <c r="AS101" i="2"/>
  <c r="AS110" i="2" s="1"/>
  <c r="AS99" i="2"/>
  <c r="AS102" i="2" s="1"/>
  <c r="AP68" i="2"/>
  <c r="BC61" i="2"/>
  <c r="BC94" i="2" s="1"/>
  <c r="BC47" i="2"/>
  <c r="BC98" i="2" s="1"/>
  <c r="BC64" i="2"/>
  <c r="BC95" i="2" s="1"/>
  <c r="BC58" i="2"/>
  <c r="BC93" i="2" s="1"/>
  <c r="BC71" i="2"/>
  <c r="AY68" i="2"/>
  <c r="AY69" i="2" s="1"/>
  <c r="AY96" i="2" s="1"/>
  <c r="AN103" i="2"/>
  <c r="AN99" i="2"/>
  <c r="AN102" i="2" s="1"/>
  <c r="AN101" i="2"/>
  <c r="AN110" i="2" s="1"/>
  <c r="AS68" i="2"/>
  <c r="AS69" i="2" s="1"/>
  <c r="AS96" i="2" s="1"/>
  <c r="AY58" i="2"/>
  <c r="AY93" i="2" s="1"/>
  <c r="AY61" i="2"/>
  <c r="AY94" i="2" s="1"/>
  <c r="AY47" i="2"/>
  <c r="AY98" i="2" s="1"/>
  <c r="AY64" i="2"/>
  <c r="AY95" i="2" s="1"/>
  <c r="AY71" i="2"/>
  <c r="AM99" i="2"/>
  <c r="AM102" i="2" s="1"/>
  <c r="AM101" i="2"/>
  <c r="AM110" i="2" s="1"/>
  <c r="BD61" i="2"/>
  <c r="BD94" i="2" s="1"/>
  <c r="BD47" i="2"/>
  <c r="BD98" i="2" s="1"/>
  <c r="BD64" i="2"/>
  <c r="BD95" i="2" s="1"/>
  <c r="BD58" i="2"/>
  <c r="BD93" i="2" s="1"/>
  <c r="BD71" i="2"/>
  <c r="AO64" i="2"/>
  <c r="AO95" i="2" s="1"/>
  <c r="AO47" i="2"/>
  <c r="AO98" i="2" s="1"/>
  <c r="AO58" i="2"/>
  <c r="AO93" i="2" s="1"/>
  <c r="AO61" i="2"/>
  <c r="AO94" i="2" s="1"/>
  <c r="AO71" i="2"/>
  <c r="AW101" i="2"/>
  <c r="AW110" i="2" s="1"/>
  <c r="AW99" i="2"/>
  <c r="AR68" i="2"/>
  <c r="BA58" i="2"/>
  <c r="BA93" i="2" s="1"/>
  <c r="BA64" i="2"/>
  <c r="BA95" i="2" s="1"/>
  <c r="BA47" i="2"/>
  <c r="BA98" i="2" s="1"/>
  <c r="BA61" i="2"/>
  <c r="BA94" i="2" s="1"/>
  <c r="BA71" i="2"/>
  <c r="AR69" i="2"/>
  <c r="AR96" i="2" s="1"/>
  <c r="AR61" i="2"/>
  <c r="AR94" i="2" s="1"/>
  <c r="AR47" i="2"/>
  <c r="AR98" i="2" s="1"/>
  <c r="AR58" i="2"/>
  <c r="AR93" i="2" s="1"/>
  <c r="AR64" i="2"/>
  <c r="AR95" i="2" s="1"/>
  <c r="AR71" i="2"/>
  <c r="BB58" i="2"/>
  <c r="BB93" i="2" s="1"/>
  <c r="BB64" i="2"/>
  <c r="BB95" i="2" s="1"/>
  <c r="BB61" i="2"/>
  <c r="BB94" i="2" s="1"/>
  <c r="BB47" i="2"/>
  <c r="BB98" i="2" s="1"/>
  <c r="BB71" i="2"/>
  <c r="BB68" i="2"/>
  <c r="BB69" i="2" s="1"/>
  <c r="BB96" i="2" s="1"/>
  <c r="AQ68" i="2"/>
  <c r="AT58" i="2"/>
  <c r="AT93" i="2" s="1"/>
  <c r="AT47" i="2"/>
  <c r="AT98" i="2" s="1"/>
  <c r="AT61" i="2"/>
  <c r="AT94" i="2" s="1"/>
  <c r="AT64" i="2"/>
  <c r="AT95" i="2" s="1"/>
  <c r="AT71" i="2"/>
  <c r="AQ69" i="2"/>
  <c r="AQ96" i="2" s="1"/>
  <c r="AQ47" i="2"/>
  <c r="AQ98" i="2" s="1"/>
  <c r="AQ58" i="2"/>
  <c r="AQ93" i="2" s="1"/>
  <c r="AQ64" i="2"/>
  <c r="AQ95" i="2" s="1"/>
  <c r="AQ61" i="2"/>
  <c r="AQ94" i="2" s="1"/>
  <c r="AQ71" i="2"/>
  <c r="AI58" i="2"/>
  <c r="AI93" i="2" s="1"/>
  <c r="AI47" i="2"/>
  <c r="AI98" i="2" s="1"/>
  <c r="AI61" i="2"/>
  <c r="AI94" i="2" s="1"/>
  <c r="AI64" i="2"/>
  <c r="AI95" i="2" s="1"/>
  <c r="AI71" i="2"/>
  <c r="W103" i="2"/>
  <c r="AJ58" i="2"/>
  <c r="AJ93" i="2" s="1"/>
  <c r="AJ64" i="2"/>
  <c r="AJ95" i="2" s="1"/>
  <c r="AJ61" i="2"/>
  <c r="AJ94" i="2" s="1"/>
  <c r="AJ47" i="2"/>
  <c r="AJ98" i="2" s="1"/>
  <c r="AJ71" i="2"/>
  <c r="AD101" i="2"/>
  <c r="AD110" i="2" s="1"/>
  <c r="AD99" i="2"/>
  <c r="AA21" i="2"/>
  <c r="AA78" i="2"/>
  <c r="U78" i="2"/>
  <c r="U21" i="2"/>
  <c r="AA101" i="2"/>
  <c r="AA110" i="2" s="1"/>
  <c r="AA99" i="2"/>
  <c r="AA68" i="2"/>
  <c r="AA69" i="2" s="1"/>
  <c r="AA96" i="2" s="1"/>
  <c r="AA103" i="2" s="1"/>
  <c r="AK61" i="2"/>
  <c r="AK94" i="2" s="1"/>
  <c r="AK47" i="2"/>
  <c r="AK98" i="2" s="1"/>
  <c r="AK64" i="2"/>
  <c r="AK95" i="2" s="1"/>
  <c r="AK58" i="2"/>
  <c r="AK93" i="2" s="1"/>
  <c r="AK71" i="2"/>
  <c r="AD21" i="2"/>
  <c r="AD78" i="2"/>
  <c r="U101" i="2"/>
  <c r="U110" i="2" s="1"/>
  <c r="U99" i="2"/>
  <c r="U102" i="2" s="1"/>
  <c r="AC101" i="2"/>
  <c r="AC110" i="2" s="1"/>
  <c r="AC99" i="2"/>
  <c r="AC103" i="2" s="1"/>
  <c r="AL102" i="2"/>
  <c r="AE61" i="2"/>
  <c r="AE94" i="2" s="1"/>
  <c r="AE47" i="2"/>
  <c r="AE98" i="2" s="1"/>
  <c r="AE58" i="2"/>
  <c r="AE93" i="2" s="1"/>
  <c r="AE64" i="2"/>
  <c r="AE95" i="2" s="1"/>
  <c r="AE71" i="2"/>
  <c r="AE68" i="2" s="1"/>
  <c r="AE69" i="2" s="1"/>
  <c r="AE96" i="2" s="1"/>
  <c r="AD68" i="2"/>
  <c r="AD69" i="2" s="1"/>
  <c r="AD96" i="2" s="1"/>
  <c r="AG68" i="2"/>
  <c r="AG61" i="2"/>
  <c r="AG94" i="2" s="1"/>
  <c r="AG64" i="2"/>
  <c r="AG95" i="2" s="1"/>
  <c r="AG47" i="2"/>
  <c r="AG98" i="2" s="1"/>
  <c r="AG58" i="2"/>
  <c r="AG93" i="2" s="1"/>
  <c r="AG69" i="2"/>
  <c r="AG96" i="2" s="1"/>
  <c r="AG71" i="2"/>
  <c r="AB101" i="2"/>
  <c r="AB110" i="2" s="1"/>
  <c r="AB99" i="2"/>
  <c r="AB102" i="2" s="1"/>
  <c r="Z58" i="2"/>
  <c r="Z93" i="2" s="1"/>
  <c r="Z64" i="2"/>
  <c r="Z95" i="2" s="1"/>
  <c r="Z61" i="2"/>
  <c r="Z94" i="2" s="1"/>
  <c r="Z47" i="2"/>
  <c r="Z98" i="2" s="1"/>
  <c r="Z71" i="2"/>
  <c r="AI68" i="2"/>
  <c r="AI69" i="2" s="1"/>
  <c r="AI96" i="2" s="1"/>
  <c r="AF47" i="2"/>
  <c r="AF98" i="2" s="1"/>
  <c r="AF61" i="2"/>
  <c r="AF94" i="2" s="1"/>
  <c r="AF58" i="2"/>
  <c r="AF93" i="2" s="1"/>
  <c r="AF64" i="2"/>
  <c r="AF95" i="2" s="1"/>
  <c r="AF71" i="2"/>
  <c r="AH68" i="2"/>
  <c r="AH69" i="2" s="1"/>
  <c r="AH96" i="2" s="1"/>
  <c r="AH58" i="2"/>
  <c r="AH93" i="2" s="1"/>
  <c r="AH61" i="2"/>
  <c r="AH94" i="2" s="1"/>
  <c r="AH47" i="2"/>
  <c r="AH98" i="2" s="1"/>
  <c r="AH64" i="2"/>
  <c r="AH95" i="2" s="1"/>
  <c r="AH71" i="2"/>
  <c r="P64" i="2"/>
  <c r="P95" i="2" s="1"/>
  <c r="P58" i="2"/>
  <c r="P93" i="2" s="1"/>
  <c r="P47" i="2"/>
  <c r="P98" i="2" s="1"/>
  <c r="P61" i="2"/>
  <c r="P94" i="2" s="1"/>
  <c r="P71" i="2"/>
  <c r="O64" i="2"/>
  <c r="O95" i="2" s="1"/>
  <c r="O58" i="2"/>
  <c r="O93" i="2" s="1"/>
  <c r="O47" i="2"/>
  <c r="O98" i="2" s="1"/>
  <c r="O61" i="2"/>
  <c r="O94" i="2" s="1"/>
  <c r="O71" i="2"/>
  <c r="T68" i="2"/>
  <c r="T69" i="2" s="1"/>
  <c r="T96" i="2" s="1"/>
  <c r="Q68" i="2"/>
  <c r="Q69" i="2" s="1"/>
  <c r="Q96" i="2" s="1"/>
  <c r="R58" i="2"/>
  <c r="R93" i="2" s="1"/>
  <c r="R64" i="2"/>
  <c r="R95" i="2" s="1"/>
  <c r="R47" i="2"/>
  <c r="R98" i="2" s="1"/>
  <c r="R61" i="2"/>
  <c r="R94" i="2" s="1"/>
  <c r="R71" i="2"/>
  <c r="T64" i="2"/>
  <c r="T95" i="2" s="1"/>
  <c r="T58" i="2"/>
  <c r="T93" i="2" s="1"/>
  <c r="T61" i="2"/>
  <c r="T94" i="2" s="1"/>
  <c r="T47" i="2"/>
  <c r="T98" i="2" s="1"/>
  <c r="T71" i="2"/>
  <c r="Q64" i="2"/>
  <c r="Q95" i="2" s="1"/>
  <c r="Q58" i="2"/>
  <c r="Q93" i="2" s="1"/>
  <c r="Q47" i="2"/>
  <c r="Q98" i="2" s="1"/>
  <c r="Q61" i="2"/>
  <c r="Q94" i="2" s="1"/>
  <c r="Q71" i="2"/>
  <c r="O68" i="2"/>
  <c r="O69" i="2" s="1"/>
  <c r="O96" i="2" s="1"/>
  <c r="P68" i="2"/>
  <c r="P69" i="2" s="1"/>
  <c r="P96" i="2" s="1"/>
  <c r="K64" i="2"/>
  <c r="K95" i="2" s="1"/>
  <c r="K58" i="2"/>
  <c r="K93" i="2" s="1"/>
  <c r="K47" i="2"/>
  <c r="K98" i="2" s="1"/>
  <c r="K61" i="2"/>
  <c r="K94" i="2" s="1"/>
  <c r="K71" i="2"/>
  <c r="K68" i="2"/>
  <c r="K69" i="2" s="1"/>
  <c r="K96" i="2" s="1"/>
  <c r="M64" i="2"/>
  <c r="M95" i="2" s="1"/>
  <c r="M58" i="2"/>
  <c r="M93" i="2" s="1"/>
  <c r="M47" i="2"/>
  <c r="M98" i="2" s="1"/>
  <c r="M61" i="2"/>
  <c r="M94" i="2" s="1"/>
  <c r="M71" i="2"/>
  <c r="M68" i="2"/>
  <c r="M69" i="2" s="1"/>
  <c r="M96" i="2" s="1"/>
  <c r="L68" i="2"/>
  <c r="L69" i="2" s="1"/>
  <c r="L96" i="2" s="1"/>
  <c r="I64" i="2"/>
  <c r="I95" i="2" s="1"/>
  <c r="I69" i="2"/>
  <c r="I96" i="2" s="1"/>
  <c r="I58" i="2"/>
  <c r="I93" i="2" s="1"/>
  <c r="I61" i="2"/>
  <c r="I94" i="2" s="1"/>
  <c r="I47" i="2"/>
  <c r="I98" i="2" s="1"/>
  <c r="I71" i="2"/>
  <c r="L64" i="2"/>
  <c r="L95" i="2" s="1"/>
  <c r="L58" i="2"/>
  <c r="L93" i="2" s="1"/>
  <c r="L61" i="2"/>
  <c r="L94" i="2" s="1"/>
  <c r="L47" i="2"/>
  <c r="L98" i="2" s="1"/>
  <c r="L71" i="2"/>
  <c r="I68" i="2"/>
  <c r="N64" i="2"/>
  <c r="N95" i="2" s="1"/>
  <c r="N58" i="2"/>
  <c r="N93" i="2" s="1"/>
  <c r="N47" i="2"/>
  <c r="N98" i="2" s="1"/>
  <c r="N61" i="2"/>
  <c r="N94" i="2" s="1"/>
  <c r="N71" i="2"/>
  <c r="J64" i="2"/>
  <c r="J95" i="2" s="1"/>
  <c r="J69" i="2"/>
  <c r="J96" i="2" s="1"/>
  <c r="J58" i="2"/>
  <c r="J93" i="2" s="1"/>
  <c r="J61" i="2"/>
  <c r="J94" i="2" s="1"/>
  <c r="J47" i="2"/>
  <c r="J98" i="2" s="1"/>
  <c r="J71" i="2"/>
  <c r="J68" i="2"/>
  <c r="H58" i="2"/>
  <c r="H93" i="2" s="1"/>
  <c r="H64" i="2"/>
  <c r="H95" i="2" s="1"/>
  <c r="H61" i="2"/>
  <c r="H94" i="2" s="1"/>
  <c r="H47" i="2"/>
  <c r="H98" i="2" s="1"/>
  <c r="H71" i="2"/>
  <c r="G58" i="2"/>
  <c r="G93" i="2" s="1"/>
  <c r="G61" i="2"/>
  <c r="G94" i="2" s="1"/>
  <c r="G47" i="2"/>
  <c r="G98" i="2" s="1"/>
  <c r="G64" i="2"/>
  <c r="G95" i="2" s="1"/>
  <c r="G71" i="2"/>
  <c r="G68" i="2" s="1"/>
  <c r="G69" i="2" s="1"/>
  <c r="G96" i="2" s="1"/>
  <c r="F58" i="2"/>
  <c r="F93" i="2" s="1"/>
  <c r="F61" i="2"/>
  <c r="F94" i="2" s="1"/>
  <c r="F64" i="2"/>
  <c r="F95" i="2" s="1"/>
  <c r="F47" i="2"/>
  <c r="F98" i="2" s="1"/>
  <c r="F71" i="2"/>
  <c r="E58" i="2"/>
  <c r="E93" i="2" s="1"/>
  <c r="E64" i="2"/>
  <c r="E95" i="2" s="1"/>
  <c r="E61" i="2"/>
  <c r="E94" i="2" s="1"/>
  <c r="E47" i="2"/>
  <c r="E98" i="2" s="1"/>
  <c r="E71" i="2"/>
  <c r="D64" i="2"/>
  <c r="D95" i="2" s="1"/>
  <c r="D61" i="2"/>
  <c r="D94" i="2" s="1"/>
  <c r="D58" i="2"/>
  <c r="D93" i="2" s="1"/>
  <c r="D47" i="2"/>
  <c r="D98" i="2" s="1"/>
  <c r="D71" i="2"/>
  <c r="AX103" i="2" l="1"/>
  <c r="BV102" i="2"/>
  <c r="U103" i="2"/>
  <c r="CB103" i="2"/>
  <c r="AD103" i="2"/>
  <c r="AW103" i="2"/>
  <c r="CF102" i="2"/>
  <c r="CP21" i="2"/>
  <c r="CP78" i="2"/>
  <c r="CP68" i="2"/>
  <c r="CP69" i="2" s="1"/>
  <c r="CP96" i="2" s="1"/>
  <c r="CS101" i="2"/>
  <c r="CS110" i="2" s="1"/>
  <c r="CS99" i="2"/>
  <c r="CO78" i="2"/>
  <c r="CO21" i="2"/>
  <c r="CO101" i="2"/>
  <c r="CO110" i="2" s="1"/>
  <c r="CO99" i="2"/>
  <c r="CO102" i="2" s="1"/>
  <c r="CO103" i="2"/>
  <c r="CR101" i="2"/>
  <c r="CR110" i="2" s="1"/>
  <c r="CR99" i="2"/>
  <c r="CR102" i="2" s="1"/>
  <c r="CT101" i="2"/>
  <c r="CT110" i="2" s="1"/>
  <c r="CT102" i="2"/>
  <c r="CT99" i="2"/>
  <c r="CT103" i="2" s="1"/>
  <c r="CP101" i="2"/>
  <c r="CP110" i="2" s="1"/>
  <c r="CP99" i="2"/>
  <c r="CP102" i="2" s="1"/>
  <c r="CP103" i="2"/>
  <c r="CS21" i="2"/>
  <c r="CS78" i="2"/>
  <c r="CQ78" i="2"/>
  <c r="CQ21" i="2"/>
  <c r="CQ101" i="2"/>
  <c r="CQ110" i="2" s="1"/>
  <c r="CQ99" i="2"/>
  <c r="CS68" i="2"/>
  <c r="CS69" i="2" s="1"/>
  <c r="CS96" i="2" s="1"/>
  <c r="CR21" i="2"/>
  <c r="CR78" i="2"/>
  <c r="CT21" i="2"/>
  <c r="CT78" i="2"/>
  <c r="CQ68" i="2"/>
  <c r="CQ69" i="2" s="1"/>
  <c r="CQ96" i="2" s="1"/>
  <c r="CQ102" i="2" s="1"/>
  <c r="BW103" i="2"/>
  <c r="CJ21" i="2"/>
  <c r="CJ78" i="2"/>
  <c r="BZ103" i="2"/>
  <c r="BZ99" i="2"/>
  <c r="BZ102" i="2"/>
  <c r="BZ101" i="2"/>
  <c r="BZ110" i="2" s="1"/>
  <c r="BX78" i="2"/>
  <c r="BX21" i="2"/>
  <c r="CK21" i="2"/>
  <c r="CK78" i="2"/>
  <c r="CI101" i="2"/>
  <c r="CI110" i="2" s="1"/>
  <c r="CI99" i="2"/>
  <c r="CI103" i="2" s="1"/>
  <c r="BY78" i="2"/>
  <c r="BY21" i="2"/>
  <c r="CF103" i="2"/>
  <c r="CN101" i="2"/>
  <c r="CN110" i="2" s="1"/>
  <c r="CN99" i="2"/>
  <c r="CN103" i="2" s="1"/>
  <c r="CA101" i="2"/>
  <c r="CA110" i="2" s="1"/>
  <c r="CA99" i="2"/>
  <c r="CA102" i="2" s="1"/>
  <c r="CL21" i="2"/>
  <c r="CL78" i="2"/>
  <c r="CH78" i="2"/>
  <c r="CH21" i="2"/>
  <c r="CL101" i="2"/>
  <c r="CL110" i="2" s="1"/>
  <c r="CL99" i="2"/>
  <c r="CL102" i="2" s="1"/>
  <c r="CJ101" i="2"/>
  <c r="CJ110" i="2" s="1"/>
  <c r="CJ99" i="2"/>
  <c r="CJ102" i="2" s="1"/>
  <c r="CG78" i="2"/>
  <c r="CG21" i="2"/>
  <c r="CC21" i="2"/>
  <c r="CC78" i="2"/>
  <c r="CH68" i="2"/>
  <c r="CH69" i="2" s="1"/>
  <c r="CH96" i="2" s="1"/>
  <c r="BX68" i="2"/>
  <c r="BX69" i="2" s="1"/>
  <c r="BX96" i="2" s="1"/>
  <c r="BX102" i="2" s="1"/>
  <c r="CG101" i="2"/>
  <c r="CG110" i="2" s="1"/>
  <c r="CG99" i="2"/>
  <c r="CG102" i="2" s="1"/>
  <c r="CK68" i="2"/>
  <c r="CK69" i="2" s="1"/>
  <c r="CK96" i="2" s="1"/>
  <c r="CM99" i="2"/>
  <c r="CM103" i="2" s="1"/>
  <c r="CM101" i="2"/>
  <c r="CM110" i="2" s="1"/>
  <c r="BY99" i="2"/>
  <c r="BY103" i="2" s="1"/>
  <c r="BY102" i="2"/>
  <c r="BY101" i="2"/>
  <c r="BY110" i="2" s="1"/>
  <c r="CB102" i="2"/>
  <c r="CC101" i="2"/>
  <c r="CC110" i="2" s="1"/>
  <c r="CC99" i="2"/>
  <c r="CC103" i="2" s="1"/>
  <c r="CN78" i="2"/>
  <c r="CN21" i="2"/>
  <c r="CA78" i="2"/>
  <c r="CA21" i="2"/>
  <c r="BX99" i="2"/>
  <c r="BX103" i="2" s="1"/>
  <c r="BX101" i="2"/>
  <c r="BX110" i="2" s="1"/>
  <c r="CI21" i="2"/>
  <c r="CI78" i="2"/>
  <c r="CK101" i="2"/>
  <c r="CK110" i="2" s="1"/>
  <c r="CK99" i="2"/>
  <c r="CH101" i="2"/>
  <c r="CH110" i="2" s="1"/>
  <c r="CH99" i="2"/>
  <c r="CM78" i="2"/>
  <c r="CM21" i="2"/>
  <c r="BZ78" i="2"/>
  <c r="BZ21" i="2"/>
  <c r="CI68" i="2"/>
  <c r="CI69" i="2" s="1"/>
  <c r="CI96" i="2" s="1"/>
  <c r="BR78" i="2"/>
  <c r="BR21" i="2"/>
  <c r="BO21" i="2"/>
  <c r="BO78" i="2"/>
  <c r="BR101" i="2"/>
  <c r="BR110" i="2" s="1"/>
  <c r="BR99" i="2"/>
  <c r="BO101" i="2"/>
  <c r="BO110" i="2" s="1"/>
  <c r="BO99" i="2"/>
  <c r="BQ78" i="2"/>
  <c r="BQ21" i="2"/>
  <c r="BN101" i="2"/>
  <c r="BN110" i="2" s="1"/>
  <c r="BN99" i="2"/>
  <c r="BN102" i="2" s="1"/>
  <c r="BM21" i="2"/>
  <c r="BM78" i="2"/>
  <c r="BI21" i="2"/>
  <c r="BI78" i="2"/>
  <c r="BK101" i="2"/>
  <c r="BK110" i="2" s="1"/>
  <c r="BK99" i="2"/>
  <c r="BK102" i="2" s="1"/>
  <c r="BN21" i="2"/>
  <c r="BN78" i="2"/>
  <c r="BJ101" i="2"/>
  <c r="BJ110" i="2" s="1"/>
  <c r="BJ99" i="2"/>
  <c r="BQ101" i="2"/>
  <c r="BQ110" i="2" s="1"/>
  <c r="BQ99" i="2"/>
  <c r="BQ102" i="2" s="1"/>
  <c r="BP101" i="2"/>
  <c r="BP110" i="2" s="1"/>
  <c r="BP99" i="2"/>
  <c r="BP103" i="2" s="1"/>
  <c r="BJ21" i="2"/>
  <c r="BJ78" i="2"/>
  <c r="BM101" i="2"/>
  <c r="BM110" i="2" s="1"/>
  <c r="BM99" i="2"/>
  <c r="BO68" i="2"/>
  <c r="BO69" i="2" s="1"/>
  <c r="BO96" i="2" s="1"/>
  <c r="BI101" i="2"/>
  <c r="BI110" i="2" s="1"/>
  <c r="BI99" i="2"/>
  <c r="BI102" i="2" s="1"/>
  <c r="BL101" i="2"/>
  <c r="BL110" i="2" s="1"/>
  <c r="BL99" i="2"/>
  <c r="BR68" i="2"/>
  <c r="BR69" i="2" s="1"/>
  <c r="BR96" i="2" s="1"/>
  <c r="BK21" i="2"/>
  <c r="BK78" i="2"/>
  <c r="BM68" i="2"/>
  <c r="BM69" i="2" s="1"/>
  <c r="BM96" i="2" s="1"/>
  <c r="BT103" i="2"/>
  <c r="BL21" i="2"/>
  <c r="BL78" i="2"/>
  <c r="BJ68" i="2"/>
  <c r="BJ69" i="2" s="1"/>
  <c r="BJ96" i="2" s="1"/>
  <c r="BP78" i="2"/>
  <c r="BP21" i="2"/>
  <c r="BL68" i="2"/>
  <c r="BL69" i="2" s="1"/>
  <c r="BL96" i="2" s="1"/>
  <c r="AT21" i="2"/>
  <c r="AT78" i="2"/>
  <c r="AS103" i="2"/>
  <c r="BD99" i="2"/>
  <c r="BD101" i="2"/>
  <c r="BD110" i="2" s="1"/>
  <c r="AT101" i="2"/>
  <c r="AT110" i="2" s="1"/>
  <c r="AT99" i="2"/>
  <c r="AO21" i="2"/>
  <c r="AO78" i="2"/>
  <c r="BD78" i="2"/>
  <c r="BD21" i="2"/>
  <c r="BC78" i="2"/>
  <c r="BC21" i="2"/>
  <c r="BC99" i="2"/>
  <c r="BC101" i="2"/>
  <c r="BC110" i="2" s="1"/>
  <c r="AT68" i="2"/>
  <c r="AT69" i="2" s="1"/>
  <c r="AT96" i="2" s="1"/>
  <c r="AM103" i="2"/>
  <c r="BB101" i="2"/>
  <c r="BB110" i="2" s="1"/>
  <c r="BB102" i="2"/>
  <c r="BB99" i="2"/>
  <c r="BB103" i="2" s="1"/>
  <c r="AY101" i="2"/>
  <c r="AY110" i="2" s="1"/>
  <c r="AY99" i="2"/>
  <c r="AY102" i="2" s="1"/>
  <c r="AR21" i="2"/>
  <c r="AR78" i="2"/>
  <c r="BA21" i="2"/>
  <c r="BA78" i="2"/>
  <c r="AZ21" i="2"/>
  <c r="AZ78" i="2"/>
  <c r="BA101" i="2"/>
  <c r="BA110" i="2" s="1"/>
  <c r="BA99" i="2"/>
  <c r="BA103" i="2" s="1"/>
  <c r="BA68" i="2"/>
  <c r="BA69" i="2" s="1"/>
  <c r="BA96" i="2" s="1"/>
  <c r="BA102" i="2" s="1"/>
  <c r="AY21" i="2"/>
  <c r="AY78" i="2"/>
  <c r="AW102" i="2"/>
  <c r="AZ101" i="2"/>
  <c r="AZ110" i="2" s="1"/>
  <c r="AZ99" i="2"/>
  <c r="AZ102" i="2" s="1"/>
  <c r="AP99" i="2"/>
  <c r="AP103" i="2" s="1"/>
  <c r="AP101" i="2"/>
  <c r="AP110" i="2" s="1"/>
  <c r="BD68" i="2"/>
  <c r="BD69" i="2" s="1"/>
  <c r="BD96" i="2" s="1"/>
  <c r="BC68" i="2"/>
  <c r="BC69" i="2" s="1"/>
  <c r="BC96" i="2" s="1"/>
  <c r="BC102" i="2" s="1"/>
  <c r="BB21" i="2"/>
  <c r="BB78" i="2"/>
  <c r="AQ21" i="2"/>
  <c r="AQ78" i="2"/>
  <c r="AO103" i="2"/>
  <c r="AO99" i="2"/>
  <c r="AO102" i="2"/>
  <c r="AO101" i="2"/>
  <c r="AO110" i="2" s="1"/>
  <c r="AP21" i="2"/>
  <c r="AP78" i="2"/>
  <c r="AQ101" i="2"/>
  <c r="AQ110" i="2" s="1"/>
  <c r="AQ99" i="2"/>
  <c r="AQ102" i="2" s="1"/>
  <c r="AR101" i="2"/>
  <c r="AR110" i="2" s="1"/>
  <c r="AR99" i="2"/>
  <c r="AR103" i="2" s="1"/>
  <c r="AF21" i="2"/>
  <c r="AF78" i="2"/>
  <c r="AF101" i="2"/>
  <c r="AF110" i="2" s="1"/>
  <c r="AF99" i="2"/>
  <c r="Z21" i="2"/>
  <c r="Z78" i="2"/>
  <c r="AH78" i="2"/>
  <c r="AH21" i="2"/>
  <c r="Z68" i="2"/>
  <c r="Z69" i="2" s="1"/>
  <c r="Z96" i="2" s="1"/>
  <c r="AA102" i="2"/>
  <c r="AI21" i="2"/>
  <c r="AI78" i="2"/>
  <c r="AF68" i="2"/>
  <c r="AF69" i="2" s="1"/>
  <c r="AF96" i="2" s="1"/>
  <c r="AD102" i="2"/>
  <c r="AE101" i="2"/>
  <c r="AE110" i="2" s="1"/>
  <c r="AE99" i="2"/>
  <c r="AE102" i="2" s="1"/>
  <c r="AG101" i="2"/>
  <c r="AG110" i="2" s="1"/>
  <c r="AG99" i="2"/>
  <c r="AG102" i="2" s="1"/>
  <c r="AK78" i="2"/>
  <c r="AK21" i="2"/>
  <c r="AE21" i="2"/>
  <c r="AE78" i="2"/>
  <c r="AK68" i="2"/>
  <c r="AK69" i="2" s="1"/>
  <c r="AK96" i="2" s="1"/>
  <c r="Z101" i="2"/>
  <c r="Z110" i="2" s="1"/>
  <c r="Z99" i="2"/>
  <c r="AC102" i="2"/>
  <c r="AK101" i="2"/>
  <c r="AK110" i="2" s="1"/>
  <c r="AK99" i="2"/>
  <c r="AK103" i="2" s="1"/>
  <c r="AJ21" i="2"/>
  <c r="AJ78" i="2"/>
  <c r="AJ101" i="2"/>
  <c r="AJ110" i="2" s="1"/>
  <c r="AJ99" i="2"/>
  <c r="AB103" i="2"/>
  <c r="AH101" i="2"/>
  <c r="AH110" i="2" s="1"/>
  <c r="AH99" i="2"/>
  <c r="AH102" i="2" s="1"/>
  <c r="AG21" i="2"/>
  <c r="AG78" i="2"/>
  <c r="AJ68" i="2"/>
  <c r="AJ69" i="2" s="1"/>
  <c r="AJ96" i="2" s="1"/>
  <c r="AJ103" i="2" s="1"/>
  <c r="AI101" i="2"/>
  <c r="AI110" i="2" s="1"/>
  <c r="AI99" i="2"/>
  <c r="AI102" i="2" s="1"/>
  <c r="R21" i="2"/>
  <c r="R78" i="2"/>
  <c r="R68" i="2"/>
  <c r="R69" i="2" s="1"/>
  <c r="R96" i="2" s="1"/>
  <c r="Q21" i="2"/>
  <c r="Q78" i="2"/>
  <c r="R101" i="2"/>
  <c r="R110" i="2" s="1"/>
  <c r="R99" i="2"/>
  <c r="R103" i="2" s="1"/>
  <c r="O101" i="2"/>
  <c r="O110" i="2" s="1"/>
  <c r="O99" i="2"/>
  <c r="O103" i="2" s="1"/>
  <c r="P21" i="2"/>
  <c r="P78" i="2"/>
  <c r="T101" i="2"/>
  <c r="T110" i="2" s="1"/>
  <c r="T99" i="2"/>
  <c r="T103" i="2" s="1"/>
  <c r="P102" i="2"/>
  <c r="P101" i="2"/>
  <c r="P110" i="2" s="1"/>
  <c r="P99" i="2"/>
  <c r="P103" i="2" s="1"/>
  <c r="O78" i="2"/>
  <c r="O21" i="2"/>
  <c r="Q101" i="2"/>
  <c r="Q110" i="2" s="1"/>
  <c r="Q99" i="2"/>
  <c r="Q103" i="2" s="1"/>
  <c r="T21" i="2"/>
  <c r="T78" i="2"/>
  <c r="I99" i="2"/>
  <c r="I103" i="2"/>
  <c r="I102" i="2"/>
  <c r="I101" i="2"/>
  <c r="I110" i="2" s="1"/>
  <c r="M21" i="2"/>
  <c r="M78" i="2"/>
  <c r="L101" i="2"/>
  <c r="L110" i="2" s="1"/>
  <c r="L99" i="2"/>
  <c r="L102" i="2" s="1"/>
  <c r="K101" i="2"/>
  <c r="K110" i="2" s="1"/>
  <c r="K99" i="2"/>
  <c r="K102" i="2" s="1"/>
  <c r="J99" i="2"/>
  <c r="J103" i="2" s="1"/>
  <c r="J102" i="2"/>
  <c r="J101" i="2"/>
  <c r="J110" i="2" s="1"/>
  <c r="N101" i="2"/>
  <c r="N110" i="2" s="1"/>
  <c r="N99" i="2"/>
  <c r="M101" i="2"/>
  <c r="M110" i="2" s="1"/>
  <c r="M99" i="2"/>
  <c r="M102" i="2" s="1"/>
  <c r="K78" i="2"/>
  <c r="K21" i="2"/>
  <c r="N21" i="2"/>
  <c r="N78" i="2"/>
  <c r="N68" i="2"/>
  <c r="N69" i="2" s="1"/>
  <c r="N96" i="2" s="1"/>
  <c r="N102" i="2" s="1"/>
  <c r="L21" i="2"/>
  <c r="L78" i="2"/>
  <c r="J78" i="2"/>
  <c r="J21" i="2"/>
  <c r="I21" i="2"/>
  <c r="I78" i="2"/>
  <c r="G101" i="2"/>
  <c r="G110" i="2" s="1"/>
  <c r="G99" i="2"/>
  <c r="G103" i="2" s="1"/>
  <c r="G21" i="2"/>
  <c r="G78" i="2"/>
  <c r="H101" i="2"/>
  <c r="H110" i="2" s="1"/>
  <c r="H99" i="2"/>
  <c r="H21" i="2"/>
  <c r="H78" i="2"/>
  <c r="H68" i="2"/>
  <c r="H69" i="2" s="1"/>
  <c r="H96" i="2" s="1"/>
  <c r="F21" i="2"/>
  <c r="F78" i="2"/>
  <c r="E21" i="2"/>
  <c r="E78" i="2"/>
  <c r="F101" i="2"/>
  <c r="F110" i="2" s="1"/>
  <c r="F99" i="2"/>
  <c r="E68" i="2"/>
  <c r="E69" i="2" s="1"/>
  <c r="E96" i="2" s="1"/>
  <c r="E101" i="2"/>
  <c r="E110" i="2" s="1"/>
  <c r="E99" i="2"/>
  <c r="F68" i="2"/>
  <c r="F69" i="2" s="1"/>
  <c r="F96" i="2" s="1"/>
  <c r="D101" i="2"/>
  <c r="D110" i="2" s="1"/>
  <c r="D99" i="2"/>
  <c r="D21" i="2"/>
  <c r="D78" i="2"/>
  <c r="D68" i="2"/>
  <c r="D69" i="2" s="1"/>
  <c r="D96" i="2" s="1"/>
  <c r="BD102" i="2" l="1"/>
  <c r="CG103" i="2"/>
  <c r="CN102" i="2"/>
  <c r="AP102" i="2"/>
  <c r="BO102" i="2"/>
  <c r="H102" i="2"/>
  <c r="CS102" i="2"/>
  <c r="D103" i="2"/>
  <c r="N103" i="2"/>
  <c r="BJ102" i="2"/>
  <c r="BM103" i="2"/>
  <c r="CC102" i="2"/>
  <c r="G102" i="2"/>
  <c r="BK103" i="2"/>
  <c r="AF102" i="2"/>
  <c r="BR102" i="2"/>
  <c r="F103" i="2"/>
  <c r="BL103" i="2"/>
  <c r="E102" i="2"/>
  <c r="CH103" i="2"/>
  <c r="CM102" i="2"/>
  <c r="AT102" i="2"/>
  <c r="Z102" i="2"/>
  <c r="CK102" i="2"/>
  <c r="CR103" i="2"/>
  <c r="CQ103" i="2"/>
  <c r="CS103" i="2"/>
  <c r="CK103" i="2"/>
  <c r="CI102" i="2"/>
  <c r="CL103" i="2"/>
  <c r="CA103" i="2"/>
  <c r="CH102" i="2"/>
  <c r="CJ103" i="2"/>
  <c r="BO103" i="2"/>
  <c r="BI103" i="2"/>
  <c r="BJ103" i="2"/>
  <c r="BP102" i="2"/>
  <c r="BN103" i="2"/>
  <c r="BQ103" i="2"/>
  <c r="BR103" i="2"/>
  <c r="BL102" i="2"/>
  <c r="BM102" i="2"/>
  <c r="BC103" i="2"/>
  <c r="AR102" i="2"/>
  <c r="AY103" i="2"/>
  <c r="AT103" i="2"/>
  <c r="AQ103" i="2"/>
  <c r="AZ103" i="2"/>
  <c r="BD103" i="2"/>
  <c r="AE103" i="2"/>
  <c r="AF103" i="2"/>
  <c r="AK102" i="2"/>
  <c r="Z103" i="2"/>
  <c r="AH103" i="2"/>
  <c r="AJ102" i="2"/>
  <c r="AG103" i="2"/>
  <c r="AI103" i="2"/>
  <c r="R102" i="2"/>
  <c r="O102" i="2"/>
  <c r="Q102" i="2"/>
  <c r="T102" i="2"/>
  <c r="M103" i="2"/>
  <c r="K103" i="2"/>
  <c r="L103" i="2"/>
  <c r="H103" i="2"/>
  <c r="E103" i="2"/>
  <c r="F102" i="2"/>
  <c r="D102" i="2"/>
  <c r="C30" i="2" l="1"/>
  <c r="C41" i="2" s="1"/>
  <c r="C31" i="2"/>
  <c r="C42" i="2" s="1"/>
  <c r="C35" i="2"/>
  <c r="C36" i="2"/>
  <c r="C38" i="2"/>
  <c r="C43" i="2"/>
  <c r="C44" i="2"/>
  <c r="C48" i="2"/>
  <c r="C106" i="2" s="1"/>
  <c r="C49" i="2"/>
  <c r="C50" i="2"/>
  <c r="C53" i="2"/>
  <c r="C54" i="2" s="1"/>
  <c r="C55" i="2" s="1"/>
  <c r="C76" i="2"/>
  <c r="C75" i="2" s="1"/>
  <c r="C73" i="2" s="1"/>
  <c r="F44" i="5"/>
  <c r="F46" i="5" s="1"/>
  <c r="F43" i="5"/>
  <c r="E43" i="5"/>
  <c r="E44" i="5" s="1"/>
  <c r="D43" i="5"/>
  <c r="D44" i="5" s="1"/>
  <c r="C43" i="5"/>
  <c r="C44" i="5" s="1"/>
  <c r="C45" i="5" s="1"/>
  <c r="F40" i="5"/>
  <c r="E40" i="5"/>
  <c r="D40" i="5"/>
  <c r="C40" i="5"/>
  <c r="E39" i="5"/>
  <c r="E46" i="5" s="1"/>
  <c r="D39" i="5"/>
  <c r="D46" i="5" s="1"/>
  <c r="C39" i="5"/>
  <c r="C46" i="5" s="1"/>
  <c r="H33" i="5"/>
  <c r="G33" i="5"/>
  <c r="F33" i="5"/>
  <c r="E33" i="5"/>
  <c r="D33" i="5"/>
  <c r="C33" i="5"/>
  <c r="C21" i="5"/>
  <c r="C18" i="5"/>
  <c r="G12" i="5"/>
  <c r="F12" i="5"/>
  <c r="C12" i="5"/>
  <c r="C9" i="5"/>
  <c r="C19" i="5" s="1"/>
  <c r="C20" i="5" s="1"/>
  <c r="J8" i="5"/>
  <c r="J12" i="5" s="1"/>
  <c r="I8" i="5"/>
  <c r="I12" i="5" s="1"/>
  <c r="H8" i="5"/>
  <c r="H12" i="5" s="1"/>
  <c r="G8" i="5"/>
  <c r="F8" i="5"/>
  <c r="C8" i="5"/>
  <c r="J7" i="5"/>
  <c r="I7" i="5"/>
  <c r="H7" i="5"/>
  <c r="G7" i="5"/>
  <c r="F7" i="5"/>
  <c r="E7" i="5"/>
  <c r="D7" i="5"/>
  <c r="C7" i="5"/>
  <c r="J4" i="5"/>
  <c r="I4" i="5"/>
  <c r="H4" i="5"/>
  <c r="G4" i="5"/>
  <c r="F4" i="5"/>
  <c r="D4" i="5"/>
  <c r="E4" i="5" s="1"/>
  <c r="E8" i="5" s="1"/>
  <c r="E12" i="5" s="1"/>
  <c r="C4" i="5"/>
  <c r="J3" i="5"/>
  <c r="I3" i="5"/>
  <c r="H3" i="5"/>
  <c r="G3" i="5"/>
  <c r="F3" i="5"/>
  <c r="D3" i="5"/>
  <c r="C3" i="5"/>
  <c r="J2" i="5"/>
  <c r="I2" i="5"/>
  <c r="H2" i="5"/>
  <c r="G2" i="5"/>
  <c r="F2" i="5"/>
  <c r="E2" i="5"/>
  <c r="D2" i="5"/>
  <c r="C2" i="5"/>
  <c r="D163" i="2"/>
  <c r="C163" i="2"/>
  <c r="J161" i="2"/>
  <c r="J163" i="2" s="1"/>
  <c r="I161" i="2"/>
  <c r="I163" i="2" s="1"/>
  <c r="H161" i="2"/>
  <c r="H163" i="2" s="1"/>
  <c r="G161" i="2"/>
  <c r="G163" i="2" s="1"/>
  <c r="F161" i="2"/>
  <c r="F163" i="2" s="1"/>
  <c r="F165" i="2" s="1"/>
  <c r="E161" i="2"/>
  <c r="E163" i="2" s="1"/>
  <c r="J158" i="2"/>
  <c r="J159" i="2" s="1"/>
  <c r="I158" i="2"/>
  <c r="I159" i="2" s="1"/>
  <c r="I167" i="2" s="1"/>
  <c r="H158" i="2"/>
  <c r="H159" i="2" s="1"/>
  <c r="G158" i="2"/>
  <c r="G159" i="2" s="1"/>
  <c r="G167" i="2" s="1"/>
  <c r="F158" i="2"/>
  <c r="F159" i="2" s="1"/>
  <c r="F167" i="2" s="1"/>
  <c r="E158" i="2"/>
  <c r="E159" i="2" s="1"/>
  <c r="E167" i="2" s="1"/>
  <c r="D158" i="2"/>
  <c r="D159" i="2" s="1"/>
  <c r="C158" i="2"/>
  <c r="C159" i="2" s="1"/>
  <c r="J155" i="2"/>
  <c r="I155" i="2"/>
  <c r="H155" i="2"/>
  <c r="G155" i="2"/>
  <c r="F155" i="2"/>
  <c r="E155" i="2"/>
  <c r="D155" i="2"/>
  <c r="C155" i="2"/>
  <c r="F153" i="2"/>
  <c r="D153" i="2"/>
  <c r="K147" i="2"/>
  <c r="E138" i="2"/>
  <c r="C138" i="2"/>
  <c r="K137" i="2"/>
  <c r="C60" i="2" l="1"/>
  <c r="C57" i="2" s="1"/>
  <c r="H167" i="2"/>
  <c r="D167" i="2"/>
  <c r="C167" i="2"/>
  <c r="J167" i="2"/>
  <c r="C107" i="2"/>
  <c r="C108" i="2" s="1"/>
  <c r="C72" i="2"/>
  <c r="C97" i="2" s="1"/>
  <c r="C113" i="2"/>
  <c r="C115" i="2" s="1"/>
  <c r="E165" i="2"/>
  <c r="E166" i="2" s="1"/>
  <c r="C165" i="2"/>
  <c r="C166" i="2" s="1"/>
  <c r="D165" i="2"/>
  <c r="D166" i="2" s="1"/>
  <c r="E142" i="2"/>
  <c r="E143" i="2" s="1"/>
  <c r="C142" i="2"/>
  <c r="C143" i="2" s="1"/>
  <c r="C148" i="2" s="1"/>
  <c r="C22" i="5"/>
  <c r="C24" i="5" s="1"/>
  <c r="C141" i="2"/>
  <c r="C147" i="2" s="1"/>
  <c r="C149" i="2" s="1"/>
  <c r="C11" i="5"/>
  <c r="E18" i="5" s="1"/>
  <c r="E19" i="5" s="1"/>
  <c r="D8" i="5"/>
  <c r="D12" i="5" s="1"/>
  <c r="E141" i="2"/>
  <c r="E147" i="2" s="1"/>
  <c r="E149" i="2" s="1"/>
  <c r="C46" i="2" l="1"/>
  <c r="C132" i="2"/>
  <c r="C144" i="2"/>
  <c r="C150" i="2" s="1"/>
  <c r="E148" i="2"/>
  <c r="H148" i="2" s="1"/>
  <c r="E144" i="2"/>
  <c r="E150" i="2" s="1"/>
  <c r="H149" i="2"/>
  <c r="C23" i="5"/>
  <c r="C71" i="2" l="1"/>
  <c r="C61" i="2"/>
  <c r="C94" i="2" s="1"/>
  <c r="C58" i="2"/>
  <c r="C93" i="2" s="1"/>
  <c r="C63" i="2"/>
  <c r="C64" i="2" s="1"/>
  <c r="C95" i="2" s="1"/>
  <c r="C67" i="2"/>
  <c r="C68" i="2" s="1"/>
  <c r="C69" i="2" s="1"/>
  <c r="C96" i="2" s="1"/>
  <c r="C47" i="2"/>
  <c r="C98" i="2" s="1"/>
  <c r="C133" i="2"/>
  <c r="C128" i="2"/>
  <c r="C151" i="2"/>
  <c r="C153" i="2"/>
  <c r="H150" i="2"/>
  <c r="C130" i="2"/>
  <c r="E151" i="2"/>
  <c r="E153" i="2"/>
  <c r="C99" i="2" l="1"/>
  <c r="C102" i="2" s="1"/>
  <c r="C78" i="2"/>
  <c r="C21" i="2"/>
  <c r="C101" i="2"/>
  <c r="C110" i="2" s="1"/>
  <c r="C103" i="2"/>
  <c r="C25" i="2"/>
  <c r="C116" i="2"/>
  <c r="C127" i="2"/>
  <c r="C126" i="2"/>
  <c r="C129" i="2" l="1"/>
</calcChain>
</file>

<file path=xl/sharedStrings.xml><?xml version="1.0" encoding="utf-8"?>
<sst xmlns="http://schemas.openxmlformats.org/spreadsheetml/2006/main" count="880" uniqueCount="223">
  <si>
    <t>Name</t>
  </si>
  <si>
    <t>Helper Lipid Mol Weight</t>
  </si>
  <si>
    <t>Postive N per helper lipid (used in NP ratio calculation)</t>
  </si>
  <si>
    <t>DOTAP</t>
  </si>
  <si>
    <t>DSPC</t>
  </si>
  <si>
    <t>18PG</t>
  </si>
  <si>
    <t>DOPE</t>
  </si>
  <si>
    <t>DDAB</t>
  </si>
  <si>
    <t>14PA</t>
  </si>
  <si>
    <t>18BMP</t>
  </si>
  <si>
    <t>SM_102</t>
  </si>
  <si>
    <t>DLin</t>
  </si>
  <si>
    <t>Chol</t>
  </si>
  <si>
    <t xml:space="preserve"> </t>
  </si>
  <si>
    <t>DMG_PEG</t>
  </si>
  <si>
    <t>PBAE</t>
  </si>
  <si>
    <t>IL_NP_ratio</t>
  </si>
  <si>
    <t>(IL+HL)</t>
  </si>
  <si>
    <t>HL_(IL+HL)</t>
  </si>
  <si>
    <t>PEG_(Chol+PEG)</t>
  </si>
  <si>
    <t>SORT_of_total</t>
  </si>
  <si>
    <t>Pred_LnRLU_on_target</t>
  </si>
  <si>
    <t>Pred_LnRLU_RLU_HEPG2</t>
  </si>
  <si>
    <t>opt_method</t>
  </si>
  <si>
    <t>BO</t>
  </si>
  <si>
    <t>i-optimal</t>
  </si>
  <si>
    <t>NSGAII</t>
  </si>
  <si>
    <t>Transpoed</t>
  </si>
  <si>
    <t>I-optimal</t>
  </si>
  <si>
    <t>Date &amp; Person: 2/1/2024</t>
  </si>
  <si>
    <t>Units</t>
  </si>
  <si>
    <t>*drag column to right to create more formulations*</t>
  </si>
  <si>
    <t>Relative Formulation Label</t>
  </si>
  <si>
    <t xml:space="preserve">Absolute Formulation Label </t>
  </si>
  <si>
    <t>Formulation parameters</t>
  </si>
  <si>
    <t>Ionizable Lipid Name</t>
  </si>
  <si>
    <t>Helper Lipid Name</t>
  </si>
  <si>
    <t>Cholesterol Lipid Name</t>
  </si>
  <si>
    <t>PEG Lipid Name</t>
  </si>
  <si>
    <t>5th component name</t>
  </si>
  <si>
    <t>NP Ratio</t>
  </si>
  <si>
    <t>(IL+HL)% (molar)</t>
  </si>
  <si>
    <t>HL/(IL+HL)%</t>
  </si>
  <si>
    <t>PEG/(Chol+PEG)%</t>
  </si>
  <si>
    <t>SORT Molar %</t>
  </si>
  <si>
    <t>Final NP Nucleic Acid Conc</t>
  </si>
  <si>
    <t>ng/uL</t>
  </si>
  <si>
    <t>Total NP Volume</t>
  </si>
  <si>
    <t>ul</t>
  </si>
  <si>
    <t>Antibody Conjugation Parameters</t>
  </si>
  <si>
    <t>Ab/mRNA ratio (ADJUST THIS VALUE)</t>
  </si>
  <si>
    <t>ng/ng</t>
  </si>
  <si>
    <t>Fraction Functional-PEG of all PEG</t>
  </si>
  <si>
    <t>mol/mol</t>
  </si>
  <si>
    <t>Antibody weight</t>
  </si>
  <si>
    <t>g/mol</t>
  </si>
  <si>
    <t>Antibody Concentration</t>
  </si>
  <si>
    <t>mg/mL</t>
  </si>
  <si>
    <t>PEG-NHS:Ab molar ratio</t>
  </si>
  <si>
    <t>TCEP dilution value</t>
  </si>
  <si>
    <t>Dilution Ratio</t>
  </si>
  <si>
    <t>Chemical Properties</t>
  </si>
  <si>
    <t>Ionizable Lipid Mol Weight</t>
  </si>
  <si>
    <t>Cholesterol Mol Weight</t>
  </si>
  <si>
    <t>DMG-PEG Mol Weight</t>
  </si>
  <si>
    <t>Estimated # Phosphates in nucleic acids (used in NP ratio calculation)</t>
  </si>
  <si>
    <t>nmol/ug</t>
  </si>
  <si>
    <t>Postive N per ionizable lipid (used in NP ratio calculation)</t>
  </si>
  <si>
    <t>Postive N per helper lipid (NO LONGER used in NP ratio calculation)</t>
  </si>
  <si>
    <t>PEG maledmide weight</t>
  </si>
  <si>
    <t>5th component Molecular Weight</t>
  </si>
  <si>
    <t>Calculation</t>
  </si>
  <si>
    <t>Ionizable Lipid mM</t>
  </si>
  <si>
    <t>mM</t>
  </si>
  <si>
    <t>helper lipid stock concentration (mM)</t>
  </si>
  <si>
    <t>Cholesterol mM</t>
  </si>
  <si>
    <t>DMG-PEG mM</t>
  </si>
  <si>
    <t>Total Moles of Lipid in formulation</t>
  </si>
  <si>
    <t>nmoles</t>
  </si>
  <si>
    <t>Total moles of 5th component</t>
  </si>
  <si>
    <t>Total Nucleic Acid in formulation</t>
  </si>
  <si>
    <t>ug</t>
  </si>
  <si>
    <t>Total Lipid Phase Volume</t>
  </si>
  <si>
    <t>Total Nucleic Acid Phase Volume</t>
  </si>
  <si>
    <t>% total lipid as SORT lipid</t>
  </si>
  <si>
    <t xml:space="preserve">mol% </t>
  </si>
  <si>
    <t>% other lipid remaining</t>
  </si>
  <si>
    <t>Ionizable lipid Percent (molar)</t>
  </si>
  <si>
    <t>mol %</t>
  </si>
  <si>
    <t>Total Ionizable lipid (nmol)</t>
  </si>
  <si>
    <t>nmol</t>
  </si>
  <si>
    <t>Helper Lipid Percent (molar)</t>
  </si>
  <si>
    <t>Total Helper lipid (nmol)</t>
  </si>
  <si>
    <t>Cholesterol Percent (Molar)</t>
  </si>
  <si>
    <t>Total Cholestrol (mg)</t>
  </si>
  <si>
    <t>mg</t>
  </si>
  <si>
    <t>TOTAL PEG PERCENT (molar)</t>
  </si>
  <si>
    <t>DMG-PEG Percent (molar)</t>
  </si>
  <si>
    <t>Total DMG-PEG (mg)</t>
  </si>
  <si>
    <t>PEG maledmide molar percent</t>
  </si>
  <si>
    <t>Total DMG-PEG Maleimide mass</t>
  </si>
  <si>
    <t>Maleimide nmol</t>
  </si>
  <si>
    <t>Antibody nmol</t>
  </si>
  <si>
    <t>Total antibody mass</t>
  </si>
  <si>
    <t>Lipid mole %</t>
  </si>
  <si>
    <t>Solution Prep Parameters</t>
  </si>
  <si>
    <t>Ionizable Lipid Concentration</t>
  </si>
  <si>
    <t>mg/ml</t>
  </si>
  <si>
    <t xml:space="preserve">Helper Lipid Concentration </t>
  </si>
  <si>
    <t>Cholesterol Concentration</t>
  </si>
  <si>
    <t>DMG-PEG Concentration</t>
  </si>
  <si>
    <t>Functional PEG Concentration</t>
  </si>
  <si>
    <t>Antibody Concentraion (Pre-reduction)</t>
  </si>
  <si>
    <t>5th component</t>
  </si>
  <si>
    <t>Nucleic Acid:Lipid ratio (v/v)</t>
  </si>
  <si>
    <t>Nucleic Acid Stock Concentration</t>
  </si>
  <si>
    <t>ug/ml</t>
  </si>
  <si>
    <t>Final Volumes to add</t>
  </si>
  <si>
    <t>Lipid Phase</t>
  </si>
  <si>
    <t>SM102 solution (μL)</t>
  </si>
  <si>
    <t>Helper lipid solution (μL)</t>
  </si>
  <si>
    <t>Cholesterol Solution (μL)</t>
  </si>
  <si>
    <t>DMG-PEG solution (μL)</t>
  </si>
  <si>
    <t>Functional PEG</t>
  </si>
  <si>
    <t>5th component TO ADD (uL)</t>
  </si>
  <si>
    <t>uL</t>
  </si>
  <si>
    <t>Needed Ethonal Volume (μL)</t>
  </si>
  <si>
    <t>Total volume</t>
  </si>
  <si>
    <t>ARE THERE NEGATIVE VOLUMES?</t>
  </si>
  <si>
    <t>ARE THERE VOLUMES &lt;1.0ul?</t>
  </si>
  <si>
    <t>Nucleic acid Phase</t>
  </si>
  <si>
    <t>Nucleic Acid Stock Solution (μL)</t>
  </si>
  <si>
    <t>25mM MgAc2 pH~4-5 (μL)</t>
  </si>
  <si>
    <t>Total Volume</t>
  </si>
  <si>
    <t>Combined Total Volume (Only LNP, No conjugation)</t>
  </si>
  <si>
    <t>Antibody Addition</t>
  </si>
  <si>
    <t>Antibody (full), Without Reduction</t>
  </si>
  <si>
    <t># of different antibody groups</t>
  </si>
  <si>
    <t>Antibody (to add if split for unconjugated/conjugated)</t>
  </si>
  <si>
    <t>Antibody , After Reduction</t>
  </si>
  <si>
    <t xml:space="preserve">Minimum Needed Across All Formulations </t>
  </si>
  <si>
    <t>*not accounting for different stock concentrations*</t>
  </si>
  <si>
    <t>Priming Volume</t>
  </si>
  <si>
    <t>Ethanol Backfill Per Well</t>
  </si>
  <si>
    <t>Overage Factor</t>
  </si>
  <si>
    <t>Ionizable lipid solution (μL)</t>
  </si>
  <si>
    <t>Water (mL)</t>
  </si>
  <si>
    <t>ml</t>
  </si>
  <si>
    <t>UPDATE EVERY CONJUGATION RUN</t>
  </si>
  <si>
    <t>TCEP Preparation</t>
  </si>
  <si>
    <t>Group #</t>
  </si>
  <si>
    <t>NKp30</t>
  </si>
  <si>
    <t>TCEP Final Conc</t>
  </si>
  <si>
    <t>Excess Ratio</t>
  </si>
  <si>
    <t>Fraction of Total NP</t>
  </si>
  <si>
    <r>
      <rPr>
        <sz val="12"/>
        <color theme="1"/>
        <rFont val="Calibri"/>
        <family val="2"/>
      </rPr>
      <t>Final wanted antibody concentration in reaction (</t>
    </r>
    <r>
      <rPr>
        <b/>
        <sz val="12"/>
        <color theme="1"/>
        <rFont val="Calibri"/>
        <family val="2"/>
      </rPr>
      <t>No more than 1 ug/uL</t>
    </r>
    <r>
      <rPr>
        <sz val="12"/>
        <color theme="1"/>
        <rFont val="Calibri"/>
        <family val="2"/>
      </rPr>
      <t>)</t>
    </r>
  </si>
  <si>
    <t>ug/uL</t>
  </si>
  <si>
    <t>Antibody Stock Conc</t>
  </si>
  <si>
    <t>Moles of Antibody Needed</t>
  </si>
  <si>
    <t>Volume needed</t>
  </si>
  <si>
    <t>mL</t>
  </si>
  <si>
    <t>Mass of Antibody needed</t>
  </si>
  <si>
    <t>Volume of Antibody with excess</t>
  </si>
  <si>
    <t>SUMS</t>
  </si>
  <si>
    <t>Total reaction volume needed</t>
  </si>
  <si>
    <t>TCEP:Antibody Molar Ratio</t>
  </si>
  <si>
    <t>TCEP:antibody molar ratio</t>
  </si>
  <si>
    <t>TCEP MW</t>
  </si>
  <si>
    <t>Moles of TCEP Needed</t>
  </si>
  <si>
    <t>Mass of TCEP</t>
  </si>
  <si>
    <t>Antibody needed</t>
  </si>
  <si>
    <t>Volume of TCEP</t>
  </si>
  <si>
    <t>Volume of PBS</t>
  </si>
  <si>
    <t>mAb Dilution Ratio</t>
  </si>
  <si>
    <t>VOLUME OF FINAL AB TO ADD TO NPS</t>
  </si>
  <si>
    <t>Group Name</t>
  </si>
  <si>
    <t>Tube + NP</t>
  </si>
  <si>
    <t>Tube Only</t>
  </si>
  <si>
    <t>Density</t>
  </si>
  <si>
    <t>g/mL</t>
  </si>
  <si>
    <t>Volume Transferred</t>
  </si>
  <si>
    <t>UF</t>
  </si>
  <si>
    <t>Tube Empty</t>
  </si>
  <si>
    <t>Tube + NP recovered</t>
  </si>
  <si>
    <t>Volume recovered</t>
  </si>
  <si>
    <t>Fraction to save</t>
  </si>
  <si>
    <t>Fraction for conjugation</t>
  </si>
  <si>
    <t>concentration (non-conjugated)</t>
  </si>
  <si>
    <t>Volume NP Added</t>
  </si>
  <si>
    <t>conc added</t>
  </si>
  <si>
    <t>Mass of Tube</t>
  </si>
  <si>
    <t>Mass of Tube + NP</t>
  </si>
  <si>
    <t>Mass of collected NP</t>
  </si>
  <si>
    <t>Expected final conc (100% Yield)</t>
  </si>
  <si>
    <t>ug/mL</t>
  </si>
  <si>
    <t>Expected final conc (95% Yield)</t>
  </si>
  <si>
    <t>Scaling to Espected EE assay conc</t>
  </si>
  <si>
    <t>Expected EE conc</t>
  </si>
  <si>
    <t>Assuming 40% yield</t>
  </si>
  <si>
    <t>purification method used</t>
  </si>
  <si>
    <t>1000kDA Dialysis (24 hr 4C, change at 4hr)</t>
  </si>
  <si>
    <t>Mouse Dose</t>
  </si>
  <si>
    <t>Dose volume</t>
  </si>
  <si>
    <t>Dose concentration</t>
  </si>
  <si>
    <t>Dilution Required</t>
  </si>
  <si>
    <t>Current volume</t>
  </si>
  <si>
    <t>Volume of Sucrose to add</t>
  </si>
  <si>
    <t>Volume of water to add</t>
  </si>
  <si>
    <t>Based on EE assay</t>
  </si>
  <si>
    <t>Concentration of base particle</t>
  </si>
  <si>
    <t>Concentration of SEC particle</t>
  </si>
  <si>
    <t>% Yield</t>
  </si>
  <si>
    <t>Sucrose Addition</t>
  </si>
  <si>
    <t>initial volume of NP</t>
  </si>
  <si>
    <t>Initial NP concentration</t>
  </si>
  <si>
    <t>ng/ul</t>
  </si>
  <si>
    <t>Sucrose Stock conc</t>
  </si>
  <si>
    <t>Final Sucrose Conc</t>
  </si>
  <si>
    <t>Volume of Sucrose to Add</t>
  </si>
  <si>
    <t>Final NP volume</t>
  </si>
  <si>
    <t>Dilution ratio</t>
  </si>
  <si>
    <t>Final NP concentration</t>
  </si>
  <si>
    <t>% OF TOTAL (IL+HL)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</si>
</sst>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0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b/>
      <u/>
      <sz val="11"/>
      <color theme="1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FF0000"/>
      <name val="Consolas"/>
      <family val="2"/>
    </font>
    <font>
      <sz val="11"/>
      <color rgb="FF242424"/>
      <name val="Consolas"/>
      <family val="2"/>
    </font>
    <font>
      <b/>
      <sz val="11"/>
      <color rgb="FFFF0000"/>
      <name val="Calibri"/>
      <family val="2"/>
    </font>
    <font>
      <b/>
      <u/>
      <sz val="12"/>
      <color rgb="FFFF0000"/>
      <name val="Calibri"/>
      <family val="2"/>
    </font>
    <font>
      <sz val="12"/>
      <color rgb="FF0070C0"/>
      <name val="Calibri"/>
      <family val="2"/>
    </font>
    <font>
      <sz val="11"/>
      <name val="Calibri"/>
      <family val="2"/>
    </font>
    <font>
      <b/>
      <sz val="8"/>
      <color rgb="FF000000"/>
      <name val="Helvetica Neue"/>
      <charset val="1"/>
    </font>
    <font>
      <sz val="8"/>
      <color rgb="FF000000"/>
      <name val="Helvetica Neue"/>
      <charset val="1"/>
    </font>
    <font>
      <sz val="11"/>
      <color rgb="FFFF0000"/>
      <name val="Calibri"/>
      <family val="2"/>
    </font>
    <font>
      <sz val="11"/>
      <color theme="1"/>
      <name val="Calibri"/>
      <scheme val="minor"/>
    </font>
    <font>
      <sz val="12"/>
      <color theme="1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7CAAC"/>
        <bgColor rgb="FFF7CAAC"/>
      </patternFill>
    </fill>
    <fill>
      <patternFill patternType="solid">
        <fgColor rgb="FFD9E2F3"/>
        <bgColor rgb="FFD9E2F3"/>
      </patternFill>
    </fill>
    <fill>
      <patternFill patternType="solid">
        <fgColor rgb="FFE2EFD9"/>
        <bgColor rgb="FFE2EFD9"/>
      </patternFill>
    </fill>
    <fill>
      <patternFill patternType="solid">
        <fgColor rgb="FFA8D08D"/>
        <bgColor rgb="FFA8D08D"/>
      </patternFill>
    </fill>
    <fill>
      <patternFill patternType="solid">
        <fgColor rgb="FFFFD965"/>
        <bgColor rgb="FFFFD965"/>
      </patternFill>
    </fill>
    <fill>
      <patternFill patternType="solid">
        <fgColor rgb="FFBDD6EE"/>
        <bgColor rgb="FFBDD6EE"/>
      </patternFill>
    </fill>
    <fill>
      <patternFill patternType="solid">
        <fgColor rgb="FFFFFF00"/>
        <bgColor rgb="FFFFFF00"/>
      </patternFill>
    </fill>
    <fill>
      <patternFill patternType="solid">
        <fgColor rgb="FFFEF2CB"/>
        <bgColor rgb="FFFEF2CB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B4C6E7"/>
        <bgColor rgb="FFB4C6E7"/>
      </patternFill>
    </fill>
    <fill>
      <patternFill patternType="solid">
        <fgColor theme="9"/>
        <bgColor theme="9"/>
      </patternFill>
    </fill>
    <fill>
      <patternFill patternType="solid">
        <fgColor theme="1"/>
        <bgColor theme="1"/>
      </patternFill>
    </fill>
    <fill>
      <patternFill patternType="solid">
        <fgColor rgb="FFC8C8C8"/>
        <bgColor rgb="FFC8C8C8"/>
      </patternFill>
    </fill>
    <fill>
      <patternFill patternType="solid">
        <fgColor theme="5"/>
        <bgColor theme="5"/>
      </patternFill>
    </fill>
    <fill>
      <patternFill patternType="solid">
        <fgColor rgb="FFC5E0B3"/>
        <bgColor rgb="FFC5E0B3"/>
      </patternFill>
    </fill>
    <fill>
      <patternFill patternType="solid">
        <fgColor rgb="FFADB9CA"/>
        <bgColor rgb="FFADB9CA"/>
      </patternFill>
    </fill>
    <fill>
      <patternFill patternType="solid">
        <fgColor rgb="FFD4D4D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0B3B2"/>
        <bgColor indexed="64"/>
      </patternFill>
    </fill>
    <fill>
      <patternFill patternType="solid">
        <fgColor theme="4" tint="0.79998168889431442"/>
        <bgColor indexed="64"/>
      </patternFill>
    </fill>
  </fills>
  <borders count="19">
    <border>
      <left/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</borders>
  <cellStyleXfs count="3">
    <xf numFmtId="0" fontId="0" fillId="0" borderId="0"/>
    <xf numFmtId="9" fontId="18" fillId="0" borderId="0" applyFont="0" applyFill="0" applyBorder="0" applyAlignment="0" applyProtection="0"/>
    <xf numFmtId="0" fontId="19" fillId="0" borderId="15"/>
  </cellStyleXfs>
  <cellXfs count="133">
    <xf numFmtId="0" fontId="0" fillId="0" borderId="0" xfId="0"/>
    <xf numFmtId="0" fontId="2" fillId="0" borderId="0" xfId="0" applyFont="1"/>
    <xf numFmtId="0" fontId="5" fillId="0" borderId="0" xfId="0" applyFont="1"/>
    <xf numFmtId="0" fontId="4" fillId="0" borderId="0" xfId="0" applyFont="1"/>
    <xf numFmtId="0" fontId="4" fillId="2" borderId="1" xfId="0" applyFont="1" applyFill="1" applyBorder="1"/>
    <xf numFmtId="0" fontId="3" fillId="3" borderId="1" xfId="0" applyFont="1" applyFill="1" applyBorder="1"/>
    <xf numFmtId="0" fontId="4" fillId="4" borderId="4" xfId="0" applyFont="1" applyFill="1" applyBorder="1"/>
    <xf numFmtId="0" fontId="4" fillId="4" borderId="5" xfId="0" applyFont="1" applyFill="1" applyBorder="1"/>
    <xf numFmtId="0" fontId="4" fillId="4" borderId="3" xfId="0" applyFont="1" applyFill="1" applyBorder="1"/>
    <xf numFmtId="0" fontId="4" fillId="4" borderId="1" xfId="0" applyFont="1" applyFill="1" applyBorder="1"/>
    <xf numFmtId="0" fontId="7" fillId="4" borderId="3" xfId="0" applyFont="1" applyFill="1" applyBorder="1"/>
    <xf numFmtId="0" fontId="8" fillId="4" borderId="7" xfId="0" applyFont="1" applyFill="1" applyBorder="1"/>
    <xf numFmtId="0" fontId="3" fillId="4" borderId="8" xfId="0" applyFont="1" applyFill="1" applyBorder="1"/>
    <xf numFmtId="0" fontId="7" fillId="0" borderId="0" xfId="0" applyFont="1"/>
    <xf numFmtId="0" fontId="7" fillId="5" borderId="11" xfId="0" applyFont="1" applyFill="1" applyBorder="1"/>
    <xf numFmtId="0" fontId="4" fillId="5" borderId="12" xfId="0" applyFont="1" applyFill="1" applyBorder="1"/>
    <xf numFmtId="0" fontId="9" fillId="5" borderId="13" xfId="0" applyFont="1" applyFill="1" applyBorder="1"/>
    <xf numFmtId="0" fontId="4" fillId="6" borderId="4" xfId="0" applyFont="1" applyFill="1" applyBorder="1"/>
    <xf numFmtId="0" fontId="4" fillId="6" borderId="5" xfId="0" applyFont="1" applyFill="1" applyBorder="1"/>
    <xf numFmtId="0" fontId="4" fillId="7" borderId="4" xfId="0" applyFont="1" applyFill="1" applyBorder="1"/>
    <xf numFmtId="0" fontId="4" fillId="7" borderId="5" xfId="0" applyFont="1" applyFill="1" applyBorder="1"/>
    <xf numFmtId="0" fontId="4" fillId="6" borderId="3" xfId="0" applyFont="1" applyFill="1" applyBorder="1"/>
    <xf numFmtId="0" fontId="4" fillId="6" borderId="1" xfId="0" applyFont="1" applyFill="1" applyBorder="1"/>
    <xf numFmtId="0" fontId="4" fillId="6" borderId="7" xfId="0" applyFont="1" applyFill="1" applyBorder="1"/>
    <xf numFmtId="0" fontId="4" fillId="6" borderId="8" xfId="0" applyFont="1" applyFill="1" applyBorder="1"/>
    <xf numFmtId="0" fontId="10" fillId="6" borderId="10" xfId="0" applyFont="1" applyFill="1" applyBorder="1"/>
    <xf numFmtId="0" fontId="11" fillId="0" borderId="0" xfId="0" applyFont="1"/>
    <xf numFmtId="0" fontId="3" fillId="9" borderId="4" xfId="0" applyFont="1" applyFill="1" applyBorder="1"/>
    <xf numFmtId="0" fontId="3" fillId="9" borderId="5" xfId="0" applyFont="1" applyFill="1" applyBorder="1"/>
    <xf numFmtId="0" fontId="3" fillId="9" borderId="3" xfId="0" applyFont="1" applyFill="1" applyBorder="1"/>
    <xf numFmtId="0" fontId="3" fillId="9" borderId="1" xfId="0" applyFont="1" applyFill="1" applyBorder="1"/>
    <xf numFmtId="0" fontId="3" fillId="8" borderId="3" xfId="0" applyFont="1" applyFill="1" applyBorder="1"/>
    <xf numFmtId="0" fontId="3" fillId="9" borderId="7" xfId="0" applyFont="1" applyFill="1" applyBorder="1"/>
    <xf numFmtId="0" fontId="3" fillId="9" borderId="8" xfId="0" applyFont="1" applyFill="1" applyBorder="1"/>
    <xf numFmtId="0" fontId="8" fillId="8" borderId="3" xfId="0" applyFont="1" applyFill="1" applyBorder="1"/>
    <xf numFmtId="0" fontId="12" fillId="0" borderId="0" xfId="0" applyFont="1"/>
    <xf numFmtId="0" fontId="4" fillId="2" borderId="4" xfId="0" applyFont="1" applyFill="1" applyBorder="1"/>
    <xf numFmtId="0" fontId="4" fillId="2" borderId="5" xfId="0" applyFont="1" applyFill="1" applyBorder="1"/>
    <xf numFmtId="0" fontId="4" fillId="2" borderId="6" xfId="0" applyFont="1" applyFill="1" applyBorder="1"/>
    <xf numFmtId="0" fontId="4" fillId="2" borderId="3" xfId="0" applyFont="1" applyFill="1" applyBorder="1"/>
    <xf numFmtId="0" fontId="4" fillId="2" borderId="2" xfId="0" applyFont="1" applyFill="1" applyBorder="1"/>
    <xf numFmtId="0" fontId="4" fillId="2" borderId="7" xfId="0" applyFont="1" applyFill="1" applyBorder="1"/>
    <xf numFmtId="0" fontId="4" fillId="2" borderId="8" xfId="0" applyFont="1" applyFill="1" applyBorder="1"/>
    <xf numFmtId="0" fontId="4" fillId="2" borderId="10" xfId="0" applyFont="1" applyFill="1" applyBorder="1"/>
    <xf numFmtId="0" fontId="4" fillId="10" borderId="7" xfId="0" applyFont="1" applyFill="1" applyBorder="1"/>
    <xf numFmtId="0" fontId="4" fillId="10" borderId="8" xfId="0" applyFont="1" applyFill="1" applyBorder="1"/>
    <xf numFmtId="0" fontId="4" fillId="10" borderId="10" xfId="0" applyFont="1" applyFill="1" applyBorder="1"/>
    <xf numFmtId="0" fontId="4" fillId="11" borderId="1" xfId="0" applyFont="1" applyFill="1" applyBorder="1"/>
    <xf numFmtId="0" fontId="4" fillId="12" borderId="1" xfId="0" applyFont="1" applyFill="1" applyBorder="1"/>
    <xf numFmtId="0" fontId="4" fillId="12" borderId="3" xfId="0" applyFont="1" applyFill="1" applyBorder="1"/>
    <xf numFmtId="0" fontId="4" fillId="10" borderId="1" xfId="0" applyFont="1" applyFill="1" applyBorder="1"/>
    <xf numFmtId="0" fontId="4" fillId="10" borderId="3" xfId="0" applyFont="1" applyFill="1" applyBorder="1"/>
    <xf numFmtId="0" fontId="4" fillId="10" borderId="4" xfId="0" applyFont="1" applyFill="1" applyBorder="1"/>
    <xf numFmtId="0" fontId="4" fillId="10" borderId="5" xfId="0" applyFont="1" applyFill="1" applyBorder="1"/>
    <xf numFmtId="0" fontId="4" fillId="10" borderId="6" xfId="0" applyFont="1" applyFill="1" applyBorder="1"/>
    <xf numFmtId="0" fontId="4" fillId="13" borderId="6" xfId="0" applyFont="1" applyFill="1" applyBorder="1"/>
    <xf numFmtId="0" fontId="4" fillId="14" borderId="1" xfId="0" applyFont="1" applyFill="1" applyBorder="1"/>
    <xf numFmtId="0" fontId="4" fillId="14" borderId="2" xfId="0" applyFont="1" applyFill="1" applyBorder="1"/>
    <xf numFmtId="0" fontId="4" fillId="14" borderId="3" xfId="0" applyFont="1" applyFill="1" applyBorder="1"/>
    <xf numFmtId="0" fontId="13" fillId="0" borderId="0" xfId="0" applyFont="1"/>
    <xf numFmtId="0" fontId="4" fillId="12" borderId="5" xfId="0" applyFont="1" applyFill="1" applyBorder="1"/>
    <xf numFmtId="0" fontId="4" fillId="12" borderId="8" xfId="0" applyFont="1" applyFill="1" applyBorder="1"/>
    <xf numFmtId="0" fontId="3" fillId="7" borderId="3" xfId="0" applyFont="1" applyFill="1" applyBorder="1"/>
    <xf numFmtId="164" fontId="3" fillId="17" borderId="16" xfId="0" applyNumberFormat="1" applyFont="1" applyFill="1" applyBorder="1"/>
    <xf numFmtId="10" fontId="3" fillId="0" borderId="0" xfId="0" applyNumberFormat="1" applyFont="1"/>
    <xf numFmtId="0" fontId="15" fillId="19" borderId="17" xfId="0" applyFont="1" applyFill="1" applyBorder="1"/>
    <xf numFmtId="0" fontId="16" fillId="0" borderId="17" xfId="0" applyFont="1" applyBorder="1"/>
    <xf numFmtId="0" fontId="4" fillId="20" borderId="0" xfId="0" applyFont="1" applyFill="1"/>
    <xf numFmtId="0" fontId="4" fillId="21" borderId="0" xfId="0" applyFont="1" applyFill="1"/>
    <xf numFmtId="0" fontId="3" fillId="22" borderId="4" xfId="0" applyFont="1" applyFill="1" applyBorder="1"/>
    <xf numFmtId="0" fontId="3" fillId="22" borderId="3" xfId="0" applyFont="1" applyFill="1" applyBorder="1"/>
    <xf numFmtId="0" fontId="3" fillId="22" borderId="7" xfId="0" applyFont="1" applyFill="1" applyBorder="1"/>
    <xf numFmtId="0" fontId="3" fillId="0" borderId="3" xfId="0" applyFont="1" applyBorder="1"/>
    <xf numFmtId="0" fontId="4" fillId="2" borderId="15" xfId="0" applyFont="1" applyFill="1" applyBorder="1"/>
    <xf numFmtId="0" fontId="4" fillId="0" borderId="5" xfId="0" applyFont="1" applyBorder="1"/>
    <xf numFmtId="0" fontId="4" fillId="0" borderId="4" xfId="0" applyFont="1" applyBorder="1" applyAlignment="1">
      <alignment horizontal="center"/>
    </xf>
    <xf numFmtId="0" fontId="4" fillId="0" borderId="6" xfId="0" applyFont="1" applyBorder="1"/>
    <xf numFmtId="0" fontId="4" fillId="0" borderId="14" xfId="0" applyFont="1" applyBorder="1"/>
    <xf numFmtId="0" fontId="4" fillId="0" borderId="4" xfId="0" applyFont="1" applyBorder="1"/>
    <xf numFmtId="0" fontId="4" fillId="0" borderId="1" xfId="0" applyFont="1" applyBorder="1"/>
    <xf numFmtId="0" fontId="4" fillId="0" borderId="3" xfId="0" applyFont="1" applyBorder="1"/>
    <xf numFmtId="0" fontId="4" fillId="0" borderId="2" xfId="0" applyFont="1" applyBorder="1"/>
    <xf numFmtId="0" fontId="4" fillId="2" borderId="15" xfId="0" applyFont="1" applyFill="1" applyBorder="1" applyAlignment="1">
      <alignment horizontal="center"/>
    </xf>
    <xf numFmtId="0" fontId="4" fillId="20" borderId="15" xfId="0" applyFont="1" applyFill="1" applyBorder="1" applyAlignment="1">
      <alignment horizontal="center"/>
    </xf>
    <xf numFmtId="0" fontId="4" fillId="21" borderId="15" xfId="0" applyFont="1" applyFill="1" applyBorder="1" applyAlignment="1">
      <alignment horizontal="center"/>
    </xf>
    <xf numFmtId="0" fontId="3" fillId="2" borderId="15" xfId="0" applyFont="1" applyFill="1" applyBorder="1"/>
    <xf numFmtId="0" fontId="3" fillId="20" borderId="15" xfId="0" applyFont="1" applyFill="1" applyBorder="1"/>
    <xf numFmtId="0" fontId="3" fillId="21" borderId="15" xfId="0" applyFont="1" applyFill="1" applyBorder="1"/>
    <xf numFmtId="0" fontId="6" fillId="3" borderId="15" xfId="0" applyFont="1" applyFill="1" applyBorder="1"/>
    <xf numFmtId="0" fontId="3" fillId="0" borderId="1" xfId="0" applyFont="1" applyBorder="1"/>
    <xf numFmtId="0" fontId="6" fillId="0" borderId="0" xfId="0" applyFont="1"/>
    <xf numFmtId="0" fontId="4" fillId="8" borderId="15" xfId="0" applyFont="1" applyFill="1" applyBorder="1"/>
    <xf numFmtId="0" fontId="3" fillId="9" borderId="15" xfId="0" applyFont="1" applyFill="1" applyBorder="1"/>
    <xf numFmtId="0" fontId="5" fillId="0" borderId="1" xfId="0" applyFont="1" applyBorder="1"/>
    <xf numFmtId="0" fontId="4" fillId="11" borderId="15" xfId="0" applyFont="1" applyFill="1" applyBorder="1"/>
    <xf numFmtId="0" fontId="4" fillId="12" borderId="15" xfId="0" applyFont="1" applyFill="1" applyBorder="1"/>
    <xf numFmtId="0" fontId="7" fillId="10" borderId="15" xfId="0" applyFont="1" applyFill="1" applyBorder="1"/>
    <xf numFmtId="0" fontId="4" fillId="10" borderId="15" xfId="0" applyFont="1" applyFill="1" applyBorder="1"/>
    <xf numFmtId="2" fontId="4" fillId="10" borderId="15" xfId="0" applyNumberFormat="1" applyFont="1" applyFill="1" applyBorder="1"/>
    <xf numFmtId="0" fontId="4" fillId="14" borderId="15" xfId="0" applyFont="1" applyFill="1" applyBorder="1"/>
    <xf numFmtId="0" fontId="7" fillId="15" borderId="15" xfId="0" applyFont="1" applyFill="1" applyBorder="1"/>
    <xf numFmtId="0" fontId="3" fillId="8" borderId="15" xfId="0" applyFont="1" applyFill="1" applyBorder="1"/>
    <xf numFmtId="0" fontId="4" fillId="16" borderId="15" xfId="0" applyFont="1" applyFill="1" applyBorder="1"/>
    <xf numFmtId="0" fontId="7" fillId="3" borderId="15" xfId="0" applyFont="1" applyFill="1" applyBorder="1"/>
    <xf numFmtId="0" fontId="4" fillId="3" borderId="15" xfId="0" applyFont="1" applyFill="1" applyBorder="1"/>
    <xf numFmtId="0" fontId="7" fillId="8" borderId="15" xfId="0" applyFont="1" applyFill="1" applyBorder="1"/>
    <xf numFmtId="0" fontId="4" fillId="5" borderId="15" xfId="0" applyFont="1" applyFill="1" applyBorder="1"/>
    <xf numFmtId="0" fontId="4" fillId="7" borderId="15" xfId="0" applyFont="1" applyFill="1" applyBorder="1"/>
    <xf numFmtId="0" fontId="3" fillId="18" borderId="15" xfId="0" applyFont="1" applyFill="1" applyBorder="1"/>
    <xf numFmtId="0" fontId="7" fillId="2" borderId="15" xfId="0" applyFont="1" applyFill="1" applyBorder="1"/>
    <xf numFmtId="0" fontId="15" fillId="23" borderId="17" xfId="0" applyFont="1" applyFill="1" applyBorder="1"/>
    <xf numFmtId="0" fontId="4" fillId="24" borderId="15" xfId="0" applyFont="1" applyFill="1" applyBorder="1" applyAlignment="1">
      <alignment horizontal="center"/>
    </xf>
    <xf numFmtId="0" fontId="3" fillId="24" borderId="15" xfId="0" applyFont="1" applyFill="1" applyBorder="1"/>
    <xf numFmtId="0" fontId="4" fillId="24" borderId="0" xfId="0" applyFont="1" applyFill="1"/>
    <xf numFmtId="0" fontId="4" fillId="24" borderId="2" xfId="0" applyFont="1" applyFill="1" applyBorder="1"/>
    <xf numFmtId="0" fontId="4" fillId="24" borderId="3" xfId="0" applyFont="1" applyFill="1" applyBorder="1"/>
    <xf numFmtId="0" fontId="5" fillId="21" borderId="15" xfId="0" applyFont="1" applyFill="1" applyBorder="1" applyAlignment="1">
      <alignment horizontal="center"/>
    </xf>
    <xf numFmtId="0" fontId="17" fillId="21" borderId="15" xfId="0" applyFont="1" applyFill="1" applyBorder="1"/>
    <xf numFmtId="0" fontId="5" fillId="21" borderId="0" xfId="0" applyFont="1" applyFill="1"/>
    <xf numFmtId="0" fontId="5" fillId="24" borderId="0" xfId="0" applyFont="1" applyFill="1"/>
    <xf numFmtId="0" fontId="5" fillId="24" borderId="3" xfId="0" applyFont="1" applyFill="1" applyBorder="1"/>
    <xf numFmtId="0" fontId="17" fillId="24" borderId="9" xfId="0" applyFont="1" applyFill="1" applyBorder="1"/>
    <xf numFmtId="0" fontId="5" fillId="24" borderId="15" xfId="0" applyFont="1" applyFill="1" applyBorder="1" applyAlignment="1">
      <alignment horizontal="center"/>
    </xf>
    <xf numFmtId="0" fontId="17" fillId="24" borderId="15" xfId="0" applyFont="1" applyFill="1" applyBorder="1"/>
    <xf numFmtId="0" fontId="5" fillId="0" borderId="6" xfId="0" applyFont="1" applyBorder="1"/>
    <xf numFmtId="0" fontId="4" fillId="0" borderId="3" xfId="0" applyFont="1" applyBorder="1" applyAlignment="1">
      <alignment horizontal="center"/>
    </xf>
    <xf numFmtId="0" fontId="0" fillId="0" borderId="0" xfId="0"/>
    <xf numFmtId="0" fontId="4" fillId="0" borderId="0" xfId="0" applyFont="1" applyAlignment="1">
      <alignment horizontal="center"/>
    </xf>
    <xf numFmtId="0" fontId="7" fillId="13" borderId="15" xfId="0" applyFont="1" applyFill="1" applyBorder="1" applyAlignment="1">
      <alignment horizontal="center"/>
    </xf>
    <xf numFmtId="0" fontId="14" fillId="0" borderId="15" xfId="0" applyFont="1" applyBorder="1"/>
    <xf numFmtId="0" fontId="19" fillId="0" borderId="15" xfId="2"/>
    <xf numFmtId="2" fontId="19" fillId="0" borderId="18" xfId="1" applyNumberFormat="1" applyFont="1" applyBorder="1"/>
    <xf numFmtId="0" fontId="1" fillId="0" borderId="0" xfId="0" applyFont="1"/>
  </cellXfs>
  <cellStyles count="3">
    <cellStyle name="Normal" xfId="0" builtinId="0"/>
    <cellStyle name="Normal 2" xfId="2" xr:uid="{2EF7A290-E451-4818-BF9D-414A5E60343F}"/>
    <cellStyle name="Percent" xfId="1" builtinId="5"/>
  </cellStyles>
  <dxfs count="1"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0"/>
  <sheetViews>
    <sheetView workbookViewId="0"/>
  </sheetViews>
  <sheetFormatPr defaultColWidth="14.44140625" defaultRowHeight="15" customHeight="1"/>
  <cols>
    <col min="1" max="1" width="11.33203125" customWidth="1"/>
    <col min="2" max="2" width="20.6640625" customWidth="1"/>
    <col min="3" max="3" width="45.6640625" customWidth="1"/>
    <col min="4" max="26" width="8.88671875" customWidth="1"/>
  </cols>
  <sheetData>
    <row r="1" spans="1:4" ht="14.25" customHeight="1">
      <c r="A1" s="1" t="s">
        <v>0</v>
      </c>
      <c r="B1" s="1" t="s">
        <v>1</v>
      </c>
      <c r="C1" s="1" t="s">
        <v>2</v>
      </c>
    </row>
    <row r="2" spans="1:4" ht="14.25" customHeight="1">
      <c r="A2" s="1" t="s">
        <v>3</v>
      </c>
      <c r="B2" s="1">
        <v>698.54</v>
      </c>
      <c r="C2" s="1">
        <v>1</v>
      </c>
    </row>
    <row r="3" spans="1:4" ht="14.25" customHeight="1">
      <c r="A3" s="1" t="s">
        <v>4</v>
      </c>
      <c r="B3" s="1">
        <v>790.14499999999998</v>
      </c>
      <c r="C3" s="1">
        <v>1</v>
      </c>
    </row>
    <row r="4" spans="1:4" ht="14.25" customHeight="1">
      <c r="A4" s="1" t="s">
        <v>5</v>
      </c>
      <c r="B4" s="1">
        <v>797.02599999999995</v>
      </c>
      <c r="C4" s="1">
        <v>0</v>
      </c>
    </row>
    <row r="5" spans="1:4" ht="14.25" customHeight="1">
      <c r="A5" s="1" t="s">
        <v>6</v>
      </c>
      <c r="B5" s="1">
        <v>744.03399999999999</v>
      </c>
      <c r="C5" s="1">
        <v>1</v>
      </c>
    </row>
    <row r="6" spans="1:4" ht="14.25" customHeight="1">
      <c r="A6" s="1" t="s">
        <v>7</v>
      </c>
      <c r="B6" s="1">
        <v>630.95000000000005</v>
      </c>
      <c r="C6" s="1">
        <v>1</v>
      </c>
    </row>
    <row r="7" spans="1:4" ht="14.25" customHeight="1">
      <c r="A7" s="1" t="s">
        <v>8</v>
      </c>
      <c r="B7" s="1">
        <v>614.76700000000005</v>
      </c>
      <c r="C7" s="1">
        <v>0</v>
      </c>
    </row>
    <row r="8" spans="1:4" ht="14.25" customHeight="1">
      <c r="A8" s="1" t="s">
        <v>9</v>
      </c>
      <c r="B8" s="1">
        <v>792.07500000000005</v>
      </c>
      <c r="C8" s="1">
        <v>0</v>
      </c>
    </row>
    <row r="9" spans="1:4" ht="14.25" customHeight="1"/>
    <row r="10" spans="1:4" ht="14.25" customHeight="1">
      <c r="A10" s="1" t="s">
        <v>10</v>
      </c>
      <c r="B10" s="1">
        <v>710.17</v>
      </c>
      <c r="C10" s="1">
        <v>1</v>
      </c>
    </row>
    <row r="11" spans="1:4" ht="14.25" customHeight="1">
      <c r="A11" s="1" t="s">
        <v>11</v>
      </c>
      <c r="B11" s="1">
        <v>642.09</v>
      </c>
      <c r="C11" s="1">
        <v>1</v>
      </c>
    </row>
    <row r="12" spans="1:4" ht="14.25" customHeight="1"/>
    <row r="13" spans="1:4" ht="14.25" customHeight="1">
      <c r="A13" s="1" t="s">
        <v>12</v>
      </c>
      <c r="B13" s="72">
        <v>386.654</v>
      </c>
      <c r="C13" s="1">
        <v>0</v>
      </c>
      <c r="D13" s="1" t="s">
        <v>13</v>
      </c>
    </row>
    <row r="14" spans="1:4" ht="14.25" customHeight="1">
      <c r="A14" s="1" t="s">
        <v>14</v>
      </c>
      <c r="B14" s="72">
        <v>2500</v>
      </c>
      <c r="C14" s="1">
        <v>0</v>
      </c>
    </row>
    <row r="15" spans="1:4" ht="14.25" customHeight="1">
      <c r="A15" s="1" t="s">
        <v>15</v>
      </c>
      <c r="B15" s="1">
        <v>5000</v>
      </c>
      <c r="C15" s="1">
        <v>0</v>
      </c>
    </row>
    <row r="16" spans="1:4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8DA93-8D2D-42A3-952F-26DEEAD01BA7}">
  <dimension ref="A3:U63"/>
  <sheetViews>
    <sheetView workbookViewId="0">
      <selection activeCell="L56" sqref="L56"/>
    </sheetView>
  </sheetViews>
  <sheetFormatPr defaultRowHeight="14.4"/>
  <cols>
    <col min="10" max="10" width="9.33203125" bestFit="1" customWidth="1"/>
  </cols>
  <sheetData>
    <row r="3" spans="1:21">
      <c r="A3" s="110" t="s">
        <v>16</v>
      </c>
      <c r="B3" s="110" t="s">
        <v>17</v>
      </c>
      <c r="C3" s="110" t="s">
        <v>18</v>
      </c>
      <c r="D3" s="110" t="s">
        <v>19</v>
      </c>
      <c r="E3" s="110" t="s">
        <v>20</v>
      </c>
      <c r="F3" s="110" t="s">
        <v>21</v>
      </c>
      <c r="G3" s="110" t="s">
        <v>22</v>
      </c>
      <c r="H3" s="110" t="s">
        <v>23</v>
      </c>
      <c r="N3" s="110" t="s">
        <v>16</v>
      </c>
      <c r="O3" s="110" t="s">
        <v>17</v>
      </c>
      <c r="P3" s="110" t="s">
        <v>18</v>
      </c>
      <c r="Q3" s="110" t="s">
        <v>19</v>
      </c>
      <c r="R3" s="110" t="s">
        <v>20</v>
      </c>
      <c r="S3" s="110" t="s">
        <v>21</v>
      </c>
      <c r="T3" s="110" t="s">
        <v>22</v>
      </c>
      <c r="U3" s="110" t="s">
        <v>23</v>
      </c>
    </row>
    <row r="4" spans="1:21">
      <c r="A4" s="65">
        <v>12</v>
      </c>
      <c r="B4" s="66">
        <v>38.5680652029301</v>
      </c>
      <c r="C4" s="66">
        <v>0</v>
      </c>
      <c r="D4" s="66">
        <v>10.805932587736599</v>
      </c>
      <c r="E4" s="66">
        <v>0</v>
      </c>
      <c r="F4" s="66">
        <v>4.2986040000000001</v>
      </c>
      <c r="G4" s="66">
        <v>6.8037476999999997</v>
      </c>
      <c r="H4" s="66" t="s">
        <v>24</v>
      </c>
      <c r="N4" s="65">
        <v>6.0087160926844696</v>
      </c>
      <c r="O4" s="66">
        <v>24.997080002125099</v>
      </c>
      <c r="P4" s="66">
        <v>63.7866525836995</v>
      </c>
      <c r="Q4" s="66">
        <v>7.1702609225227798</v>
      </c>
      <c r="R4" s="66">
        <v>7.4420335790318699</v>
      </c>
      <c r="S4" s="66">
        <v>3.3048093000000001</v>
      </c>
      <c r="T4" s="66">
        <v>4.4848537000000004</v>
      </c>
      <c r="U4" s="66" t="s">
        <v>25</v>
      </c>
    </row>
    <row r="5" spans="1:21">
      <c r="A5" s="65">
        <v>7.3507977721648396</v>
      </c>
      <c r="B5" s="66">
        <v>67.234642902929394</v>
      </c>
      <c r="C5" s="66">
        <v>0</v>
      </c>
      <c r="D5" s="66">
        <v>0.1</v>
      </c>
      <c r="E5" s="66">
        <v>13.4211361832033</v>
      </c>
      <c r="F5" s="66">
        <v>4.9929532999999999</v>
      </c>
      <c r="G5" s="66">
        <v>4.6741866999999999</v>
      </c>
      <c r="H5" s="66" t="s">
        <v>24</v>
      </c>
      <c r="N5" s="65">
        <v>11.2487819646033</v>
      </c>
      <c r="O5" s="66">
        <v>61.9378470964756</v>
      </c>
      <c r="P5" s="66">
        <v>9.2823398050208201</v>
      </c>
      <c r="Q5" s="66">
        <v>9.7561251905519093</v>
      </c>
      <c r="R5" s="66">
        <v>21.661422983223801</v>
      </c>
      <c r="S5" s="66">
        <v>3.3045344000000001</v>
      </c>
      <c r="T5" s="66">
        <v>4.9003797000000002</v>
      </c>
      <c r="U5" s="66" t="s">
        <v>25</v>
      </c>
    </row>
    <row r="6" spans="1:21">
      <c r="A6" s="65">
        <v>12</v>
      </c>
      <c r="B6" s="66">
        <v>20</v>
      </c>
      <c r="C6" s="66">
        <v>0</v>
      </c>
      <c r="D6" s="66">
        <v>0.1</v>
      </c>
      <c r="E6" s="66">
        <v>24.008143116690601</v>
      </c>
      <c r="F6" s="66">
        <v>6.3151840000000004</v>
      </c>
      <c r="G6" s="66">
        <v>3.2785340000000001</v>
      </c>
      <c r="H6" s="66" t="s">
        <v>24</v>
      </c>
      <c r="N6" s="65">
        <v>4.5276894426880903</v>
      </c>
      <c r="O6" s="66">
        <v>63.207642233545599</v>
      </c>
      <c r="P6" s="66">
        <v>69.614402810369896</v>
      </c>
      <c r="Q6" s="66">
        <v>7.2741274705543999</v>
      </c>
      <c r="R6" s="66">
        <v>7.5877792418979197</v>
      </c>
      <c r="S6" s="66">
        <v>3.3137129999999999</v>
      </c>
      <c r="T6" s="66">
        <v>4.3193054000000002</v>
      </c>
      <c r="U6" s="66" t="s">
        <v>25</v>
      </c>
    </row>
    <row r="7" spans="1:21">
      <c r="A7" s="65">
        <v>12</v>
      </c>
      <c r="B7" s="66">
        <v>20</v>
      </c>
      <c r="C7" s="66">
        <v>0</v>
      </c>
      <c r="D7" s="66">
        <v>0.1</v>
      </c>
      <c r="E7" s="66">
        <v>18.4618736337192</v>
      </c>
      <c r="F7" s="66">
        <v>6.4068594000000001</v>
      </c>
      <c r="G7" s="66">
        <v>7.9182452999999997</v>
      </c>
      <c r="H7" s="66" t="s">
        <v>24</v>
      </c>
      <c r="N7" s="65">
        <v>8.1409372600651793</v>
      </c>
      <c r="O7" s="66">
        <v>41.690575532973</v>
      </c>
      <c r="P7" s="66">
        <v>69.905067695548397</v>
      </c>
      <c r="Q7" s="66">
        <v>4.7589956151420196</v>
      </c>
      <c r="R7" s="66">
        <v>3.5375519017891199</v>
      </c>
      <c r="S7" s="66">
        <v>3.3232862999999999</v>
      </c>
      <c r="T7" s="66">
        <v>5.4885025000000001</v>
      </c>
      <c r="U7" s="66" t="s">
        <v>25</v>
      </c>
    </row>
    <row r="8" spans="1:21">
      <c r="A8" s="65">
        <v>12</v>
      </c>
      <c r="B8" s="66">
        <v>20</v>
      </c>
      <c r="C8" s="66">
        <v>27.322711897499001</v>
      </c>
      <c r="D8" s="66">
        <v>4.8055499839199696</v>
      </c>
      <c r="E8" s="66">
        <v>0</v>
      </c>
      <c r="F8" s="66">
        <v>6.2317366999999999</v>
      </c>
      <c r="G8" s="66">
        <v>6.3600950000000003</v>
      </c>
      <c r="H8" s="66" t="s">
        <v>24</v>
      </c>
      <c r="N8" s="65">
        <v>6.9130452658657804</v>
      </c>
      <c r="O8" s="66">
        <v>71.538403587777097</v>
      </c>
      <c r="P8" s="66">
        <v>27.8568121011016</v>
      </c>
      <c r="Q8" s="66">
        <v>4.5717658065911504</v>
      </c>
      <c r="R8" s="66">
        <v>3.2706165287634499</v>
      </c>
      <c r="S8" s="66">
        <v>3.2529414000000001</v>
      </c>
      <c r="T8" s="66">
        <v>4.7703233000000003</v>
      </c>
      <c r="U8" s="66" t="s">
        <v>25</v>
      </c>
    </row>
    <row r="9" spans="1:21">
      <c r="A9" s="65">
        <v>12</v>
      </c>
      <c r="B9" s="66">
        <v>36.858369844721601</v>
      </c>
      <c r="C9" s="66">
        <v>3.58339760954384</v>
      </c>
      <c r="D9" s="66">
        <v>0.1</v>
      </c>
      <c r="E9" s="66">
        <v>5.8514334847645904</v>
      </c>
      <c r="F9" s="66">
        <v>6.830819</v>
      </c>
      <c r="G9" s="66">
        <v>7.5241103000000003</v>
      </c>
      <c r="H9" s="66" t="s">
        <v>24</v>
      </c>
      <c r="N9" s="65">
        <v>11.174726422032499</v>
      </c>
      <c r="O9" s="66">
        <v>33.443482591039697</v>
      </c>
      <c r="P9" s="66">
        <v>14.9248368601279</v>
      </c>
      <c r="Q9" s="66">
        <v>7.81263102111203</v>
      </c>
      <c r="R9" s="66">
        <v>22.489062027310801</v>
      </c>
      <c r="S9" s="66">
        <v>3.2552116</v>
      </c>
      <c r="T9" s="66">
        <v>2.6969623999999999</v>
      </c>
      <c r="U9" s="66" t="s">
        <v>25</v>
      </c>
    </row>
    <row r="10" spans="1:21">
      <c r="A10" s="65">
        <v>12</v>
      </c>
      <c r="B10" s="66">
        <v>29.367665013563901</v>
      </c>
      <c r="C10" s="66">
        <v>0</v>
      </c>
      <c r="D10" s="66">
        <v>0.1</v>
      </c>
      <c r="E10" s="66">
        <v>16.657755676312998</v>
      </c>
      <c r="F10" s="66">
        <v>6.6027826999999997</v>
      </c>
      <c r="G10" s="66">
        <v>8.4306169999999998</v>
      </c>
      <c r="H10" s="66" t="s">
        <v>24</v>
      </c>
      <c r="N10" s="65">
        <v>7.0430729126104099</v>
      </c>
      <c r="O10" s="66">
        <v>67.159553975784803</v>
      </c>
      <c r="P10" s="66">
        <v>8.9960838578302796E-2</v>
      </c>
      <c r="Q10" s="66">
        <v>12.9092943437876</v>
      </c>
      <c r="R10" s="66">
        <v>35.469632873274499</v>
      </c>
      <c r="S10" s="66">
        <v>3.246442</v>
      </c>
      <c r="T10" s="66">
        <v>2.5152437999999999</v>
      </c>
      <c r="U10" s="66" t="s">
        <v>25</v>
      </c>
    </row>
    <row r="11" spans="1:21">
      <c r="A11" s="65">
        <v>12</v>
      </c>
      <c r="B11" s="66">
        <v>20</v>
      </c>
      <c r="C11" s="66">
        <v>0</v>
      </c>
      <c r="D11" s="66">
        <v>14.2858776758099</v>
      </c>
      <c r="E11" s="66">
        <v>0</v>
      </c>
      <c r="F11" s="66">
        <v>4.8010596999999997</v>
      </c>
      <c r="G11" s="66">
        <v>6.9198440000000003</v>
      </c>
      <c r="H11" s="66" t="s">
        <v>24</v>
      </c>
      <c r="N11" s="65">
        <v>4.1188533808719896</v>
      </c>
      <c r="O11" s="66">
        <v>34.675859811737702</v>
      </c>
      <c r="P11" s="66">
        <v>14.560380545389201</v>
      </c>
      <c r="Q11" s="66">
        <v>7.3353044162908398</v>
      </c>
      <c r="R11" s="66">
        <v>1.47283335213793</v>
      </c>
      <c r="S11" s="66">
        <v>3.2233849000000001</v>
      </c>
      <c r="T11" s="66">
        <v>5.3077291999999998</v>
      </c>
      <c r="U11" s="66" t="s">
        <v>25</v>
      </c>
    </row>
    <row r="12" spans="1:21">
      <c r="A12" s="65">
        <v>12</v>
      </c>
      <c r="B12" s="66">
        <v>20</v>
      </c>
      <c r="C12" s="66">
        <v>8.9998376710528003</v>
      </c>
      <c r="D12" s="66">
        <v>0.1</v>
      </c>
      <c r="E12" s="66">
        <v>0</v>
      </c>
      <c r="F12" s="66">
        <v>5.9067106000000003</v>
      </c>
      <c r="G12" s="66">
        <v>6.7344746999999998</v>
      </c>
      <c r="H12" s="66" t="s">
        <v>24</v>
      </c>
      <c r="N12" s="65">
        <v>6.1459747647809602</v>
      </c>
      <c r="O12" s="66">
        <v>60.750991297872901</v>
      </c>
      <c r="P12" s="66">
        <v>15.537281926109999</v>
      </c>
      <c r="Q12" s="66">
        <v>8.3051696907964097</v>
      </c>
      <c r="R12" s="66">
        <v>1.82598448551003</v>
      </c>
      <c r="S12" s="66">
        <v>3.3937216000000001</v>
      </c>
      <c r="T12" s="66">
        <v>4.7672276</v>
      </c>
      <c r="U12" s="66" t="s">
        <v>25</v>
      </c>
    </row>
    <row r="13" spans="1:21">
      <c r="A13" s="65">
        <v>6.2174325483251902</v>
      </c>
      <c r="B13" s="66">
        <v>22.380711860451999</v>
      </c>
      <c r="C13" s="66">
        <v>9.1163787914580698</v>
      </c>
      <c r="D13" s="66">
        <v>0.1</v>
      </c>
      <c r="E13" s="66">
        <v>19.3409453666068</v>
      </c>
      <c r="F13" s="66">
        <v>5.6121416000000002</v>
      </c>
      <c r="G13" s="66">
        <v>5.5150589999999999</v>
      </c>
      <c r="H13" s="66" t="s">
        <v>24</v>
      </c>
      <c r="N13" s="65">
        <v>9.5663783823903294</v>
      </c>
      <c r="O13" s="66">
        <v>60.262380662815701</v>
      </c>
      <c r="P13" s="66">
        <v>63.912635841152998</v>
      </c>
      <c r="Q13" s="66">
        <v>15.9371830925399</v>
      </c>
      <c r="R13" s="66">
        <v>0.497821916089073</v>
      </c>
      <c r="S13" s="66">
        <v>3.1996248</v>
      </c>
      <c r="T13" s="66">
        <v>3.9845799999999998</v>
      </c>
      <c r="U13" s="66" t="s">
        <v>25</v>
      </c>
    </row>
    <row r="14" spans="1:21">
      <c r="A14" s="65">
        <v>12</v>
      </c>
      <c r="B14" s="66">
        <v>29.9307453540438</v>
      </c>
      <c r="C14" s="66">
        <v>28.8088734265665</v>
      </c>
      <c r="D14" s="66">
        <v>0.1</v>
      </c>
      <c r="E14" s="66">
        <v>5.7052463574226602</v>
      </c>
      <c r="F14" s="66">
        <v>6.5318174000000004</v>
      </c>
      <c r="G14" s="66">
        <v>7.4234046999999999</v>
      </c>
      <c r="H14" s="66" t="s">
        <v>24</v>
      </c>
      <c r="N14" s="65">
        <v>9.0235560337033203</v>
      </c>
      <c r="O14" s="66">
        <v>36.579433038114203</v>
      </c>
      <c r="P14" s="66">
        <v>27.207936998318001</v>
      </c>
      <c r="Q14" s="66">
        <v>3.2148591487149898</v>
      </c>
      <c r="R14" s="66">
        <v>4.6585149030829998</v>
      </c>
      <c r="S14" s="66">
        <v>3.4082786999999999</v>
      </c>
      <c r="T14" s="66">
        <v>6.5000825000000004</v>
      </c>
      <c r="U14" s="66" t="s">
        <v>25</v>
      </c>
    </row>
    <row r="15" spans="1:21">
      <c r="A15" s="65">
        <v>12</v>
      </c>
      <c r="B15" s="66">
        <v>20</v>
      </c>
      <c r="C15" s="66">
        <v>57.4190705859573</v>
      </c>
      <c r="D15" s="66">
        <v>0.96650256188761097</v>
      </c>
      <c r="E15" s="66">
        <v>0</v>
      </c>
      <c r="F15" s="66">
        <v>5.3037419999999997</v>
      </c>
      <c r="G15" s="66">
        <v>6.2301153999999999</v>
      </c>
      <c r="H15" s="66" t="s">
        <v>24</v>
      </c>
      <c r="N15" s="65">
        <v>10.6695946625875</v>
      </c>
      <c r="O15" s="66">
        <v>20.3428304042109</v>
      </c>
      <c r="P15" s="66">
        <v>55.407684411986601</v>
      </c>
      <c r="Q15" s="66">
        <v>9.8194135565223704</v>
      </c>
      <c r="R15" s="66">
        <v>1.6323180835146001</v>
      </c>
      <c r="S15" s="66">
        <v>3.41601</v>
      </c>
      <c r="T15" s="66">
        <v>4.809323</v>
      </c>
      <c r="U15" s="66" t="s">
        <v>25</v>
      </c>
    </row>
    <row r="22" spans="1:8">
      <c r="A22" s="110" t="s">
        <v>16</v>
      </c>
      <c r="B22" s="110" t="s">
        <v>17</v>
      </c>
      <c r="C22" s="110" t="s">
        <v>18</v>
      </c>
      <c r="D22" s="110" t="s">
        <v>19</v>
      </c>
      <c r="E22" s="110" t="s">
        <v>20</v>
      </c>
      <c r="F22" s="110" t="s">
        <v>21</v>
      </c>
      <c r="G22" s="110" t="s">
        <v>22</v>
      </c>
      <c r="H22" s="110" t="s">
        <v>23</v>
      </c>
    </row>
    <row r="23" spans="1:8">
      <c r="A23" s="65">
        <v>9.9975340757413207</v>
      </c>
      <c r="B23" s="66">
        <v>21.979254380492101</v>
      </c>
      <c r="C23" s="66">
        <v>70.963349208628699</v>
      </c>
      <c r="D23" s="66">
        <v>7.12795473894547</v>
      </c>
      <c r="E23" s="66">
        <v>40.1417983107794</v>
      </c>
      <c r="F23" s="66">
        <v>1.3851761</v>
      </c>
      <c r="G23" s="66">
        <v>-4.1751977000000003E-2</v>
      </c>
      <c r="H23" s="66" t="s">
        <v>26</v>
      </c>
    </row>
    <row r="24" spans="1:8">
      <c r="A24" s="65">
        <v>3.6299671849717798</v>
      </c>
      <c r="B24" s="66">
        <v>21.180972348324101</v>
      </c>
      <c r="C24" s="66">
        <v>0.95638515135202595</v>
      </c>
      <c r="D24" s="66">
        <v>17.6736451197749</v>
      </c>
      <c r="E24" s="66">
        <v>24.087311831061601</v>
      </c>
      <c r="F24" s="66">
        <v>2.5417068</v>
      </c>
      <c r="G24" s="66">
        <v>0.74700093000000001</v>
      </c>
      <c r="H24" s="66" t="s">
        <v>26</v>
      </c>
    </row>
    <row r="25" spans="1:8">
      <c r="A25" s="65">
        <v>11.992986259372</v>
      </c>
      <c r="B25" s="66">
        <v>33.307155337005597</v>
      </c>
      <c r="C25" s="66">
        <v>15.5829669542529</v>
      </c>
      <c r="D25" s="66">
        <v>0.20109868522132601</v>
      </c>
      <c r="E25" s="66">
        <v>24.7558508914504</v>
      </c>
      <c r="F25" s="66">
        <v>6.5003595000000001</v>
      </c>
      <c r="G25" s="66">
        <v>2.2909353000000001</v>
      </c>
      <c r="H25" s="66" t="s">
        <v>26</v>
      </c>
    </row>
    <row r="26" spans="1:8">
      <c r="A26" s="65">
        <v>4.4775825102614499</v>
      </c>
      <c r="B26" s="66">
        <v>31.1512699218544</v>
      </c>
      <c r="C26" s="66">
        <v>65.299987861151394</v>
      </c>
      <c r="D26" s="66">
        <v>12.6696912793465</v>
      </c>
      <c r="E26" s="66">
        <v>77.983043532669697</v>
      </c>
      <c r="F26" s="66">
        <v>0.65002570000000004</v>
      </c>
      <c r="G26" s="66">
        <v>-0.34149066</v>
      </c>
      <c r="H26" s="66" t="s">
        <v>26</v>
      </c>
    </row>
    <row r="27" spans="1:8">
      <c r="A27" s="65">
        <v>3.69455851685069</v>
      </c>
      <c r="B27" s="66">
        <v>22.213952073276999</v>
      </c>
      <c r="C27" s="66">
        <v>0.74234483670090301</v>
      </c>
      <c r="D27" s="66">
        <v>4.8756484632174102</v>
      </c>
      <c r="E27" s="66">
        <v>24.2282146669877</v>
      </c>
      <c r="F27" s="66">
        <v>3.7813191000000002</v>
      </c>
      <c r="G27" s="66">
        <v>1.05124</v>
      </c>
      <c r="H27" s="66" t="s">
        <v>26</v>
      </c>
    </row>
    <row r="28" spans="1:8">
      <c r="A28" s="65">
        <v>4.4437355752879899</v>
      </c>
      <c r="B28" s="66">
        <v>21.967009834649399</v>
      </c>
      <c r="C28" s="66">
        <v>56.452468254426698</v>
      </c>
      <c r="D28" s="66">
        <v>13.184339769801101</v>
      </c>
      <c r="E28" s="66">
        <v>51.383564158684301</v>
      </c>
      <c r="F28" s="66">
        <v>0.80633783000000003</v>
      </c>
      <c r="G28" s="66">
        <v>-0.30735194999999998</v>
      </c>
      <c r="H28" s="66" t="s">
        <v>26</v>
      </c>
    </row>
    <row r="29" spans="1:8">
      <c r="A29" s="65">
        <v>4.43153496140234</v>
      </c>
      <c r="B29" s="66">
        <v>24.3001630083211</v>
      </c>
      <c r="C29" s="66">
        <v>66.520351849742596</v>
      </c>
      <c r="D29" s="66">
        <v>4.7792041313534304</v>
      </c>
      <c r="E29" s="66">
        <v>64.056497825547495</v>
      </c>
      <c r="F29" s="66">
        <v>1.2702869000000001</v>
      </c>
      <c r="G29" s="66">
        <v>-0.1065335</v>
      </c>
      <c r="H29" s="66" t="s">
        <v>26</v>
      </c>
    </row>
    <row r="30" spans="1:8">
      <c r="A30" s="65">
        <v>4.4632912728468304</v>
      </c>
      <c r="B30" s="66">
        <v>48.466416848729402</v>
      </c>
      <c r="C30" s="66">
        <v>77.724336732377196</v>
      </c>
      <c r="D30" s="66">
        <v>3.1560715672990298</v>
      </c>
      <c r="E30" s="66">
        <v>40.2683180903215</v>
      </c>
      <c r="F30" s="66">
        <v>1.8043319</v>
      </c>
      <c r="G30" s="66">
        <v>0.16878362999999999</v>
      </c>
      <c r="H30" s="66" t="s">
        <v>26</v>
      </c>
    </row>
    <row r="31" spans="1:8">
      <c r="A31" s="65">
        <v>4.2350894616204897</v>
      </c>
      <c r="B31" s="66">
        <v>30.961878273423999</v>
      </c>
      <c r="C31" s="66">
        <v>24.403592538869301</v>
      </c>
      <c r="D31" s="66">
        <v>4.8325904370483403</v>
      </c>
      <c r="E31" s="66">
        <v>24.286676099282499</v>
      </c>
      <c r="F31" s="66">
        <v>3.2720044000000001</v>
      </c>
      <c r="G31" s="66">
        <v>0.93768585000000004</v>
      </c>
      <c r="H31" s="66" t="s">
        <v>26</v>
      </c>
    </row>
    <row r="32" spans="1:8">
      <c r="A32" s="65">
        <v>4.3512187131861904</v>
      </c>
      <c r="B32" s="66">
        <v>32.621440120436503</v>
      </c>
      <c r="C32" s="66">
        <v>55.069360260457898</v>
      </c>
      <c r="D32" s="66">
        <v>4.9553350209215097</v>
      </c>
      <c r="E32" s="66">
        <v>40.232218009484498</v>
      </c>
      <c r="F32" s="66">
        <v>1.2386315999999999</v>
      </c>
      <c r="G32" s="66">
        <v>-0.16661819999999999</v>
      </c>
      <c r="H32" s="66" t="s">
        <v>26</v>
      </c>
    </row>
    <row r="33" spans="1:9">
      <c r="A33" s="65">
        <v>4.52106653934087</v>
      </c>
      <c r="B33" s="66">
        <v>21.432065517514602</v>
      </c>
      <c r="C33" s="66">
        <v>73.901587492298404</v>
      </c>
      <c r="D33" s="66">
        <v>12.2378100804991</v>
      </c>
      <c r="E33" s="66">
        <v>40.327513162397999</v>
      </c>
      <c r="F33" s="66">
        <v>0.77139460000000004</v>
      </c>
      <c r="G33" s="66">
        <v>-0.30964446000000001</v>
      </c>
      <c r="H33" s="66" t="s">
        <v>26</v>
      </c>
    </row>
    <row r="34" spans="1:9">
      <c r="A34" s="65">
        <v>3.7637207192835902</v>
      </c>
      <c r="B34" s="66">
        <v>21.451656160257699</v>
      </c>
      <c r="C34" s="66">
        <v>8.8849271041905293</v>
      </c>
      <c r="D34" s="66">
        <v>1.4912690680994201</v>
      </c>
      <c r="E34" s="66">
        <v>34.202504829104399</v>
      </c>
      <c r="F34" s="66">
        <v>3.1818651999999998</v>
      </c>
      <c r="G34" s="66">
        <v>0.74728839999999996</v>
      </c>
      <c r="H34" s="66" t="s">
        <v>26</v>
      </c>
    </row>
    <row r="41" spans="1:9">
      <c r="A41" t="s">
        <v>27</v>
      </c>
    </row>
    <row r="42" spans="1:9">
      <c r="A42" t="s">
        <v>24</v>
      </c>
    </row>
    <row r="43" spans="1:9">
      <c r="A43" s="110" t="s">
        <v>16</v>
      </c>
      <c r="B43" s="65">
        <v>12</v>
      </c>
      <c r="C43" s="65">
        <v>7.3507977721648396</v>
      </c>
      <c r="D43" s="65">
        <v>12</v>
      </c>
      <c r="E43" s="65">
        <v>12</v>
      </c>
      <c r="F43" s="65">
        <v>12</v>
      </c>
      <c r="G43" s="65">
        <v>12</v>
      </c>
      <c r="H43" s="65">
        <v>12</v>
      </c>
      <c r="I43" s="65">
        <v>12</v>
      </c>
    </row>
    <row r="44" spans="1:9">
      <c r="A44" s="110" t="s">
        <v>17</v>
      </c>
      <c r="B44" s="66">
        <v>38.5680652029301</v>
      </c>
      <c r="C44" s="66">
        <v>67.234642902929394</v>
      </c>
      <c r="D44" s="66">
        <v>20</v>
      </c>
      <c r="E44" s="66">
        <v>20</v>
      </c>
      <c r="F44" s="66">
        <v>20</v>
      </c>
      <c r="G44" s="66">
        <v>36.858369844721601</v>
      </c>
      <c r="H44" s="66">
        <v>29.367665013563901</v>
      </c>
      <c r="I44" s="66">
        <v>20</v>
      </c>
    </row>
    <row r="45" spans="1:9">
      <c r="A45" s="110" t="s">
        <v>18</v>
      </c>
      <c r="B45" s="66">
        <v>0</v>
      </c>
      <c r="C45" s="66">
        <v>0</v>
      </c>
      <c r="D45" s="66">
        <v>0</v>
      </c>
      <c r="E45" s="66">
        <v>0</v>
      </c>
      <c r="F45" s="66">
        <v>27.322711897499001</v>
      </c>
      <c r="G45" s="66">
        <v>3.58339760954384</v>
      </c>
      <c r="H45" s="66">
        <v>0</v>
      </c>
      <c r="I45" s="66">
        <v>0</v>
      </c>
    </row>
    <row r="46" spans="1:9">
      <c r="A46" s="110" t="s">
        <v>19</v>
      </c>
      <c r="B46" s="66">
        <v>10.805932587736599</v>
      </c>
      <c r="C46" s="66">
        <v>0.1</v>
      </c>
      <c r="D46" s="66">
        <v>0.1</v>
      </c>
      <c r="E46" s="66">
        <v>0.1</v>
      </c>
      <c r="F46" s="66">
        <v>4.8055499839199696</v>
      </c>
      <c r="G46" s="66">
        <v>0.1</v>
      </c>
      <c r="H46" s="66">
        <v>0.1</v>
      </c>
      <c r="I46" s="66">
        <v>14.2858776758099</v>
      </c>
    </row>
    <row r="47" spans="1:9">
      <c r="A47" s="110" t="s">
        <v>20</v>
      </c>
      <c r="B47" s="66">
        <v>0</v>
      </c>
      <c r="C47" s="66">
        <v>13.4211361832033</v>
      </c>
      <c r="D47" s="66">
        <v>24.008143116690601</v>
      </c>
      <c r="E47" s="66">
        <v>18.4618736337192</v>
      </c>
      <c r="F47" s="66">
        <v>0</v>
      </c>
      <c r="G47" s="66">
        <v>5.8514334847645904</v>
      </c>
      <c r="H47" s="66">
        <v>16.657755676312998</v>
      </c>
      <c r="I47" s="66">
        <v>0</v>
      </c>
    </row>
    <row r="50" spans="1:9">
      <c r="A50" t="s">
        <v>28</v>
      </c>
    </row>
    <row r="51" spans="1:9">
      <c r="A51" s="110" t="s">
        <v>16</v>
      </c>
      <c r="B51" s="65">
        <v>6.0087160926844696</v>
      </c>
      <c r="C51" s="65">
        <v>11.2487819646033</v>
      </c>
      <c r="D51" s="65">
        <v>4.5276894426880903</v>
      </c>
      <c r="E51" s="65">
        <v>8.1409372600651793</v>
      </c>
      <c r="F51" s="65">
        <v>6.9130452658657804</v>
      </c>
      <c r="G51" s="65">
        <v>11.174726422032499</v>
      </c>
      <c r="H51" s="65">
        <v>7.0430729126104099</v>
      </c>
      <c r="I51" s="65">
        <v>4.1188533808719896</v>
      </c>
    </row>
    <row r="52" spans="1:9">
      <c r="A52" s="110" t="s">
        <v>17</v>
      </c>
      <c r="B52" s="66">
        <v>24.997080002125099</v>
      </c>
      <c r="C52" s="66">
        <v>61.9378470964756</v>
      </c>
      <c r="D52" s="66">
        <v>63.207642233545599</v>
      </c>
      <c r="E52" s="66">
        <v>41.690575532973</v>
      </c>
      <c r="F52" s="66">
        <v>71.538403587777097</v>
      </c>
      <c r="G52" s="66">
        <v>33.443482591039697</v>
      </c>
      <c r="H52" s="66">
        <v>67.159553975784803</v>
      </c>
      <c r="I52" s="66">
        <v>34.675859811737702</v>
      </c>
    </row>
    <row r="53" spans="1:9">
      <c r="A53" s="110" t="s">
        <v>18</v>
      </c>
      <c r="B53" s="66">
        <v>63.7866525836995</v>
      </c>
      <c r="C53" s="66">
        <v>9.2823398050208201</v>
      </c>
      <c r="D53" s="66">
        <v>69.614402810369896</v>
      </c>
      <c r="E53" s="66">
        <v>69.905067695548397</v>
      </c>
      <c r="F53" s="66">
        <v>27.8568121011016</v>
      </c>
      <c r="G53" s="66">
        <v>14.9248368601279</v>
      </c>
      <c r="H53" s="66">
        <v>8.9960838578302796E-2</v>
      </c>
      <c r="I53" s="66">
        <v>14.560380545389201</v>
      </c>
    </row>
    <row r="54" spans="1:9">
      <c r="A54" s="110" t="s">
        <v>19</v>
      </c>
      <c r="B54" s="66">
        <v>7.1702609225227798</v>
      </c>
      <c r="C54" s="66">
        <v>9.7561251905519093</v>
      </c>
      <c r="D54" s="66">
        <v>7.2741274705543999</v>
      </c>
      <c r="E54" s="66">
        <v>4.7589956151420196</v>
      </c>
      <c r="F54" s="66">
        <v>4.5717658065911504</v>
      </c>
      <c r="G54" s="66">
        <v>7.81263102111203</v>
      </c>
      <c r="H54" s="66">
        <v>12.9092943437876</v>
      </c>
      <c r="I54" s="66">
        <v>7.3353044162908398</v>
      </c>
    </row>
    <row r="55" spans="1:9">
      <c r="A55" s="110" t="s">
        <v>20</v>
      </c>
      <c r="B55" s="66">
        <v>7.4420335790318699</v>
      </c>
      <c r="C55" s="66">
        <v>21.661422983223801</v>
      </c>
      <c r="D55" s="66">
        <v>7.5877792418979197</v>
      </c>
      <c r="E55" s="66">
        <v>3.5375519017891199</v>
      </c>
      <c r="F55" s="66">
        <v>3.2706165287634499</v>
      </c>
      <c r="G55" s="66">
        <v>22.489062027310801</v>
      </c>
      <c r="H55" s="66">
        <v>35.469632873274499</v>
      </c>
      <c r="I55" s="66">
        <v>1.47283335213793</v>
      </c>
    </row>
    <row r="58" spans="1:9">
      <c r="A58" t="s">
        <v>26</v>
      </c>
    </row>
    <row r="59" spans="1:9">
      <c r="A59" s="110" t="s">
        <v>16</v>
      </c>
      <c r="B59" s="65">
        <v>9.9975340757413207</v>
      </c>
      <c r="C59" s="65">
        <v>3.6299671849717798</v>
      </c>
      <c r="D59" s="65">
        <v>11.992986259372</v>
      </c>
      <c r="E59" s="65">
        <v>4.4775825102614499</v>
      </c>
      <c r="F59" s="65">
        <v>3.69455851685069</v>
      </c>
      <c r="G59" s="65">
        <v>4.4437355752879899</v>
      </c>
      <c r="H59" s="65">
        <v>4.43153496140234</v>
      </c>
      <c r="I59" s="65">
        <v>4.4632912728468304</v>
      </c>
    </row>
    <row r="60" spans="1:9">
      <c r="A60" s="110" t="s">
        <v>17</v>
      </c>
      <c r="B60" s="66">
        <v>21.979254380492101</v>
      </c>
      <c r="C60" s="66">
        <v>21.180972348324101</v>
      </c>
      <c r="D60" s="66">
        <v>33.307155337005597</v>
      </c>
      <c r="E60" s="66">
        <v>31.1512699218544</v>
      </c>
      <c r="F60" s="66">
        <v>22.213952073276999</v>
      </c>
      <c r="G60" s="66">
        <v>21.967009834649399</v>
      </c>
      <c r="H60" s="66">
        <v>24.3001630083211</v>
      </c>
      <c r="I60" s="66">
        <v>48.466416848729402</v>
      </c>
    </row>
    <row r="61" spans="1:9">
      <c r="A61" s="110" t="s">
        <v>18</v>
      </c>
      <c r="B61" s="66">
        <v>70.963349208628699</v>
      </c>
      <c r="C61" s="66">
        <v>0.95638515135202595</v>
      </c>
      <c r="D61" s="66">
        <v>15.5829669542529</v>
      </c>
      <c r="E61" s="66">
        <v>65.299987861151394</v>
      </c>
      <c r="F61" s="66">
        <v>0.74234483670090301</v>
      </c>
      <c r="G61" s="66">
        <v>56.452468254426698</v>
      </c>
      <c r="H61" s="66">
        <v>66.520351849742596</v>
      </c>
      <c r="I61" s="66">
        <v>77.724336732377196</v>
      </c>
    </row>
    <row r="62" spans="1:9">
      <c r="A62" s="110" t="s">
        <v>19</v>
      </c>
      <c r="B62" s="66">
        <v>7.12795473894547</v>
      </c>
      <c r="C62" s="66">
        <v>17.6736451197749</v>
      </c>
      <c r="D62" s="66">
        <v>0.20109868522132601</v>
      </c>
      <c r="E62" s="66">
        <v>12.6696912793465</v>
      </c>
      <c r="F62" s="66">
        <v>4.8756484632174102</v>
      </c>
      <c r="G62" s="66">
        <v>13.184339769801101</v>
      </c>
      <c r="H62" s="66">
        <v>4.7792041313534304</v>
      </c>
      <c r="I62" s="66">
        <v>3.1560715672990298</v>
      </c>
    </row>
    <row r="63" spans="1:9">
      <c r="A63" s="110" t="s">
        <v>20</v>
      </c>
      <c r="B63" s="66">
        <v>40.1417983107794</v>
      </c>
      <c r="C63" s="66">
        <v>24.087311831061601</v>
      </c>
      <c r="D63" s="66">
        <v>24.7558508914504</v>
      </c>
      <c r="E63" s="66">
        <v>77.983043532669697</v>
      </c>
      <c r="F63" s="66">
        <v>24.2282146669877</v>
      </c>
      <c r="G63" s="66">
        <v>51.383564158684301</v>
      </c>
      <c r="H63" s="66">
        <v>64.056497825547495</v>
      </c>
      <c r="I63" s="66">
        <v>40.2683180903215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T1002"/>
  <sheetViews>
    <sheetView tabSelected="1" zoomScale="85" zoomScaleNormal="85" workbookViewId="0">
      <pane xSplit="1" topLeftCell="B1" activePane="topRight" state="frozen"/>
      <selection pane="topRight" activeCell="E26" sqref="E26"/>
    </sheetView>
  </sheetViews>
  <sheetFormatPr defaultColWidth="14.44140625" defaultRowHeight="15" customHeight="1"/>
  <cols>
    <col min="1" max="1" width="70.88671875" customWidth="1"/>
    <col min="2" max="2" width="25.88671875" customWidth="1"/>
    <col min="3" max="3" width="14.88671875" customWidth="1"/>
    <col min="4" max="4" width="14.109375" customWidth="1"/>
    <col min="5" max="5" width="14.6640625" customWidth="1"/>
    <col min="6" max="7" width="12.109375" customWidth="1"/>
    <col min="8" max="8" width="19.33203125" customWidth="1"/>
    <col min="9" max="9" width="13.6640625" customWidth="1"/>
    <col min="10" max="10" width="12.109375" customWidth="1"/>
    <col min="11" max="11" width="13.44140625" customWidth="1"/>
    <col min="12" max="21" width="12.109375" customWidth="1"/>
    <col min="22" max="22" width="12.88671875" customWidth="1"/>
    <col min="23" max="35" width="12.109375" customWidth="1"/>
  </cols>
  <sheetData>
    <row r="1" spans="1:98" ht="15.75" customHeight="1">
      <c r="A1" s="73" t="s">
        <v>29</v>
      </c>
      <c r="B1" s="74" t="s">
        <v>30</v>
      </c>
      <c r="C1" s="75"/>
      <c r="D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124"/>
      <c r="Z1" s="76"/>
      <c r="AA1" s="76"/>
      <c r="AB1" s="77"/>
      <c r="AC1" s="78"/>
      <c r="AD1" s="76"/>
      <c r="AE1" s="76"/>
      <c r="AF1" s="76"/>
      <c r="AG1" s="76"/>
      <c r="AH1" s="76"/>
      <c r="AI1" s="76"/>
    </row>
    <row r="2" spans="1:98" ht="15.75" customHeight="1">
      <c r="A2" s="2" t="s">
        <v>31</v>
      </c>
      <c r="B2" s="79"/>
      <c r="C2" s="80"/>
      <c r="D2" s="3"/>
      <c r="E2" s="3"/>
      <c r="F2" s="3"/>
      <c r="G2" s="125"/>
      <c r="H2" s="126"/>
      <c r="I2" s="126"/>
      <c r="J2" s="127"/>
      <c r="K2" s="126"/>
      <c r="L2" s="126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2"/>
      <c r="Z2" s="3"/>
      <c r="AA2" s="3"/>
      <c r="AB2" s="81"/>
      <c r="AC2" s="80"/>
      <c r="AD2" s="3"/>
      <c r="AE2" s="3"/>
      <c r="AF2" s="3"/>
      <c r="AG2" s="3"/>
      <c r="AH2" s="3"/>
      <c r="AI2" s="3"/>
    </row>
    <row r="3" spans="1:98" ht="15.75" customHeight="1">
      <c r="A3" s="73" t="s">
        <v>32</v>
      </c>
      <c r="B3" s="4"/>
      <c r="C3" s="82"/>
      <c r="D3" s="82"/>
      <c r="E3" s="82"/>
      <c r="F3" s="83"/>
      <c r="G3" s="83"/>
      <c r="H3" s="83"/>
      <c r="I3" s="83"/>
      <c r="J3" s="83"/>
      <c r="K3" s="83"/>
      <c r="L3" s="83"/>
      <c r="M3" s="83"/>
      <c r="N3" s="84"/>
      <c r="O3" s="84"/>
      <c r="P3" s="84"/>
      <c r="Q3" s="84"/>
      <c r="R3" s="84"/>
      <c r="S3" s="84"/>
      <c r="T3" s="116"/>
      <c r="U3" s="84"/>
      <c r="V3" s="111"/>
      <c r="W3" s="122"/>
      <c r="X3" s="111"/>
      <c r="Y3" s="122"/>
      <c r="Z3" s="111"/>
      <c r="AA3" s="111"/>
      <c r="AB3" s="111"/>
      <c r="AC3" s="111"/>
      <c r="AD3" s="82"/>
      <c r="AE3" s="82"/>
      <c r="AF3" s="82"/>
      <c r="AG3" s="82"/>
      <c r="AH3" s="82"/>
      <c r="AI3" s="82"/>
    </row>
    <row r="4" spans="1:98" ht="15.75" customHeight="1">
      <c r="A4" s="73" t="s">
        <v>33</v>
      </c>
      <c r="B4" s="4"/>
      <c r="C4" s="82"/>
      <c r="D4" s="82"/>
      <c r="E4" s="85"/>
      <c r="F4" s="86"/>
      <c r="G4" s="86"/>
      <c r="H4" s="86"/>
      <c r="I4" s="86"/>
      <c r="J4" s="86"/>
      <c r="K4" s="86"/>
      <c r="L4" s="86"/>
      <c r="M4" s="86"/>
      <c r="N4" s="87"/>
      <c r="O4" s="87"/>
      <c r="P4" s="87"/>
      <c r="Q4" s="87"/>
      <c r="R4" s="87"/>
      <c r="S4" s="87"/>
      <c r="T4" s="117"/>
      <c r="U4" s="87"/>
      <c r="V4" s="112"/>
      <c r="W4" s="123"/>
      <c r="X4" s="112"/>
      <c r="Y4" s="123"/>
      <c r="Z4" s="112"/>
      <c r="AA4" s="112"/>
      <c r="AB4" s="112"/>
      <c r="AC4" s="112"/>
      <c r="AD4" s="85"/>
      <c r="AE4" s="85"/>
      <c r="AF4" s="85"/>
      <c r="AG4" s="85"/>
      <c r="AH4" s="85"/>
      <c r="AI4" s="85"/>
    </row>
    <row r="5" spans="1:98" ht="15.75" customHeight="1">
      <c r="A5" s="88" t="s">
        <v>34</v>
      </c>
      <c r="B5" s="5"/>
      <c r="C5" s="3"/>
      <c r="D5" s="3"/>
      <c r="E5" s="3"/>
      <c r="F5" s="67"/>
      <c r="G5" s="67"/>
      <c r="H5" s="67"/>
      <c r="I5" s="67"/>
      <c r="J5" s="67"/>
      <c r="K5" s="67"/>
      <c r="L5" s="67"/>
      <c r="M5" s="67"/>
      <c r="N5" s="68"/>
      <c r="O5" s="68"/>
      <c r="P5" s="68"/>
      <c r="Q5" s="68"/>
      <c r="R5" s="68"/>
      <c r="S5" s="68"/>
      <c r="T5" s="118"/>
      <c r="U5" s="68"/>
      <c r="V5" s="119"/>
      <c r="W5" s="119"/>
      <c r="X5" s="113"/>
      <c r="Y5" s="119"/>
      <c r="Z5" s="113"/>
      <c r="AA5" s="113"/>
      <c r="AB5" s="114"/>
      <c r="AC5" s="115"/>
      <c r="AD5" s="3"/>
      <c r="AE5" s="3"/>
      <c r="AF5" s="3"/>
      <c r="AG5" s="3"/>
      <c r="AH5" s="3"/>
      <c r="AI5" s="3"/>
    </row>
    <row r="6" spans="1:98" ht="14.25" customHeight="1">
      <c r="A6" s="1" t="s">
        <v>35</v>
      </c>
      <c r="B6" s="89"/>
      <c r="C6" s="72" t="s">
        <v>10</v>
      </c>
      <c r="D6" s="72" t="s">
        <v>10</v>
      </c>
      <c r="E6" s="72" t="s">
        <v>10</v>
      </c>
      <c r="F6" s="72" t="s">
        <v>10</v>
      </c>
      <c r="G6" s="72" t="s">
        <v>10</v>
      </c>
      <c r="H6" s="72" t="s">
        <v>10</v>
      </c>
      <c r="I6" s="72" t="s">
        <v>10</v>
      </c>
      <c r="J6" s="72" t="s">
        <v>10</v>
      </c>
      <c r="K6" s="72" t="s">
        <v>10</v>
      </c>
      <c r="L6" s="72" t="s">
        <v>10</v>
      </c>
      <c r="M6" s="72" t="s">
        <v>10</v>
      </c>
      <c r="N6" s="72" t="s">
        <v>10</v>
      </c>
      <c r="O6" s="72" t="s">
        <v>10</v>
      </c>
      <c r="P6" s="72" t="s">
        <v>10</v>
      </c>
      <c r="Q6" s="72" t="s">
        <v>10</v>
      </c>
      <c r="R6" s="72" t="s">
        <v>10</v>
      </c>
      <c r="S6" s="72" t="s">
        <v>10</v>
      </c>
      <c r="T6" s="72" t="s">
        <v>10</v>
      </c>
      <c r="U6" s="72" t="s">
        <v>10</v>
      </c>
      <c r="V6" s="72" t="s">
        <v>10</v>
      </c>
      <c r="W6" s="72" t="s">
        <v>10</v>
      </c>
      <c r="X6" s="72" t="s">
        <v>10</v>
      </c>
      <c r="Y6" s="72" t="s">
        <v>10</v>
      </c>
      <c r="Z6" s="72" t="s">
        <v>10</v>
      </c>
      <c r="AA6" s="72" t="s">
        <v>10</v>
      </c>
      <c r="AB6" s="72" t="s">
        <v>10</v>
      </c>
      <c r="AC6" s="72" t="s">
        <v>10</v>
      </c>
      <c r="AD6" s="72" t="s">
        <v>10</v>
      </c>
      <c r="AE6" s="72" t="s">
        <v>10</v>
      </c>
      <c r="AF6" s="72" t="s">
        <v>10</v>
      </c>
      <c r="AG6" s="72" t="s">
        <v>10</v>
      </c>
      <c r="AH6" s="72" t="s">
        <v>10</v>
      </c>
      <c r="AI6" s="72" t="s">
        <v>10</v>
      </c>
      <c r="AJ6" s="72" t="s">
        <v>10</v>
      </c>
      <c r="AK6" s="72" t="s">
        <v>10</v>
      </c>
      <c r="AL6" s="72" t="s">
        <v>10</v>
      </c>
      <c r="AM6" s="72" t="s">
        <v>10</v>
      </c>
      <c r="AN6" s="72" t="s">
        <v>10</v>
      </c>
      <c r="AO6" s="72" t="s">
        <v>10</v>
      </c>
      <c r="AP6" s="72" t="s">
        <v>10</v>
      </c>
      <c r="AQ6" s="72" t="s">
        <v>10</v>
      </c>
      <c r="AR6" s="72" t="s">
        <v>10</v>
      </c>
      <c r="AS6" s="72" t="s">
        <v>10</v>
      </c>
      <c r="AT6" s="72" t="s">
        <v>10</v>
      </c>
      <c r="AU6" s="72" t="s">
        <v>10</v>
      </c>
      <c r="AV6" s="72" t="s">
        <v>10</v>
      </c>
      <c r="AW6" s="72" t="s">
        <v>10</v>
      </c>
      <c r="AX6" s="72" t="s">
        <v>10</v>
      </c>
      <c r="AY6" s="72" t="s">
        <v>10</v>
      </c>
      <c r="AZ6" s="72" t="s">
        <v>10</v>
      </c>
      <c r="BA6" s="72" t="s">
        <v>10</v>
      </c>
      <c r="BB6" s="72" t="s">
        <v>10</v>
      </c>
      <c r="BC6" s="72" t="s">
        <v>10</v>
      </c>
      <c r="BD6" s="72" t="s">
        <v>10</v>
      </c>
      <c r="BE6" s="72" t="s">
        <v>10</v>
      </c>
      <c r="BF6" s="72" t="s">
        <v>10</v>
      </c>
      <c r="BG6" s="72" t="s">
        <v>10</v>
      </c>
      <c r="BH6" s="72" t="s">
        <v>10</v>
      </c>
      <c r="BI6" s="72" t="s">
        <v>10</v>
      </c>
      <c r="BJ6" s="72" t="s">
        <v>10</v>
      </c>
      <c r="BK6" s="72" t="s">
        <v>10</v>
      </c>
      <c r="BL6" s="72" t="s">
        <v>10</v>
      </c>
      <c r="BM6" s="72" t="s">
        <v>10</v>
      </c>
      <c r="BN6" s="72" t="s">
        <v>10</v>
      </c>
      <c r="BO6" s="72" t="s">
        <v>10</v>
      </c>
      <c r="BP6" s="72" t="s">
        <v>10</v>
      </c>
      <c r="BQ6" s="72" t="s">
        <v>10</v>
      </c>
      <c r="BR6" s="72" t="s">
        <v>10</v>
      </c>
      <c r="BS6" s="72" t="s">
        <v>10</v>
      </c>
      <c r="BT6" s="72" t="s">
        <v>10</v>
      </c>
      <c r="BU6" s="72" t="s">
        <v>10</v>
      </c>
      <c r="BV6" s="72" t="s">
        <v>10</v>
      </c>
      <c r="BW6" s="72" t="s">
        <v>10</v>
      </c>
      <c r="BX6" s="72" t="s">
        <v>10</v>
      </c>
      <c r="BY6" s="72" t="s">
        <v>10</v>
      </c>
      <c r="BZ6" s="72" t="s">
        <v>10</v>
      </c>
      <c r="CA6" s="72" t="s">
        <v>10</v>
      </c>
      <c r="CB6" s="72" t="s">
        <v>10</v>
      </c>
      <c r="CC6" s="72" t="s">
        <v>10</v>
      </c>
      <c r="CD6" s="72" t="s">
        <v>10</v>
      </c>
      <c r="CE6" s="72" t="s">
        <v>10</v>
      </c>
      <c r="CF6" s="72" t="s">
        <v>10</v>
      </c>
      <c r="CG6" s="72" t="s">
        <v>10</v>
      </c>
      <c r="CH6" s="72" t="s">
        <v>10</v>
      </c>
      <c r="CI6" s="72" t="s">
        <v>10</v>
      </c>
      <c r="CJ6" s="72" t="s">
        <v>10</v>
      </c>
      <c r="CK6" s="72" t="s">
        <v>10</v>
      </c>
      <c r="CL6" s="72" t="s">
        <v>10</v>
      </c>
      <c r="CM6" s="72" t="s">
        <v>10</v>
      </c>
      <c r="CN6" s="72" t="s">
        <v>10</v>
      </c>
      <c r="CO6" s="72" t="s">
        <v>10</v>
      </c>
      <c r="CP6" s="72" t="s">
        <v>10</v>
      </c>
      <c r="CQ6" s="72" t="s">
        <v>10</v>
      </c>
      <c r="CR6" s="72" t="s">
        <v>10</v>
      </c>
      <c r="CS6" s="72" t="s">
        <v>10</v>
      </c>
      <c r="CT6" s="72" t="s">
        <v>10</v>
      </c>
    </row>
    <row r="7" spans="1:98" ht="14.25" customHeight="1">
      <c r="A7" s="1" t="s">
        <v>36</v>
      </c>
      <c r="B7" s="89"/>
      <c r="C7" s="72" t="s">
        <v>4</v>
      </c>
      <c r="D7" s="72" t="s">
        <v>4</v>
      </c>
      <c r="E7" s="72" t="s">
        <v>4</v>
      </c>
      <c r="F7" s="72" t="s">
        <v>4</v>
      </c>
      <c r="G7" s="72" t="s">
        <v>4</v>
      </c>
      <c r="H7" s="72" t="s">
        <v>4</v>
      </c>
      <c r="I7" s="72" t="s">
        <v>4</v>
      </c>
      <c r="J7" s="72" t="s">
        <v>4</v>
      </c>
      <c r="K7" s="72" t="s">
        <v>4</v>
      </c>
      <c r="L7" s="72" t="s">
        <v>4</v>
      </c>
      <c r="M7" s="72" t="s">
        <v>4</v>
      </c>
      <c r="N7" s="72" t="s">
        <v>4</v>
      </c>
      <c r="O7" s="72" t="s">
        <v>4</v>
      </c>
      <c r="P7" s="72" t="s">
        <v>4</v>
      </c>
      <c r="Q7" s="72" t="s">
        <v>4</v>
      </c>
      <c r="R7" s="72" t="s">
        <v>4</v>
      </c>
      <c r="S7" s="72" t="s">
        <v>4</v>
      </c>
      <c r="T7" s="72" t="s">
        <v>4</v>
      </c>
      <c r="U7" s="72" t="s">
        <v>4</v>
      </c>
      <c r="V7" s="72" t="s">
        <v>4</v>
      </c>
      <c r="W7" s="72" t="s">
        <v>4</v>
      </c>
      <c r="X7" s="72" t="s">
        <v>4</v>
      </c>
      <c r="Y7" s="72" t="s">
        <v>4</v>
      </c>
      <c r="Z7" s="72" t="s">
        <v>4</v>
      </c>
      <c r="AA7" s="72" t="s">
        <v>4</v>
      </c>
      <c r="AB7" s="72" t="s">
        <v>4</v>
      </c>
      <c r="AC7" s="72" t="s">
        <v>4</v>
      </c>
      <c r="AD7" s="72" t="s">
        <v>4</v>
      </c>
      <c r="AE7" s="72" t="s">
        <v>4</v>
      </c>
      <c r="AF7" s="72" t="s">
        <v>4</v>
      </c>
      <c r="AG7" s="72" t="s">
        <v>4</v>
      </c>
      <c r="AH7" s="72" t="s">
        <v>4</v>
      </c>
      <c r="AI7" s="72" t="s">
        <v>4</v>
      </c>
      <c r="AJ7" s="72" t="s">
        <v>4</v>
      </c>
      <c r="AK7" s="72" t="s">
        <v>4</v>
      </c>
      <c r="AL7" s="72" t="s">
        <v>4</v>
      </c>
      <c r="AM7" s="72" t="s">
        <v>4</v>
      </c>
      <c r="AN7" s="72" t="s">
        <v>4</v>
      </c>
      <c r="AO7" s="72" t="s">
        <v>4</v>
      </c>
      <c r="AP7" s="72" t="s">
        <v>4</v>
      </c>
      <c r="AQ7" s="72" t="s">
        <v>4</v>
      </c>
      <c r="AR7" s="72" t="s">
        <v>4</v>
      </c>
      <c r="AS7" s="72" t="s">
        <v>4</v>
      </c>
      <c r="AT7" s="72" t="s">
        <v>4</v>
      </c>
      <c r="AU7" s="72" t="s">
        <v>4</v>
      </c>
      <c r="AV7" s="72" t="s">
        <v>4</v>
      </c>
      <c r="AW7" s="72" t="s">
        <v>4</v>
      </c>
      <c r="AX7" s="72" t="s">
        <v>4</v>
      </c>
      <c r="AY7" s="72" t="s">
        <v>4</v>
      </c>
      <c r="AZ7" s="72" t="s">
        <v>4</v>
      </c>
      <c r="BA7" s="72" t="s">
        <v>4</v>
      </c>
      <c r="BB7" s="72" t="s">
        <v>4</v>
      </c>
      <c r="BC7" s="72" t="s">
        <v>4</v>
      </c>
      <c r="BD7" s="72" t="s">
        <v>4</v>
      </c>
      <c r="BE7" s="72" t="s">
        <v>4</v>
      </c>
      <c r="BF7" s="72" t="s">
        <v>4</v>
      </c>
      <c r="BG7" s="72" t="s">
        <v>4</v>
      </c>
      <c r="BH7" s="72" t="s">
        <v>4</v>
      </c>
      <c r="BI7" s="72" t="s">
        <v>4</v>
      </c>
      <c r="BJ7" s="72" t="s">
        <v>4</v>
      </c>
      <c r="BK7" s="72" t="s">
        <v>4</v>
      </c>
      <c r="BL7" s="72" t="s">
        <v>4</v>
      </c>
      <c r="BM7" s="72" t="s">
        <v>4</v>
      </c>
      <c r="BN7" s="72" t="s">
        <v>4</v>
      </c>
      <c r="BO7" s="72" t="s">
        <v>4</v>
      </c>
      <c r="BP7" s="72" t="s">
        <v>4</v>
      </c>
      <c r="BQ7" s="72" t="s">
        <v>4</v>
      </c>
      <c r="BR7" s="72" t="s">
        <v>4</v>
      </c>
      <c r="BS7" s="72" t="s">
        <v>4</v>
      </c>
      <c r="BT7" s="72" t="s">
        <v>4</v>
      </c>
      <c r="BU7" s="72" t="s">
        <v>4</v>
      </c>
      <c r="BV7" s="72" t="s">
        <v>4</v>
      </c>
      <c r="BW7" s="72" t="s">
        <v>4</v>
      </c>
      <c r="BX7" s="72" t="s">
        <v>4</v>
      </c>
      <c r="BY7" s="72" t="s">
        <v>4</v>
      </c>
      <c r="BZ7" s="72" t="s">
        <v>4</v>
      </c>
      <c r="CA7" s="72" t="s">
        <v>4</v>
      </c>
      <c r="CB7" s="72" t="s">
        <v>4</v>
      </c>
      <c r="CC7" s="72" t="s">
        <v>4</v>
      </c>
      <c r="CD7" s="72" t="s">
        <v>4</v>
      </c>
      <c r="CE7" s="72" t="s">
        <v>4</v>
      </c>
      <c r="CF7" s="72" t="s">
        <v>4</v>
      </c>
      <c r="CG7" s="72" t="s">
        <v>4</v>
      </c>
      <c r="CH7" s="72" t="s">
        <v>4</v>
      </c>
      <c r="CI7" s="72" t="s">
        <v>4</v>
      </c>
      <c r="CJ7" s="72" t="s">
        <v>4</v>
      </c>
      <c r="CK7" s="72" t="s">
        <v>4</v>
      </c>
      <c r="CL7" s="72" t="s">
        <v>4</v>
      </c>
      <c r="CM7" s="72" t="s">
        <v>4</v>
      </c>
      <c r="CN7" s="72" t="s">
        <v>4</v>
      </c>
      <c r="CO7" s="72" t="s">
        <v>4</v>
      </c>
      <c r="CP7" s="72" t="s">
        <v>4</v>
      </c>
      <c r="CQ7" s="72" t="s">
        <v>4</v>
      </c>
      <c r="CR7" s="72" t="s">
        <v>4</v>
      </c>
      <c r="CS7" s="72" t="s">
        <v>4</v>
      </c>
      <c r="CT7" s="72" t="s">
        <v>4</v>
      </c>
    </row>
    <row r="8" spans="1:98" ht="14.25" customHeight="1">
      <c r="A8" s="1" t="s">
        <v>37</v>
      </c>
      <c r="B8" s="89"/>
      <c r="C8" s="72" t="s">
        <v>12</v>
      </c>
      <c r="D8" s="72" t="s">
        <v>12</v>
      </c>
      <c r="E8" s="72" t="s">
        <v>12</v>
      </c>
      <c r="F8" s="72" t="s">
        <v>12</v>
      </c>
      <c r="G8" s="72" t="s">
        <v>12</v>
      </c>
      <c r="H8" s="72" t="s">
        <v>12</v>
      </c>
      <c r="I8" s="72" t="s">
        <v>12</v>
      </c>
      <c r="J8" s="72" t="s">
        <v>12</v>
      </c>
      <c r="K8" s="72" t="s">
        <v>12</v>
      </c>
      <c r="L8" s="72" t="s">
        <v>12</v>
      </c>
      <c r="M8" s="72" t="s">
        <v>12</v>
      </c>
      <c r="N8" s="72" t="s">
        <v>12</v>
      </c>
      <c r="O8" s="72" t="s">
        <v>12</v>
      </c>
      <c r="P8" s="72" t="s">
        <v>12</v>
      </c>
      <c r="Q8" s="72" t="s">
        <v>12</v>
      </c>
      <c r="R8" s="72" t="s">
        <v>12</v>
      </c>
      <c r="S8" s="72" t="s">
        <v>12</v>
      </c>
      <c r="T8" s="72" t="s">
        <v>12</v>
      </c>
      <c r="U8" s="72" t="s">
        <v>12</v>
      </c>
      <c r="V8" s="72" t="s">
        <v>12</v>
      </c>
      <c r="W8" s="72" t="s">
        <v>12</v>
      </c>
      <c r="X8" s="72" t="s">
        <v>12</v>
      </c>
      <c r="Y8" s="72" t="s">
        <v>12</v>
      </c>
      <c r="Z8" s="72" t="s">
        <v>12</v>
      </c>
      <c r="AA8" s="72" t="s">
        <v>12</v>
      </c>
      <c r="AB8" s="72" t="s">
        <v>12</v>
      </c>
      <c r="AC8" s="72" t="s">
        <v>12</v>
      </c>
      <c r="AD8" s="72" t="s">
        <v>12</v>
      </c>
      <c r="AE8" s="72" t="s">
        <v>12</v>
      </c>
      <c r="AF8" s="72" t="s">
        <v>12</v>
      </c>
      <c r="AG8" s="72" t="s">
        <v>12</v>
      </c>
      <c r="AH8" s="72" t="s">
        <v>12</v>
      </c>
      <c r="AI8" s="72" t="s">
        <v>12</v>
      </c>
      <c r="AJ8" s="72" t="s">
        <v>12</v>
      </c>
      <c r="AK8" s="72" t="s">
        <v>12</v>
      </c>
      <c r="AL8" s="72" t="s">
        <v>12</v>
      </c>
      <c r="AM8" s="72" t="s">
        <v>12</v>
      </c>
      <c r="AN8" s="72" t="s">
        <v>12</v>
      </c>
      <c r="AO8" s="72" t="s">
        <v>12</v>
      </c>
      <c r="AP8" s="72" t="s">
        <v>12</v>
      </c>
      <c r="AQ8" s="72" t="s">
        <v>12</v>
      </c>
      <c r="AR8" s="72" t="s">
        <v>12</v>
      </c>
      <c r="AS8" s="72" t="s">
        <v>12</v>
      </c>
      <c r="AT8" s="72" t="s">
        <v>12</v>
      </c>
      <c r="AU8" s="72" t="s">
        <v>12</v>
      </c>
      <c r="AV8" s="72" t="s">
        <v>12</v>
      </c>
      <c r="AW8" s="72" t="s">
        <v>12</v>
      </c>
      <c r="AX8" s="72" t="s">
        <v>12</v>
      </c>
      <c r="AY8" s="72" t="s">
        <v>12</v>
      </c>
      <c r="AZ8" s="72" t="s">
        <v>12</v>
      </c>
      <c r="BA8" s="72" t="s">
        <v>12</v>
      </c>
      <c r="BB8" s="72" t="s">
        <v>12</v>
      </c>
      <c r="BC8" s="72" t="s">
        <v>12</v>
      </c>
      <c r="BD8" s="72" t="s">
        <v>12</v>
      </c>
      <c r="BE8" s="72" t="s">
        <v>12</v>
      </c>
      <c r="BF8" s="72" t="s">
        <v>12</v>
      </c>
      <c r="BG8" s="72" t="s">
        <v>12</v>
      </c>
      <c r="BH8" s="72" t="s">
        <v>12</v>
      </c>
      <c r="BI8" s="72" t="s">
        <v>12</v>
      </c>
      <c r="BJ8" s="72" t="s">
        <v>12</v>
      </c>
      <c r="BK8" s="72" t="s">
        <v>12</v>
      </c>
      <c r="BL8" s="72" t="s">
        <v>12</v>
      </c>
      <c r="BM8" s="72" t="s">
        <v>12</v>
      </c>
      <c r="BN8" s="72" t="s">
        <v>12</v>
      </c>
      <c r="BO8" s="72" t="s">
        <v>12</v>
      </c>
      <c r="BP8" s="72" t="s">
        <v>12</v>
      </c>
      <c r="BQ8" s="72" t="s">
        <v>12</v>
      </c>
      <c r="BR8" s="72" t="s">
        <v>12</v>
      </c>
      <c r="BS8" s="72" t="s">
        <v>12</v>
      </c>
      <c r="BT8" s="72" t="s">
        <v>12</v>
      </c>
      <c r="BU8" s="72" t="s">
        <v>12</v>
      </c>
      <c r="BV8" s="72" t="s">
        <v>12</v>
      </c>
      <c r="BW8" s="72" t="s">
        <v>12</v>
      </c>
      <c r="BX8" s="72" t="s">
        <v>12</v>
      </c>
      <c r="BY8" s="72" t="s">
        <v>12</v>
      </c>
      <c r="BZ8" s="72" t="s">
        <v>12</v>
      </c>
      <c r="CA8" s="72" t="s">
        <v>12</v>
      </c>
      <c r="CB8" s="72" t="s">
        <v>12</v>
      </c>
      <c r="CC8" s="72" t="s">
        <v>12</v>
      </c>
      <c r="CD8" s="72" t="s">
        <v>12</v>
      </c>
      <c r="CE8" s="72" t="s">
        <v>12</v>
      </c>
      <c r="CF8" s="72" t="s">
        <v>12</v>
      </c>
      <c r="CG8" s="72" t="s">
        <v>12</v>
      </c>
      <c r="CH8" s="72" t="s">
        <v>12</v>
      </c>
      <c r="CI8" s="72" t="s">
        <v>12</v>
      </c>
      <c r="CJ8" s="72" t="s">
        <v>12</v>
      </c>
      <c r="CK8" s="72" t="s">
        <v>12</v>
      </c>
      <c r="CL8" s="72" t="s">
        <v>12</v>
      </c>
      <c r="CM8" s="72" t="s">
        <v>12</v>
      </c>
      <c r="CN8" s="72" t="s">
        <v>12</v>
      </c>
      <c r="CO8" s="72" t="s">
        <v>12</v>
      </c>
      <c r="CP8" s="72" t="s">
        <v>12</v>
      </c>
      <c r="CQ8" s="72" t="s">
        <v>12</v>
      </c>
      <c r="CR8" s="72" t="s">
        <v>12</v>
      </c>
      <c r="CS8" s="72" t="s">
        <v>12</v>
      </c>
      <c r="CT8" s="72" t="s">
        <v>12</v>
      </c>
    </row>
    <row r="9" spans="1:98" ht="15" customHeight="1">
      <c r="A9" s="1" t="s">
        <v>38</v>
      </c>
      <c r="B9" s="89"/>
      <c r="C9" s="72" t="s">
        <v>14</v>
      </c>
      <c r="D9" s="72" t="s">
        <v>14</v>
      </c>
      <c r="E9" s="72" t="s">
        <v>14</v>
      </c>
      <c r="F9" s="72" t="s">
        <v>14</v>
      </c>
      <c r="G9" s="72" t="s">
        <v>14</v>
      </c>
      <c r="H9" s="72" t="s">
        <v>14</v>
      </c>
      <c r="I9" s="72" t="s">
        <v>14</v>
      </c>
      <c r="J9" s="72" t="s">
        <v>14</v>
      </c>
      <c r="K9" s="72" t="s">
        <v>14</v>
      </c>
      <c r="L9" s="72" t="s">
        <v>14</v>
      </c>
      <c r="M9" s="72" t="s">
        <v>14</v>
      </c>
      <c r="N9" s="72" t="s">
        <v>14</v>
      </c>
      <c r="O9" s="72" t="s">
        <v>14</v>
      </c>
      <c r="P9" s="72" t="s">
        <v>14</v>
      </c>
      <c r="Q9" s="72" t="s">
        <v>14</v>
      </c>
      <c r="R9" s="72" t="s">
        <v>14</v>
      </c>
      <c r="S9" s="72" t="s">
        <v>14</v>
      </c>
      <c r="T9" s="72" t="s">
        <v>14</v>
      </c>
      <c r="U9" s="72" t="s">
        <v>14</v>
      </c>
      <c r="V9" s="72" t="s">
        <v>14</v>
      </c>
      <c r="W9" s="72" t="s">
        <v>14</v>
      </c>
      <c r="X9" s="72" t="s">
        <v>14</v>
      </c>
      <c r="Y9" s="72" t="s">
        <v>14</v>
      </c>
      <c r="Z9" s="72" t="s">
        <v>14</v>
      </c>
      <c r="AA9" s="72" t="s">
        <v>14</v>
      </c>
      <c r="AB9" s="72" t="s">
        <v>14</v>
      </c>
      <c r="AC9" s="72" t="s">
        <v>14</v>
      </c>
      <c r="AD9" s="72" t="s">
        <v>14</v>
      </c>
      <c r="AE9" s="72" t="s">
        <v>14</v>
      </c>
      <c r="AF9" s="72" t="s">
        <v>14</v>
      </c>
      <c r="AG9" s="72" t="s">
        <v>14</v>
      </c>
      <c r="AH9" s="72" t="s">
        <v>14</v>
      </c>
      <c r="AI9" s="72" t="s">
        <v>14</v>
      </c>
      <c r="AJ9" s="72" t="s">
        <v>14</v>
      </c>
      <c r="AK9" s="72" t="s">
        <v>14</v>
      </c>
      <c r="AL9" s="72" t="s">
        <v>14</v>
      </c>
      <c r="AM9" s="72" t="s">
        <v>14</v>
      </c>
      <c r="AN9" s="72" t="s">
        <v>14</v>
      </c>
      <c r="AO9" s="72" t="s">
        <v>14</v>
      </c>
      <c r="AP9" s="72" t="s">
        <v>14</v>
      </c>
      <c r="AQ9" s="72" t="s">
        <v>14</v>
      </c>
      <c r="AR9" s="72" t="s">
        <v>14</v>
      </c>
      <c r="AS9" s="72" t="s">
        <v>14</v>
      </c>
      <c r="AT9" s="72" t="s">
        <v>14</v>
      </c>
      <c r="AU9" s="72" t="s">
        <v>14</v>
      </c>
      <c r="AV9" s="72" t="s">
        <v>14</v>
      </c>
      <c r="AW9" s="72" t="s">
        <v>14</v>
      </c>
      <c r="AX9" s="72" t="s">
        <v>14</v>
      </c>
      <c r="AY9" s="72" t="s">
        <v>14</v>
      </c>
      <c r="AZ9" s="72" t="s">
        <v>14</v>
      </c>
      <c r="BA9" s="72" t="s">
        <v>14</v>
      </c>
      <c r="BB9" s="72" t="s">
        <v>14</v>
      </c>
      <c r="BC9" s="72" t="s">
        <v>14</v>
      </c>
      <c r="BD9" s="72" t="s">
        <v>14</v>
      </c>
      <c r="BE9" s="72" t="s">
        <v>14</v>
      </c>
      <c r="BF9" s="72" t="s">
        <v>14</v>
      </c>
      <c r="BG9" s="72" t="s">
        <v>14</v>
      </c>
      <c r="BH9" s="72" t="s">
        <v>14</v>
      </c>
      <c r="BI9" s="72" t="s">
        <v>14</v>
      </c>
      <c r="BJ9" s="72" t="s">
        <v>14</v>
      </c>
      <c r="BK9" s="72" t="s">
        <v>14</v>
      </c>
      <c r="BL9" s="72" t="s">
        <v>14</v>
      </c>
      <c r="BM9" s="72" t="s">
        <v>14</v>
      </c>
      <c r="BN9" s="72" t="s">
        <v>14</v>
      </c>
      <c r="BO9" s="72" t="s">
        <v>14</v>
      </c>
      <c r="BP9" s="72" t="s">
        <v>14</v>
      </c>
      <c r="BQ9" s="72" t="s">
        <v>14</v>
      </c>
      <c r="BR9" s="72" t="s">
        <v>14</v>
      </c>
      <c r="BS9" s="72" t="s">
        <v>14</v>
      </c>
      <c r="BT9" s="72" t="s">
        <v>14</v>
      </c>
      <c r="BU9" s="72" t="s">
        <v>14</v>
      </c>
      <c r="BV9" s="72" t="s">
        <v>14</v>
      </c>
      <c r="BW9" s="72" t="s">
        <v>14</v>
      </c>
      <c r="BX9" s="72" t="s">
        <v>14</v>
      </c>
      <c r="BY9" s="72" t="s">
        <v>14</v>
      </c>
      <c r="BZ9" s="72" t="s">
        <v>14</v>
      </c>
      <c r="CA9" s="72" t="s">
        <v>14</v>
      </c>
      <c r="CB9" s="72" t="s">
        <v>14</v>
      </c>
      <c r="CC9" s="72" t="s">
        <v>14</v>
      </c>
      <c r="CD9" s="72" t="s">
        <v>14</v>
      </c>
      <c r="CE9" s="72" t="s">
        <v>14</v>
      </c>
      <c r="CF9" s="72" t="s">
        <v>14</v>
      </c>
      <c r="CG9" s="72" t="s">
        <v>14</v>
      </c>
      <c r="CH9" s="72" t="s">
        <v>14</v>
      </c>
      <c r="CI9" s="72" t="s">
        <v>14</v>
      </c>
      <c r="CJ9" s="72" t="s">
        <v>14</v>
      </c>
      <c r="CK9" s="72" t="s">
        <v>14</v>
      </c>
      <c r="CL9" s="72" t="s">
        <v>14</v>
      </c>
      <c r="CM9" s="72" t="s">
        <v>14</v>
      </c>
      <c r="CN9" s="72" t="s">
        <v>14</v>
      </c>
      <c r="CO9" s="72" t="s">
        <v>14</v>
      </c>
      <c r="CP9" s="72" t="s">
        <v>14</v>
      </c>
      <c r="CQ9" s="72" t="s">
        <v>14</v>
      </c>
      <c r="CR9" s="72" t="s">
        <v>14</v>
      </c>
      <c r="CS9" s="72" t="s">
        <v>14</v>
      </c>
      <c r="CT9" s="72" t="s">
        <v>14</v>
      </c>
    </row>
    <row r="10" spans="1:98" ht="15" customHeight="1" thickBot="1">
      <c r="A10" s="1" t="s">
        <v>39</v>
      </c>
      <c r="B10" s="89"/>
      <c r="C10" s="72" t="s">
        <v>5</v>
      </c>
      <c r="D10" s="72" t="s">
        <v>5</v>
      </c>
      <c r="E10" s="72" t="s">
        <v>5</v>
      </c>
      <c r="F10" s="72" t="s">
        <v>5</v>
      </c>
      <c r="G10" s="72" t="s">
        <v>5</v>
      </c>
      <c r="H10" s="72" t="s">
        <v>5</v>
      </c>
      <c r="I10" s="72" t="s">
        <v>5</v>
      </c>
      <c r="J10" s="72" t="s">
        <v>5</v>
      </c>
      <c r="K10" s="72" t="s">
        <v>5</v>
      </c>
      <c r="L10" s="72" t="s">
        <v>5</v>
      </c>
      <c r="M10" s="72" t="s">
        <v>5</v>
      </c>
      <c r="N10" s="72" t="s">
        <v>5</v>
      </c>
      <c r="O10" s="72" t="s">
        <v>5</v>
      </c>
      <c r="P10" s="72" t="s">
        <v>5</v>
      </c>
      <c r="Q10" s="72" t="s">
        <v>5</v>
      </c>
      <c r="R10" s="72" t="s">
        <v>5</v>
      </c>
      <c r="S10" s="72" t="s">
        <v>5</v>
      </c>
      <c r="T10" s="72" t="s">
        <v>5</v>
      </c>
      <c r="U10" s="72" t="s">
        <v>5</v>
      </c>
      <c r="V10" s="72" t="s">
        <v>5</v>
      </c>
      <c r="W10" s="72" t="s">
        <v>5</v>
      </c>
      <c r="X10" s="72" t="s">
        <v>5</v>
      </c>
      <c r="Y10" s="72" t="s">
        <v>5</v>
      </c>
      <c r="Z10" s="72" t="s">
        <v>5</v>
      </c>
      <c r="AA10" s="72" t="s">
        <v>5</v>
      </c>
      <c r="AB10" s="72" t="s">
        <v>5</v>
      </c>
      <c r="AC10" s="72" t="s">
        <v>5</v>
      </c>
      <c r="AD10" s="72" t="s">
        <v>5</v>
      </c>
      <c r="AE10" s="72" t="s">
        <v>5</v>
      </c>
      <c r="AF10" s="72" t="s">
        <v>5</v>
      </c>
      <c r="AG10" s="72" t="s">
        <v>5</v>
      </c>
      <c r="AH10" s="72" t="s">
        <v>5</v>
      </c>
      <c r="AI10" s="72" t="s">
        <v>5</v>
      </c>
      <c r="AJ10" s="72" t="s">
        <v>5</v>
      </c>
      <c r="AK10" s="72" t="s">
        <v>5</v>
      </c>
      <c r="AL10" s="72" t="s">
        <v>5</v>
      </c>
      <c r="AM10" s="72" t="s">
        <v>5</v>
      </c>
      <c r="AN10" s="72" t="s">
        <v>5</v>
      </c>
      <c r="AO10" s="72" t="s">
        <v>5</v>
      </c>
      <c r="AP10" s="72" t="s">
        <v>5</v>
      </c>
      <c r="AQ10" s="72" t="s">
        <v>5</v>
      </c>
      <c r="AR10" s="72" t="s">
        <v>5</v>
      </c>
      <c r="AS10" s="72" t="s">
        <v>5</v>
      </c>
      <c r="AT10" s="72" t="s">
        <v>5</v>
      </c>
      <c r="AU10" s="72" t="s">
        <v>5</v>
      </c>
      <c r="AV10" s="72" t="s">
        <v>5</v>
      </c>
      <c r="AW10" s="72" t="s">
        <v>5</v>
      </c>
      <c r="AX10" s="72" t="s">
        <v>5</v>
      </c>
      <c r="AY10" s="72" t="s">
        <v>5</v>
      </c>
      <c r="AZ10" s="72" t="s">
        <v>5</v>
      </c>
      <c r="BA10" s="72" t="s">
        <v>5</v>
      </c>
      <c r="BB10" s="72" t="s">
        <v>5</v>
      </c>
      <c r="BC10" s="72" t="s">
        <v>5</v>
      </c>
      <c r="BD10" s="72" t="s">
        <v>5</v>
      </c>
      <c r="BE10" s="72" t="s">
        <v>5</v>
      </c>
      <c r="BF10" s="72" t="s">
        <v>5</v>
      </c>
      <c r="BG10" s="72" t="s">
        <v>5</v>
      </c>
      <c r="BH10" s="72" t="s">
        <v>5</v>
      </c>
      <c r="BI10" s="72" t="s">
        <v>5</v>
      </c>
      <c r="BJ10" s="72" t="s">
        <v>5</v>
      </c>
      <c r="BK10" s="72" t="s">
        <v>5</v>
      </c>
      <c r="BL10" s="72" t="s">
        <v>5</v>
      </c>
      <c r="BM10" s="72" t="s">
        <v>5</v>
      </c>
      <c r="BN10" s="72" t="s">
        <v>5</v>
      </c>
      <c r="BO10" s="72" t="s">
        <v>5</v>
      </c>
      <c r="BP10" s="72" t="s">
        <v>5</v>
      </c>
      <c r="BQ10" s="72" t="s">
        <v>5</v>
      </c>
      <c r="BR10" s="72" t="s">
        <v>5</v>
      </c>
      <c r="BS10" s="72" t="s">
        <v>5</v>
      </c>
      <c r="BT10" s="72" t="s">
        <v>5</v>
      </c>
      <c r="BU10" s="72" t="s">
        <v>5</v>
      </c>
      <c r="BV10" s="72" t="s">
        <v>5</v>
      </c>
      <c r="BW10" s="72" t="s">
        <v>5</v>
      </c>
      <c r="BX10" s="72" t="s">
        <v>5</v>
      </c>
      <c r="BY10" s="72" t="s">
        <v>5</v>
      </c>
      <c r="BZ10" s="72" t="s">
        <v>5</v>
      </c>
      <c r="CA10" s="72" t="s">
        <v>5</v>
      </c>
      <c r="CB10" s="72" t="s">
        <v>5</v>
      </c>
      <c r="CC10" s="72" t="s">
        <v>5</v>
      </c>
      <c r="CD10" s="72" t="s">
        <v>5</v>
      </c>
      <c r="CE10" s="72" t="s">
        <v>5</v>
      </c>
      <c r="CF10" s="72" t="s">
        <v>5</v>
      </c>
      <c r="CG10" s="72" t="s">
        <v>5</v>
      </c>
      <c r="CH10" s="72" t="s">
        <v>5</v>
      </c>
      <c r="CI10" s="72" t="s">
        <v>5</v>
      </c>
      <c r="CJ10" s="72" t="s">
        <v>5</v>
      </c>
      <c r="CK10" s="72" t="s">
        <v>5</v>
      </c>
      <c r="CL10" s="72" t="s">
        <v>5</v>
      </c>
      <c r="CM10" s="72" t="s">
        <v>5</v>
      </c>
      <c r="CN10" s="72" t="s">
        <v>5</v>
      </c>
      <c r="CO10" s="72" t="s">
        <v>5</v>
      </c>
      <c r="CP10" s="72" t="s">
        <v>5</v>
      </c>
      <c r="CQ10" s="72" t="s">
        <v>5</v>
      </c>
      <c r="CR10" s="72" t="s">
        <v>5</v>
      </c>
      <c r="CS10" s="72" t="s">
        <v>5</v>
      </c>
      <c r="CT10" s="72" t="s">
        <v>5</v>
      </c>
    </row>
    <row r="11" spans="1:98" ht="15.75" customHeight="1">
      <c r="A11" s="6" t="s">
        <v>40</v>
      </c>
      <c r="B11" s="7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  <c r="AA11" s="130"/>
      <c r="AB11" s="130"/>
      <c r="AC11" s="130"/>
      <c r="AD11" s="130"/>
      <c r="AE11" s="130"/>
      <c r="AF11" s="130"/>
      <c r="AG11" s="130"/>
      <c r="AH11" s="130"/>
      <c r="AI11" s="130"/>
      <c r="AJ11" s="130"/>
      <c r="AK11" s="130"/>
      <c r="AL11" s="130"/>
      <c r="AM11" s="130"/>
      <c r="AN11" s="130"/>
      <c r="AO11" s="130"/>
      <c r="AP11" s="130"/>
      <c r="AQ11" s="130"/>
      <c r="AR11" s="130"/>
      <c r="AS11" s="130"/>
      <c r="AT11" s="130"/>
      <c r="AU11" s="130"/>
      <c r="AV11" s="130"/>
      <c r="AW11" s="130"/>
      <c r="AX11" s="130"/>
      <c r="AY11" s="130"/>
      <c r="AZ11" s="130"/>
      <c r="BA11" s="130"/>
      <c r="BB11" s="130"/>
      <c r="BC11" s="130"/>
      <c r="BD11" s="130"/>
      <c r="BE11" s="130"/>
      <c r="BF11" s="130"/>
      <c r="BG11" s="130"/>
      <c r="BH11" s="130"/>
      <c r="BI11" s="130"/>
      <c r="BJ11" s="130"/>
      <c r="BK11" s="130"/>
      <c r="BL11" s="130"/>
      <c r="BM11" s="130"/>
      <c r="BN11" s="130"/>
      <c r="BO11" s="130"/>
      <c r="BP11" s="130"/>
      <c r="BQ11" s="130"/>
      <c r="BR11" s="130"/>
      <c r="BS11" s="130"/>
      <c r="BT11" s="130"/>
      <c r="BU11" s="130"/>
      <c r="BV11" s="130"/>
      <c r="BW11" s="130"/>
      <c r="BX11" s="130"/>
      <c r="BY11" s="130"/>
      <c r="BZ11" s="130"/>
      <c r="CA11" s="130"/>
      <c r="CB11" s="130"/>
      <c r="CC11" s="130"/>
      <c r="CD11" s="130"/>
      <c r="CE11" s="130"/>
      <c r="CF11" s="130"/>
      <c r="CG11" s="130"/>
      <c r="CH11" s="130"/>
      <c r="CI11" s="130"/>
      <c r="CJ11" s="130"/>
      <c r="CK11" s="130"/>
      <c r="CL11" s="130"/>
      <c r="CM11" s="130"/>
      <c r="CN11" s="130"/>
      <c r="CO11" s="130"/>
      <c r="CP11" s="130"/>
      <c r="CQ11" s="130"/>
      <c r="CR11" s="130"/>
      <c r="CS11" s="130"/>
      <c r="CT11" s="130"/>
    </row>
    <row r="12" spans="1:98" ht="15.75" customHeight="1">
      <c r="A12" s="8" t="s">
        <v>41</v>
      </c>
      <c r="B12" s="9"/>
    </row>
    <row r="13" spans="1:98" ht="15.75" customHeight="1">
      <c r="A13" s="8" t="s">
        <v>42</v>
      </c>
      <c r="B13" s="9"/>
    </row>
    <row r="14" spans="1:98" ht="15.75" customHeight="1">
      <c r="A14" s="8" t="s">
        <v>43</v>
      </c>
      <c r="B14" s="9"/>
    </row>
    <row r="15" spans="1:98" ht="15.75" customHeight="1">
      <c r="A15" s="8" t="s">
        <v>44</v>
      </c>
      <c r="B15" s="9"/>
      <c r="C15" s="131"/>
      <c r="D15" s="131"/>
      <c r="E15" s="131"/>
      <c r="F15" s="131"/>
      <c r="G15" s="131"/>
      <c r="H15" s="131"/>
      <c r="I15" s="131"/>
      <c r="J15" s="131"/>
      <c r="K15" s="131"/>
      <c r="L15" s="131"/>
      <c r="M15" s="131"/>
      <c r="N15" s="131"/>
      <c r="O15" s="131"/>
      <c r="P15" s="131"/>
      <c r="Q15" s="131"/>
      <c r="R15" s="131"/>
      <c r="S15" s="131"/>
      <c r="T15" s="131"/>
      <c r="U15" s="131"/>
      <c r="V15" s="131"/>
      <c r="W15" s="131"/>
      <c r="X15" s="131"/>
      <c r="Y15" s="131"/>
      <c r="Z15" s="131"/>
      <c r="AA15" s="131"/>
      <c r="AB15" s="131"/>
      <c r="AC15" s="131"/>
      <c r="AD15" s="131"/>
      <c r="AE15" s="131"/>
      <c r="AF15" s="131"/>
      <c r="AG15" s="131"/>
      <c r="AH15" s="131"/>
      <c r="AI15" s="131"/>
      <c r="AJ15" s="131"/>
      <c r="AK15" s="131"/>
      <c r="AL15" s="131"/>
      <c r="AM15" s="131"/>
      <c r="AN15" s="131"/>
      <c r="AO15" s="131"/>
      <c r="AP15" s="131"/>
      <c r="AQ15" s="131"/>
      <c r="AR15" s="131"/>
      <c r="AS15" s="131"/>
      <c r="AT15" s="131"/>
      <c r="AU15" s="131"/>
      <c r="AV15" s="131"/>
      <c r="AW15" s="131"/>
      <c r="AX15" s="131"/>
      <c r="AY15" s="131"/>
      <c r="AZ15" s="131"/>
      <c r="BA15" s="131"/>
      <c r="BB15" s="131"/>
      <c r="BC15" s="131"/>
      <c r="BD15" s="131"/>
      <c r="BE15" s="131"/>
      <c r="BF15" s="131"/>
      <c r="BG15" s="131"/>
      <c r="BH15" s="131"/>
      <c r="BI15" s="131"/>
      <c r="BJ15" s="131"/>
      <c r="BK15" s="131"/>
      <c r="BL15" s="131"/>
      <c r="BM15" s="131"/>
      <c r="BN15" s="131"/>
      <c r="BO15" s="131"/>
      <c r="BP15" s="131"/>
      <c r="BQ15" s="131"/>
      <c r="BR15" s="131"/>
      <c r="BS15" s="131"/>
      <c r="BT15" s="131"/>
      <c r="BU15" s="131"/>
      <c r="BV15" s="131"/>
      <c r="BW15" s="131"/>
      <c r="BX15" s="131"/>
      <c r="BY15" s="131"/>
      <c r="BZ15" s="131"/>
      <c r="CA15" s="131"/>
      <c r="CB15" s="131"/>
      <c r="CC15" s="131"/>
      <c r="CD15" s="131"/>
      <c r="CE15" s="131"/>
      <c r="CF15" s="131"/>
      <c r="CG15" s="131"/>
      <c r="CH15" s="131"/>
      <c r="CI15" s="131"/>
      <c r="CJ15" s="131"/>
      <c r="CK15" s="131"/>
      <c r="CL15" s="131"/>
      <c r="CM15" s="131"/>
      <c r="CN15" s="131"/>
      <c r="CO15" s="131"/>
      <c r="CP15" s="131"/>
      <c r="CQ15" s="131"/>
      <c r="CR15" s="131"/>
      <c r="CS15" s="131"/>
      <c r="CT15" s="131"/>
    </row>
    <row r="16" spans="1:98" ht="15.75" customHeight="1">
      <c r="A16" s="10" t="s">
        <v>45</v>
      </c>
      <c r="B16" s="9" t="s">
        <v>46</v>
      </c>
      <c r="C16" s="120">
        <v>25</v>
      </c>
      <c r="D16" s="120">
        <v>25</v>
      </c>
      <c r="E16" s="120">
        <v>25</v>
      </c>
      <c r="F16" s="120">
        <v>25</v>
      </c>
      <c r="G16" s="120">
        <v>25</v>
      </c>
      <c r="H16" s="120">
        <v>25</v>
      </c>
      <c r="I16" s="120">
        <v>25</v>
      </c>
      <c r="J16" s="120">
        <v>25</v>
      </c>
      <c r="K16" s="120">
        <v>25</v>
      </c>
      <c r="L16" s="120">
        <v>25</v>
      </c>
      <c r="M16" s="120">
        <v>25</v>
      </c>
      <c r="N16" s="120">
        <v>25</v>
      </c>
      <c r="O16" s="120">
        <v>25</v>
      </c>
      <c r="P16" s="120">
        <v>25</v>
      </c>
      <c r="Q16" s="120">
        <v>25</v>
      </c>
      <c r="R16" s="120">
        <v>25</v>
      </c>
      <c r="S16" s="120">
        <v>25</v>
      </c>
      <c r="T16" s="120">
        <v>25</v>
      </c>
      <c r="U16" s="120">
        <v>25</v>
      </c>
      <c r="V16" s="120">
        <v>25</v>
      </c>
      <c r="W16" s="120">
        <v>25</v>
      </c>
      <c r="X16" s="120">
        <v>25</v>
      </c>
      <c r="Y16" s="120">
        <v>25</v>
      </c>
      <c r="Z16" s="120">
        <v>25</v>
      </c>
      <c r="AA16" s="120">
        <v>25</v>
      </c>
      <c r="AB16" s="120">
        <v>25</v>
      </c>
      <c r="AC16" s="120">
        <v>25</v>
      </c>
      <c r="AD16" s="120">
        <v>25</v>
      </c>
      <c r="AE16" s="120">
        <v>25</v>
      </c>
      <c r="AF16" s="120">
        <v>25</v>
      </c>
      <c r="AG16" s="120">
        <v>25</v>
      </c>
      <c r="AH16" s="120">
        <v>25</v>
      </c>
      <c r="AI16" s="120">
        <v>25</v>
      </c>
      <c r="AJ16" s="120">
        <v>25</v>
      </c>
      <c r="AK16" s="120">
        <v>25</v>
      </c>
      <c r="AL16" s="120">
        <v>25</v>
      </c>
      <c r="AM16" s="120">
        <v>25</v>
      </c>
      <c r="AN16" s="120">
        <v>25</v>
      </c>
      <c r="AO16" s="120">
        <v>25</v>
      </c>
      <c r="AP16" s="120">
        <v>25</v>
      </c>
      <c r="AQ16" s="120">
        <v>25</v>
      </c>
      <c r="AR16" s="120">
        <v>25</v>
      </c>
      <c r="AS16" s="120">
        <v>25</v>
      </c>
      <c r="AT16" s="120">
        <v>25</v>
      </c>
      <c r="AU16" s="120">
        <v>25</v>
      </c>
      <c r="AV16" s="120">
        <v>25</v>
      </c>
      <c r="AW16" s="120">
        <v>25</v>
      </c>
      <c r="AX16" s="120">
        <v>25</v>
      </c>
      <c r="AY16" s="120">
        <v>25</v>
      </c>
      <c r="AZ16" s="120">
        <v>25</v>
      </c>
      <c r="BA16" s="120">
        <v>25</v>
      </c>
      <c r="BB16" s="120">
        <v>25</v>
      </c>
      <c r="BC16" s="120">
        <v>25</v>
      </c>
      <c r="BD16" s="120">
        <v>25</v>
      </c>
      <c r="BE16" s="120">
        <v>25</v>
      </c>
      <c r="BF16" s="120">
        <v>25</v>
      </c>
      <c r="BG16" s="120">
        <v>25</v>
      </c>
      <c r="BH16" s="120">
        <v>25</v>
      </c>
      <c r="BI16" s="120">
        <v>25</v>
      </c>
      <c r="BJ16" s="120">
        <v>25</v>
      </c>
      <c r="BK16" s="120">
        <v>25</v>
      </c>
      <c r="BL16" s="120">
        <v>25</v>
      </c>
      <c r="BM16" s="120">
        <v>25</v>
      </c>
      <c r="BN16" s="120">
        <v>25</v>
      </c>
      <c r="BO16" s="120">
        <v>25</v>
      </c>
      <c r="BP16" s="120">
        <v>25</v>
      </c>
      <c r="BQ16" s="120">
        <v>25</v>
      </c>
      <c r="BR16" s="120">
        <v>25</v>
      </c>
      <c r="BS16" s="120">
        <v>25</v>
      </c>
      <c r="BT16" s="120">
        <v>25</v>
      </c>
      <c r="BU16" s="120">
        <v>25</v>
      </c>
      <c r="BV16" s="120">
        <v>25</v>
      </c>
      <c r="BW16" s="120">
        <v>25</v>
      </c>
      <c r="BX16" s="120">
        <v>25</v>
      </c>
      <c r="BY16" s="120">
        <v>25</v>
      </c>
      <c r="BZ16" s="120">
        <v>25</v>
      </c>
      <c r="CA16" s="120">
        <v>25</v>
      </c>
      <c r="CB16" s="120">
        <v>25</v>
      </c>
      <c r="CC16" s="120">
        <v>25</v>
      </c>
      <c r="CD16" s="120">
        <v>25</v>
      </c>
      <c r="CE16" s="120">
        <v>25</v>
      </c>
      <c r="CF16" s="120">
        <v>25</v>
      </c>
      <c r="CG16" s="120">
        <v>25</v>
      </c>
      <c r="CH16" s="120">
        <v>25</v>
      </c>
      <c r="CI16" s="120">
        <v>25</v>
      </c>
      <c r="CJ16" s="120">
        <v>25</v>
      </c>
      <c r="CK16" s="120">
        <v>25</v>
      </c>
      <c r="CL16" s="120">
        <v>25</v>
      </c>
      <c r="CM16" s="120">
        <v>25</v>
      </c>
      <c r="CN16" s="120">
        <v>25</v>
      </c>
      <c r="CO16" s="120">
        <v>25</v>
      </c>
      <c r="CP16" s="120">
        <v>25</v>
      </c>
      <c r="CQ16" s="120">
        <v>25</v>
      </c>
      <c r="CR16" s="120">
        <v>25</v>
      </c>
      <c r="CS16" s="120">
        <v>25</v>
      </c>
      <c r="CT16" s="120">
        <v>25</v>
      </c>
    </row>
    <row r="17" spans="1:98" ht="15.75" customHeight="1" thickBot="1">
      <c r="A17" s="11" t="s">
        <v>47</v>
      </c>
      <c r="B17" s="12" t="s">
        <v>48</v>
      </c>
      <c r="C17" s="121">
        <v>30</v>
      </c>
      <c r="D17" s="121">
        <v>30</v>
      </c>
      <c r="E17" s="121">
        <v>30</v>
      </c>
      <c r="F17" s="121">
        <v>30</v>
      </c>
      <c r="G17" s="121">
        <v>30</v>
      </c>
      <c r="H17" s="121">
        <v>30</v>
      </c>
      <c r="I17" s="121">
        <v>30</v>
      </c>
      <c r="J17" s="121">
        <v>30</v>
      </c>
      <c r="K17" s="121">
        <v>30</v>
      </c>
      <c r="L17" s="121">
        <v>30</v>
      </c>
      <c r="M17" s="121">
        <v>30</v>
      </c>
      <c r="N17" s="121">
        <v>30</v>
      </c>
      <c r="O17" s="121">
        <v>30</v>
      </c>
      <c r="P17" s="121">
        <v>30</v>
      </c>
      <c r="Q17" s="121">
        <v>30</v>
      </c>
      <c r="R17" s="121">
        <v>30</v>
      </c>
      <c r="S17" s="121">
        <v>30</v>
      </c>
      <c r="T17" s="121">
        <v>30</v>
      </c>
      <c r="U17" s="121">
        <v>30</v>
      </c>
      <c r="V17" s="121">
        <v>30</v>
      </c>
      <c r="W17" s="121">
        <v>30</v>
      </c>
      <c r="X17" s="121">
        <v>30</v>
      </c>
      <c r="Y17" s="121">
        <v>30</v>
      </c>
      <c r="Z17" s="121">
        <v>30</v>
      </c>
      <c r="AA17" s="121">
        <v>30</v>
      </c>
      <c r="AB17" s="121">
        <v>30</v>
      </c>
      <c r="AC17" s="121">
        <v>30</v>
      </c>
      <c r="AD17" s="121">
        <v>30</v>
      </c>
      <c r="AE17" s="121">
        <v>30</v>
      </c>
      <c r="AF17" s="121">
        <v>30</v>
      </c>
      <c r="AG17" s="121">
        <v>30</v>
      </c>
      <c r="AH17" s="121">
        <v>30</v>
      </c>
      <c r="AI17" s="121">
        <v>30</v>
      </c>
      <c r="AJ17" s="121">
        <v>30</v>
      </c>
      <c r="AK17" s="121">
        <v>30</v>
      </c>
      <c r="AL17" s="121">
        <v>30</v>
      </c>
      <c r="AM17" s="121">
        <v>30</v>
      </c>
      <c r="AN17" s="121">
        <v>30</v>
      </c>
      <c r="AO17" s="121">
        <v>30</v>
      </c>
      <c r="AP17" s="121">
        <v>30</v>
      </c>
      <c r="AQ17" s="121">
        <v>30</v>
      </c>
      <c r="AR17" s="121">
        <v>30</v>
      </c>
      <c r="AS17" s="121">
        <v>30</v>
      </c>
      <c r="AT17" s="121">
        <v>30</v>
      </c>
      <c r="AU17" s="121">
        <v>30</v>
      </c>
      <c r="AV17" s="121">
        <v>30</v>
      </c>
      <c r="AW17" s="121">
        <v>30</v>
      </c>
      <c r="AX17" s="121">
        <v>30</v>
      </c>
      <c r="AY17" s="121">
        <v>30</v>
      </c>
      <c r="AZ17" s="121">
        <v>30</v>
      </c>
      <c r="BA17" s="121">
        <v>30</v>
      </c>
      <c r="BB17" s="121">
        <v>30</v>
      </c>
      <c r="BC17" s="121">
        <v>30</v>
      </c>
      <c r="BD17" s="121">
        <v>30</v>
      </c>
      <c r="BE17" s="121">
        <v>30</v>
      </c>
      <c r="BF17" s="121">
        <v>30</v>
      </c>
      <c r="BG17" s="121">
        <v>30</v>
      </c>
      <c r="BH17" s="121">
        <v>30</v>
      </c>
      <c r="BI17" s="121">
        <v>30</v>
      </c>
      <c r="BJ17" s="121">
        <v>30</v>
      </c>
      <c r="BK17" s="121">
        <v>30</v>
      </c>
      <c r="BL17" s="121">
        <v>30</v>
      </c>
      <c r="BM17" s="121">
        <v>30</v>
      </c>
      <c r="BN17" s="121">
        <v>30</v>
      </c>
      <c r="BO17" s="121">
        <v>30</v>
      </c>
      <c r="BP17" s="121">
        <v>30</v>
      </c>
      <c r="BQ17" s="121">
        <v>30</v>
      </c>
      <c r="BR17" s="121">
        <v>30</v>
      </c>
      <c r="BS17" s="121">
        <v>30</v>
      </c>
      <c r="BT17" s="121">
        <v>30</v>
      </c>
      <c r="BU17" s="121">
        <v>30</v>
      </c>
      <c r="BV17" s="121">
        <v>30</v>
      </c>
      <c r="BW17" s="121">
        <v>30</v>
      </c>
      <c r="BX17" s="121">
        <v>30</v>
      </c>
      <c r="BY17" s="121">
        <v>30</v>
      </c>
      <c r="BZ17" s="121">
        <v>30</v>
      </c>
      <c r="CA17" s="121">
        <v>30</v>
      </c>
      <c r="CB17" s="121">
        <v>30</v>
      </c>
      <c r="CC17" s="121">
        <v>30</v>
      </c>
      <c r="CD17" s="121">
        <v>30</v>
      </c>
      <c r="CE17" s="121">
        <v>30</v>
      </c>
      <c r="CF17" s="121">
        <v>30</v>
      </c>
      <c r="CG17" s="121">
        <v>30</v>
      </c>
      <c r="CH17" s="121">
        <v>30</v>
      </c>
      <c r="CI17" s="121">
        <v>30</v>
      </c>
      <c r="CJ17" s="121">
        <v>30</v>
      </c>
      <c r="CK17" s="121">
        <v>30</v>
      </c>
      <c r="CL17" s="121">
        <v>30</v>
      </c>
      <c r="CM17" s="121">
        <v>30</v>
      </c>
      <c r="CN17" s="121">
        <v>30</v>
      </c>
      <c r="CO17" s="121">
        <v>30</v>
      </c>
      <c r="CP17" s="121">
        <v>30</v>
      </c>
      <c r="CQ17" s="121">
        <v>30</v>
      </c>
      <c r="CR17" s="121">
        <v>30</v>
      </c>
      <c r="CS17" s="121">
        <v>30</v>
      </c>
      <c r="CT17" s="121">
        <v>30</v>
      </c>
    </row>
    <row r="18" spans="1:98" ht="15.75" customHeight="1">
      <c r="A18" s="3"/>
      <c r="B18" s="79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</row>
    <row r="19" spans="1:98" ht="15.75" customHeight="1" thickBot="1">
      <c r="A19" s="13" t="s">
        <v>49</v>
      </c>
      <c r="B19" s="79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</row>
    <row r="20" spans="1:98" ht="15.75" customHeight="1" thickBot="1">
      <c r="A20" s="14" t="s">
        <v>50</v>
      </c>
      <c r="B20" s="15" t="s">
        <v>51</v>
      </c>
      <c r="C20" s="16">
        <v>0</v>
      </c>
      <c r="D20" s="16">
        <v>0</v>
      </c>
      <c r="E20" s="16">
        <v>0</v>
      </c>
      <c r="F20" s="16">
        <v>0</v>
      </c>
      <c r="G20" s="16">
        <v>0</v>
      </c>
      <c r="H20" s="16">
        <v>0</v>
      </c>
      <c r="I20" s="16">
        <v>0</v>
      </c>
      <c r="J20" s="16">
        <v>0</v>
      </c>
      <c r="K20" s="16">
        <v>0</v>
      </c>
      <c r="L20" s="16">
        <v>0</v>
      </c>
      <c r="M20" s="16">
        <v>0</v>
      </c>
      <c r="N20" s="16">
        <v>0</v>
      </c>
      <c r="O20" s="16">
        <v>0</v>
      </c>
      <c r="P20" s="16">
        <v>0</v>
      </c>
      <c r="Q20" s="16">
        <v>0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0</v>
      </c>
      <c r="AC20" s="16">
        <v>0</v>
      </c>
      <c r="AD20" s="16">
        <v>0</v>
      </c>
      <c r="AE20" s="16">
        <v>0</v>
      </c>
      <c r="AF20" s="16">
        <v>0</v>
      </c>
      <c r="AG20" s="16">
        <v>0</v>
      </c>
      <c r="AH20" s="16">
        <v>0</v>
      </c>
      <c r="AI20" s="16">
        <v>0</v>
      </c>
      <c r="AJ20" s="16">
        <v>0</v>
      </c>
      <c r="AK20" s="16">
        <v>0</v>
      </c>
      <c r="AL20" s="16">
        <v>0</v>
      </c>
      <c r="AM20" s="16">
        <v>0</v>
      </c>
      <c r="AN20" s="16">
        <v>0</v>
      </c>
      <c r="AO20" s="16">
        <v>0</v>
      </c>
      <c r="AP20" s="16">
        <v>0</v>
      </c>
      <c r="AQ20" s="16">
        <v>0</v>
      </c>
      <c r="AR20" s="16">
        <v>0</v>
      </c>
      <c r="AS20" s="16">
        <v>0</v>
      </c>
      <c r="AT20" s="16">
        <v>0</v>
      </c>
      <c r="AU20" s="16">
        <v>0</v>
      </c>
      <c r="AV20" s="16">
        <v>0</v>
      </c>
      <c r="AW20" s="16">
        <v>0</v>
      </c>
      <c r="AX20" s="16">
        <v>0</v>
      </c>
      <c r="AY20" s="16">
        <v>0</v>
      </c>
      <c r="AZ20" s="16">
        <v>0</v>
      </c>
      <c r="BA20" s="16">
        <v>0</v>
      </c>
      <c r="BB20" s="16">
        <v>0</v>
      </c>
      <c r="BC20" s="16">
        <v>0</v>
      </c>
      <c r="BD20" s="16">
        <v>0</v>
      </c>
      <c r="BE20" s="16">
        <v>0</v>
      </c>
      <c r="BF20" s="16">
        <v>0</v>
      </c>
      <c r="BG20" s="16">
        <v>0</v>
      </c>
      <c r="BH20" s="16">
        <v>0</v>
      </c>
      <c r="BI20" s="16">
        <v>0</v>
      </c>
      <c r="BJ20" s="16">
        <v>0</v>
      </c>
      <c r="BK20" s="16">
        <v>0</v>
      </c>
      <c r="BL20" s="16">
        <v>0</v>
      </c>
      <c r="BM20" s="16">
        <v>0</v>
      </c>
      <c r="BN20" s="16">
        <v>0</v>
      </c>
      <c r="BO20" s="16">
        <v>0</v>
      </c>
      <c r="BP20" s="16">
        <v>0</v>
      </c>
      <c r="BQ20" s="16">
        <v>0</v>
      </c>
      <c r="BR20" s="16">
        <v>0</v>
      </c>
      <c r="BS20" s="16">
        <v>0</v>
      </c>
      <c r="BT20" s="16">
        <v>0</v>
      </c>
      <c r="BU20" s="16">
        <v>0</v>
      </c>
      <c r="BV20" s="16">
        <v>0</v>
      </c>
      <c r="BW20" s="16">
        <v>0</v>
      </c>
      <c r="BX20" s="16">
        <v>0</v>
      </c>
      <c r="BY20" s="16">
        <v>0</v>
      </c>
      <c r="BZ20" s="16">
        <v>0</v>
      </c>
      <c r="CA20" s="16">
        <v>0</v>
      </c>
      <c r="CB20" s="16">
        <v>0</v>
      </c>
      <c r="CC20" s="16">
        <v>0</v>
      </c>
      <c r="CD20" s="16">
        <v>0</v>
      </c>
      <c r="CE20" s="16">
        <v>0</v>
      </c>
      <c r="CF20" s="16">
        <v>0</v>
      </c>
      <c r="CG20" s="16">
        <v>0</v>
      </c>
      <c r="CH20" s="16">
        <v>0</v>
      </c>
      <c r="CI20" s="16">
        <v>0</v>
      </c>
      <c r="CJ20" s="16">
        <v>0</v>
      </c>
      <c r="CK20" s="16">
        <v>0</v>
      </c>
      <c r="CL20" s="16">
        <v>0</v>
      </c>
      <c r="CM20" s="16">
        <v>0</v>
      </c>
      <c r="CN20" s="16">
        <v>0</v>
      </c>
      <c r="CO20" s="16">
        <v>0</v>
      </c>
      <c r="CP20" s="16">
        <v>0</v>
      </c>
      <c r="CQ20" s="16">
        <v>0</v>
      </c>
      <c r="CR20" s="16">
        <v>0</v>
      </c>
      <c r="CS20" s="16">
        <v>0</v>
      </c>
      <c r="CT20" s="16">
        <v>0</v>
      </c>
    </row>
    <row r="21" spans="1:98" ht="15.75" customHeight="1" thickBot="1">
      <c r="A21" s="17" t="s">
        <v>52</v>
      </c>
      <c r="B21" s="18" t="s">
        <v>53</v>
      </c>
      <c r="C21" s="17" t="e">
        <f t="shared" ref="C21:D21" si="0">C71/C67</f>
        <v>#DIV/0!</v>
      </c>
      <c r="D21" s="17" t="e">
        <f t="shared" ref="D21:E21" si="1">D71/D67</f>
        <v>#DIV/0!</v>
      </c>
      <c r="E21" s="17" t="e">
        <f t="shared" si="1"/>
        <v>#DIV/0!</v>
      </c>
      <c r="F21" s="17" t="e">
        <f t="shared" ref="F21:K21" si="2">F71/F67</f>
        <v>#DIV/0!</v>
      </c>
      <c r="G21" s="17" t="e">
        <f t="shared" si="2"/>
        <v>#DIV/0!</v>
      </c>
      <c r="H21" s="17" t="e">
        <f t="shared" si="2"/>
        <v>#DIV/0!</v>
      </c>
      <c r="I21" s="17" t="e">
        <f t="shared" si="2"/>
        <v>#DIV/0!</v>
      </c>
      <c r="J21" s="17" t="e">
        <f t="shared" si="2"/>
        <v>#DIV/0!</v>
      </c>
      <c r="K21" s="17" t="e">
        <f t="shared" si="2"/>
        <v>#DIV/0!</v>
      </c>
      <c r="L21" s="17" t="e">
        <f t="shared" ref="L21:AC21" si="3">L71/L67</f>
        <v>#DIV/0!</v>
      </c>
      <c r="M21" s="17" t="e">
        <f t="shared" si="3"/>
        <v>#DIV/0!</v>
      </c>
      <c r="N21" s="17" t="e">
        <f t="shared" si="3"/>
        <v>#DIV/0!</v>
      </c>
      <c r="O21" s="17" t="e">
        <f t="shared" si="3"/>
        <v>#DIV/0!</v>
      </c>
      <c r="P21" s="17" t="e">
        <f t="shared" si="3"/>
        <v>#DIV/0!</v>
      </c>
      <c r="Q21" s="17" t="e">
        <f t="shared" si="3"/>
        <v>#DIV/0!</v>
      </c>
      <c r="R21" s="17" t="e">
        <f t="shared" si="3"/>
        <v>#DIV/0!</v>
      </c>
      <c r="S21" s="17" t="e">
        <f t="shared" si="3"/>
        <v>#DIV/0!</v>
      </c>
      <c r="T21" s="17" t="e">
        <f t="shared" si="3"/>
        <v>#DIV/0!</v>
      </c>
      <c r="U21" s="17" t="e">
        <f t="shared" si="3"/>
        <v>#DIV/0!</v>
      </c>
      <c r="V21" s="17" t="e">
        <f t="shared" si="3"/>
        <v>#DIV/0!</v>
      </c>
      <c r="W21" s="17" t="e">
        <f t="shared" si="3"/>
        <v>#DIV/0!</v>
      </c>
      <c r="X21" s="17" t="e">
        <f t="shared" si="3"/>
        <v>#DIV/0!</v>
      </c>
      <c r="Y21" s="17" t="e">
        <f t="shared" si="3"/>
        <v>#DIV/0!</v>
      </c>
      <c r="Z21" s="17" t="e">
        <f t="shared" si="3"/>
        <v>#DIV/0!</v>
      </c>
      <c r="AA21" s="17" t="e">
        <f t="shared" si="3"/>
        <v>#DIV/0!</v>
      </c>
      <c r="AB21" s="17" t="e">
        <f t="shared" si="3"/>
        <v>#DIV/0!</v>
      </c>
      <c r="AC21" s="17" t="e">
        <f t="shared" si="3"/>
        <v>#DIV/0!</v>
      </c>
      <c r="AD21" s="17" t="e">
        <f t="shared" ref="AD21:CN21" si="4">AD71/AD67</f>
        <v>#DIV/0!</v>
      </c>
      <c r="AE21" s="17" t="e">
        <f t="shared" si="4"/>
        <v>#DIV/0!</v>
      </c>
      <c r="AF21" s="17" t="e">
        <f t="shared" si="4"/>
        <v>#DIV/0!</v>
      </c>
      <c r="AG21" s="17" t="e">
        <f t="shared" si="4"/>
        <v>#DIV/0!</v>
      </c>
      <c r="AH21" s="17" t="e">
        <f t="shared" si="4"/>
        <v>#DIV/0!</v>
      </c>
      <c r="AI21" s="17" t="e">
        <f t="shared" si="4"/>
        <v>#DIV/0!</v>
      </c>
      <c r="AJ21" s="17" t="e">
        <f t="shared" si="4"/>
        <v>#DIV/0!</v>
      </c>
      <c r="AK21" s="17" t="e">
        <f t="shared" si="4"/>
        <v>#DIV/0!</v>
      </c>
      <c r="AL21" s="17" t="e">
        <f t="shared" si="4"/>
        <v>#DIV/0!</v>
      </c>
      <c r="AM21" s="17" t="e">
        <f t="shared" si="4"/>
        <v>#DIV/0!</v>
      </c>
      <c r="AN21" s="17" t="e">
        <f t="shared" si="4"/>
        <v>#DIV/0!</v>
      </c>
      <c r="AO21" s="17" t="e">
        <f t="shared" si="4"/>
        <v>#DIV/0!</v>
      </c>
      <c r="AP21" s="17" t="e">
        <f t="shared" si="4"/>
        <v>#DIV/0!</v>
      </c>
      <c r="AQ21" s="17" t="e">
        <f t="shared" si="4"/>
        <v>#DIV/0!</v>
      </c>
      <c r="AR21" s="17" t="e">
        <f t="shared" si="4"/>
        <v>#DIV/0!</v>
      </c>
      <c r="AS21" s="17" t="e">
        <f t="shared" si="4"/>
        <v>#DIV/0!</v>
      </c>
      <c r="AT21" s="17" t="e">
        <f t="shared" si="4"/>
        <v>#DIV/0!</v>
      </c>
      <c r="AU21" s="17" t="e">
        <f t="shared" si="4"/>
        <v>#DIV/0!</v>
      </c>
      <c r="AV21" s="17" t="e">
        <f t="shared" si="4"/>
        <v>#DIV/0!</v>
      </c>
      <c r="AW21" s="17" t="e">
        <f t="shared" si="4"/>
        <v>#DIV/0!</v>
      </c>
      <c r="AX21" s="17" t="e">
        <f t="shared" si="4"/>
        <v>#DIV/0!</v>
      </c>
      <c r="AY21" s="17" t="e">
        <f t="shared" si="4"/>
        <v>#DIV/0!</v>
      </c>
      <c r="AZ21" s="17" t="e">
        <f t="shared" si="4"/>
        <v>#DIV/0!</v>
      </c>
      <c r="BA21" s="17" t="e">
        <f t="shared" si="4"/>
        <v>#DIV/0!</v>
      </c>
      <c r="BB21" s="17" t="e">
        <f t="shared" si="4"/>
        <v>#DIV/0!</v>
      </c>
      <c r="BC21" s="17" t="e">
        <f t="shared" si="4"/>
        <v>#DIV/0!</v>
      </c>
      <c r="BD21" s="17" t="e">
        <f t="shared" si="4"/>
        <v>#DIV/0!</v>
      </c>
      <c r="BE21" s="17" t="e">
        <f t="shared" si="4"/>
        <v>#DIV/0!</v>
      </c>
      <c r="BF21" s="17" t="e">
        <f t="shared" si="4"/>
        <v>#DIV/0!</v>
      </c>
      <c r="BG21" s="17" t="e">
        <f t="shared" si="4"/>
        <v>#DIV/0!</v>
      </c>
      <c r="BH21" s="17" t="e">
        <f t="shared" si="4"/>
        <v>#DIV/0!</v>
      </c>
      <c r="BI21" s="17" t="e">
        <f t="shared" si="4"/>
        <v>#DIV/0!</v>
      </c>
      <c r="BJ21" s="17" t="e">
        <f t="shared" si="4"/>
        <v>#DIV/0!</v>
      </c>
      <c r="BK21" s="17" t="e">
        <f t="shared" si="4"/>
        <v>#DIV/0!</v>
      </c>
      <c r="BL21" s="17" t="e">
        <f t="shared" si="4"/>
        <v>#DIV/0!</v>
      </c>
      <c r="BM21" s="17" t="e">
        <f t="shared" si="4"/>
        <v>#DIV/0!</v>
      </c>
      <c r="BN21" s="17" t="e">
        <f t="shared" si="4"/>
        <v>#DIV/0!</v>
      </c>
      <c r="BO21" s="17" t="e">
        <f t="shared" si="4"/>
        <v>#DIV/0!</v>
      </c>
      <c r="BP21" s="17" t="e">
        <f t="shared" si="4"/>
        <v>#DIV/0!</v>
      </c>
      <c r="BQ21" s="17" t="e">
        <f t="shared" si="4"/>
        <v>#DIV/0!</v>
      </c>
      <c r="BR21" s="17" t="e">
        <f t="shared" si="4"/>
        <v>#DIV/0!</v>
      </c>
      <c r="BS21" s="17" t="e">
        <f t="shared" si="4"/>
        <v>#DIV/0!</v>
      </c>
      <c r="BT21" s="17" t="e">
        <f t="shared" si="4"/>
        <v>#DIV/0!</v>
      </c>
      <c r="BU21" s="17" t="e">
        <f t="shared" si="4"/>
        <v>#DIV/0!</v>
      </c>
      <c r="BV21" s="17" t="e">
        <f t="shared" si="4"/>
        <v>#DIV/0!</v>
      </c>
      <c r="BW21" s="17" t="e">
        <f t="shared" si="4"/>
        <v>#DIV/0!</v>
      </c>
      <c r="BX21" s="17" t="e">
        <f t="shared" si="4"/>
        <v>#DIV/0!</v>
      </c>
      <c r="BY21" s="17" t="e">
        <f t="shared" si="4"/>
        <v>#DIV/0!</v>
      </c>
      <c r="BZ21" s="17" t="e">
        <f t="shared" si="4"/>
        <v>#DIV/0!</v>
      </c>
      <c r="CA21" s="17" t="e">
        <f t="shared" si="4"/>
        <v>#DIV/0!</v>
      </c>
      <c r="CB21" s="17" t="e">
        <f t="shared" si="4"/>
        <v>#DIV/0!</v>
      </c>
      <c r="CC21" s="17" t="e">
        <f t="shared" si="4"/>
        <v>#DIV/0!</v>
      </c>
      <c r="CD21" s="17" t="e">
        <f t="shared" si="4"/>
        <v>#DIV/0!</v>
      </c>
      <c r="CE21" s="17" t="e">
        <f t="shared" si="4"/>
        <v>#DIV/0!</v>
      </c>
      <c r="CF21" s="17" t="e">
        <f t="shared" si="4"/>
        <v>#DIV/0!</v>
      </c>
      <c r="CG21" s="17" t="e">
        <f t="shared" si="4"/>
        <v>#DIV/0!</v>
      </c>
      <c r="CH21" s="17" t="e">
        <f t="shared" si="4"/>
        <v>#DIV/0!</v>
      </c>
      <c r="CI21" s="17" t="e">
        <f t="shared" si="4"/>
        <v>#DIV/0!</v>
      </c>
      <c r="CJ21" s="17" t="e">
        <f t="shared" si="4"/>
        <v>#DIV/0!</v>
      </c>
      <c r="CK21" s="17" t="e">
        <f t="shared" si="4"/>
        <v>#DIV/0!</v>
      </c>
      <c r="CL21" s="17" t="e">
        <f t="shared" si="4"/>
        <v>#DIV/0!</v>
      </c>
      <c r="CM21" s="17" t="e">
        <f t="shared" si="4"/>
        <v>#DIV/0!</v>
      </c>
      <c r="CN21" s="17" t="e">
        <f t="shared" si="4"/>
        <v>#DIV/0!</v>
      </c>
      <c r="CO21" s="17" t="e">
        <f t="shared" ref="CO21:CT21" si="5">CO71/CO67</f>
        <v>#DIV/0!</v>
      </c>
      <c r="CP21" s="17" t="e">
        <f t="shared" si="5"/>
        <v>#DIV/0!</v>
      </c>
      <c r="CQ21" s="17" t="e">
        <f t="shared" si="5"/>
        <v>#DIV/0!</v>
      </c>
      <c r="CR21" s="17" t="e">
        <f t="shared" si="5"/>
        <v>#DIV/0!</v>
      </c>
      <c r="CS21" s="17" t="e">
        <f t="shared" si="5"/>
        <v>#DIV/0!</v>
      </c>
      <c r="CT21" s="17" t="e">
        <f t="shared" si="5"/>
        <v>#DIV/0!</v>
      </c>
    </row>
    <row r="22" spans="1:98" ht="15.75" customHeight="1" thickBot="1">
      <c r="A22" s="17" t="s">
        <v>54</v>
      </c>
      <c r="B22" s="18" t="s">
        <v>55</v>
      </c>
      <c r="C22" s="17">
        <v>150000</v>
      </c>
      <c r="D22" s="17">
        <v>150000</v>
      </c>
      <c r="E22" s="17">
        <v>150000</v>
      </c>
      <c r="F22" s="17">
        <v>150000</v>
      </c>
      <c r="G22" s="17">
        <v>150000</v>
      </c>
      <c r="H22" s="17">
        <v>150000</v>
      </c>
      <c r="I22" s="17">
        <v>150000</v>
      </c>
      <c r="J22" s="17">
        <v>150000</v>
      </c>
      <c r="K22" s="17">
        <v>150000</v>
      </c>
      <c r="L22" s="17">
        <v>150000</v>
      </c>
      <c r="M22" s="17">
        <v>150000</v>
      </c>
      <c r="N22" s="17">
        <v>150000</v>
      </c>
      <c r="O22" s="17">
        <v>150000</v>
      </c>
      <c r="P22" s="17">
        <v>150000</v>
      </c>
      <c r="Q22" s="17">
        <v>150000</v>
      </c>
      <c r="R22" s="17">
        <v>150000</v>
      </c>
      <c r="S22" s="17">
        <v>150000</v>
      </c>
      <c r="T22" s="17">
        <v>150000</v>
      </c>
      <c r="U22" s="17">
        <v>150000</v>
      </c>
      <c r="V22" s="17">
        <v>150000</v>
      </c>
      <c r="W22" s="17">
        <v>150000</v>
      </c>
      <c r="X22" s="17">
        <v>150000</v>
      </c>
      <c r="Y22" s="17">
        <v>150000</v>
      </c>
      <c r="Z22" s="17">
        <v>150000</v>
      </c>
      <c r="AA22" s="17">
        <v>150000</v>
      </c>
      <c r="AB22" s="17">
        <v>150000</v>
      </c>
      <c r="AC22" s="17">
        <v>150000</v>
      </c>
      <c r="AD22" s="17">
        <v>150000</v>
      </c>
      <c r="AE22" s="17">
        <v>150000</v>
      </c>
      <c r="AF22" s="17">
        <v>150000</v>
      </c>
      <c r="AG22" s="17">
        <v>150000</v>
      </c>
      <c r="AH22" s="17">
        <v>150000</v>
      </c>
      <c r="AI22" s="17">
        <v>150000</v>
      </c>
      <c r="AJ22" s="17">
        <v>150000</v>
      </c>
      <c r="AK22" s="17">
        <v>150000</v>
      </c>
      <c r="AL22" s="17">
        <v>150000</v>
      </c>
      <c r="AM22" s="17">
        <v>150000</v>
      </c>
      <c r="AN22" s="17">
        <v>150000</v>
      </c>
      <c r="AO22" s="17">
        <v>150000</v>
      </c>
      <c r="AP22" s="17">
        <v>150000</v>
      </c>
      <c r="AQ22" s="17">
        <v>150000</v>
      </c>
      <c r="AR22" s="17">
        <v>150000</v>
      </c>
      <c r="AS22" s="17">
        <v>150000</v>
      </c>
      <c r="AT22" s="17">
        <v>150000</v>
      </c>
      <c r="AU22" s="17">
        <v>150000</v>
      </c>
      <c r="AV22" s="17">
        <v>150000</v>
      </c>
      <c r="AW22" s="17">
        <v>150000</v>
      </c>
      <c r="AX22" s="17">
        <v>150000</v>
      </c>
      <c r="AY22" s="17">
        <v>150000</v>
      </c>
      <c r="AZ22" s="17">
        <v>150000</v>
      </c>
      <c r="BA22" s="17">
        <v>150000</v>
      </c>
      <c r="BB22" s="17">
        <v>150000</v>
      </c>
      <c r="BC22" s="17">
        <v>150000</v>
      </c>
      <c r="BD22" s="17">
        <v>150000</v>
      </c>
      <c r="BE22" s="17">
        <v>150000</v>
      </c>
      <c r="BF22" s="17">
        <v>150000</v>
      </c>
      <c r="BG22" s="17">
        <v>150000</v>
      </c>
      <c r="BH22" s="17">
        <v>150000</v>
      </c>
      <c r="BI22" s="17">
        <v>150000</v>
      </c>
      <c r="BJ22" s="17">
        <v>150000</v>
      </c>
      <c r="BK22" s="17">
        <v>150000</v>
      </c>
      <c r="BL22" s="17">
        <v>150000</v>
      </c>
      <c r="BM22" s="17">
        <v>150000</v>
      </c>
      <c r="BN22" s="17">
        <v>150000</v>
      </c>
      <c r="BO22" s="17">
        <v>150000</v>
      </c>
      <c r="BP22" s="17">
        <v>150000</v>
      </c>
      <c r="BQ22" s="17">
        <v>150000</v>
      </c>
      <c r="BR22" s="17">
        <v>150000</v>
      </c>
      <c r="BS22" s="17">
        <v>150000</v>
      </c>
      <c r="BT22" s="17">
        <v>150000</v>
      </c>
      <c r="BU22" s="17">
        <v>150000</v>
      </c>
      <c r="BV22" s="17">
        <v>150000</v>
      </c>
      <c r="BW22" s="17">
        <v>150000</v>
      </c>
      <c r="BX22" s="17">
        <v>150000</v>
      </c>
      <c r="BY22" s="17">
        <v>150000</v>
      </c>
      <c r="BZ22" s="17">
        <v>150000</v>
      </c>
      <c r="CA22" s="17">
        <v>150000</v>
      </c>
      <c r="CB22" s="17">
        <v>150000</v>
      </c>
      <c r="CC22" s="17">
        <v>150000</v>
      </c>
      <c r="CD22" s="17">
        <v>150000</v>
      </c>
      <c r="CE22" s="17">
        <v>150000</v>
      </c>
      <c r="CF22" s="17">
        <v>150000</v>
      </c>
      <c r="CG22" s="17">
        <v>150000</v>
      </c>
      <c r="CH22" s="17">
        <v>150000</v>
      </c>
      <c r="CI22" s="17">
        <v>150000</v>
      </c>
      <c r="CJ22" s="17">
        <v>150000</v>
      </c>
      <c r="CK22" s="17">
        <v>150000</v>
      </c>
      <c r="CL22" s="17">
        <v>150000</v>
      </c>
      <c r="CM22" s="17">
        <v>150000</v>
      </c>
      <c r="CN22" s="17">
        <v>150000</v>
      </c>
      <c r="CO22" s="17">
        <v>150000</v>
      </c>
      <c r="CP22" s="17">
        <v>150000</v>
      </c>
      <c r="CQ22" s="17">
        <v>150000</v>
      </c>
      <c r="CR22" s="17">
        <v>150000</v>
      </c>
      <c r="CS22" s="17">
        <v>150000</v>
      </c>
      <c r="CT22" s="17">
        <v>150000</v>
      </c>
    </row>
    <row r="23" spans="1:98" ht="15.75" customHeight="1">
      <c r="A23" s="19" t="s">
        <v>56</v>
      </c>
      <c r="B23" s="20" t="s">
        <v>57</v>
      </c>
      <c r="C23" s="19">
        <v>1</v>
      </c>
      <c r="D23" s="19">
        <v>1</v>
      </c>
      <c r="E23" s="19">
        <v>1</v>
      </c>
      <c r="F23" s="19">
        <v>1</v>
      </c>
      <c r="G23" s="19">
        <v>1</v>
      </c>
      <c r="H23" s="19">
        <v>1</v>
      </c>
      <c r="I23" s="19">
        <v>1</v>
      </c>
      <c r="J23" s="19">
        <v>1</v>
      </c>
      <c r="K23" s="19">
        <v>1</v>
      </c>
      <c r="L23" s="19">
        <v>1</v>
      </c>
      <c r="M23" s="19">
        <v>1</v>
      </c>
      <c r="N23" s="19">
        <v>1</v>
      </c>
      <c r="O23" s="19">
        <v>1</v>
      </c>
      <c r="P23" s="19">
        <v>1</v>
      </c>
      <c r="Q23" s="19">
        <v>1</v>
      </c>
      <c r="R23" s="19">
        <v>1</v>
      </c>
      <c r="S23" s="19">
        <v>1</v>
      </c>
      <c r="T23" s="19">
        <v>1</v>
      </c>
      <c r="U23" s="19">
        <v>1</v>
      </c>
      <c r="V23" s="19">
        <v>1</v>
      </c>
      <c r="W23" s="19">
        <v>1</v>
      </c>
      <c r="X23" s="19">
        <v>1</v>
      </c>
      <c r="Y23" s="19">
        <v>1</v>
      </c>
      <c r="Z23" s="19">
        <v>1</v>
      </c>
      <c r="AA23" s="19">
        <v>1</v>
      </c>
      <c r="AB23" s="19">
        <v>1</v>
      </c>
      <c r="AC23" s="19">
        <v>1</v>
      </c>
      <c r="AD23" s="19">
        <v>1</v>
      </c>
      <c r="AE23" s="19">
        <v>1</v>
      </c>
      <c r="AF23" s="19">
        <v>1</v>
      </c>
      <c r="AG23" s="19">
        <v>1</v>
      </c>
      <c r="AH23" s="19">
        <v>1</v>
      </c>
      <c r="AI23" s="19">
        <v>1</v>
      </c>
      <c r="AJ23" s="19">
        <v>1</v>
      </c>
      <c r="AK23" s="19">
        <v>1</v>
      </c>
      <c r="AL23" s="19">
        <v>1</v>
      </c>
      <c r="AM23" s="19">
        <v>1</v>
      </c>
      <c r="AN23" s="19">
        <v>1</v>
      </c>
      <c r="AO23" s="19">
        <v>1</v>
      </c>
      <c r="AP23" s="19">
        <v>1</v>
      </c>
      <c r="AQ23" s="19">
        <v>1</v>
      </c>
      <c r="AR23" s="19">
        <v>1</v>
      </c>
      <c r="AS23" s="19">
        <v>1</v>
      </c>
      <c r="AT23" s="19">
        <v>1</v>
      </c>
      <c r="AU23" s="19">
        <v>1</v>
      </c>
      <c r="AV23" s="19">
        <v>1</v>
      </c>
      <c r="AW23" s="19">
        <v>1</v>
      </c>
      <c r="AX23" s="19">
        <v>1</v>
      </c>
      <c r="AY23" s="19">
        <v>1</v>
      </c>
      <c r="AZ23" s="19">
        <v>1</v>
      </c>
      <c r="BA23" s="19">
        <v>1</v>
      </c>
      <c r="BB23" s="19">
        <v>1</v>
      </c>
      <c r="BC23" s="19">
        <v>1</v>
      </c>
      <c r="BD23" s="19">
        <v>1</v>
      </c>
      <c r="BE23" s="19">
        <v>1</v>
      </c>
      <c r="BF23" s="19">
        <v>1</v>
      </c>
      <c r="BG23" s="19">
        <v>1</v>
      </c>
      <c r="BH23" s="19">
        <v>1</v>
      </c>
      <c r="BI23" s="19">
        <v>1</v>
      </c>
      <c r="BJ23" s="19">
        <v>1</v>
      </c>
      <c r="BK23" s="19">
        <v>1</v>
      </c>
      <c r="BL23" s="19">
        <v>1</v>
      </c>
      <c r="BM23" s="19">
        <v>1</v>
      </c>
      <c r="BN23" s="19">
        <v>1</v>
      </c>
      <c r="BO23" s="19">
        <v>1</v>
      </c>
      <c r="BP23" s="19">
        <v>1</v>
      </c>
      <c r="BQ23" s="19">
        <v>1</v>
      </c>
      <c r="BR23" s="19">
        <v>1</v>
      </c>
      <c r="BS23" s="19">
        <v>1</v>
      </c>
      <c r="BT23" s="19">
        <v>1</v>
      </c>
      <c r="BU23" s="19">
        <v>1</v>
      </c>
      <c r="BV23" s="19">
        <v>1</v>
      </c>
      <c r="BW23" s="19">
        <v>1</v>
      </c>
      <c r="BX23" s="19">
        <v>1</v>
      </c>
      <c r="BY23" s="19">
        <v>1</v>
      </c>
      <c r="BZ23" s="19">
        <v>1</v>
      </c>
      <c r="CA23" s="19">
        <v>1</v>
      </c>
      <c r="CB23" s="19">
        <v>1</v>
      </c>
      <c r="CC23" s="19">
        <v>1</v>
      </c>
      <c r="CD23" s="19">
        <v>1</v>
      </c>
      <c r="CE23" s="19">
        <v>1</v>
      </c>
      <c r="CF23" s="19">
        <v>1</v>
      </c>
      <c r="CG23" s="19">
        <v>1</v>
      </c>
      <c r="CH23" s="19">
        <v>1</v>
      </c>
      <c r="CI23" s="19">
        <v>1</v>
      </c>
      <c r="CJ23" s="19">
        <v>1</v>
      </c>
      <c r="CK23" s="19">
        <v>1</v>
      </c>
      <c r="CL23" s="19">
        <v>1</v>
      </c>
      <c r="CM23" s="19">
        <v>1</v>
      </c>
      <c r="CN23" s="19">
        <v>1</v>
      </c>
      <c r="CO23" s="19">
        <v>1</v>
      </c>
      <c r="CP23" s="19">
        <v>1</v>
      </c>
      <c r="CQ23" s="19">
        <v>1</v>
      </c>
      <c r="CR23" s="19">
        <v>1</v>
      </c>
      <c r="CS23" s="19">
        <v>1</v>
      </c>
      <c r="CT23" s="19">
        <v>1</v>
      </c>
    </row>
    <row r="24" spans="1:98" ht="15.75" customHeight="1">
      <c r="A24" s="21" t="s">
        <v>58</v>
      </c>
      <c r="B24" s="22" t="s">
        <v>53</v>
      </c>
      <c r="C24" s="21">
        <v>30</v>
      </c>
      <c r="D24" s="21">
        <v>30</v>
      </c>
      <c r="E24" s="21">
        <v>30</v>
      </c>
      <c r="F24" s="21">
        <v>30</v>
      </c>
      <c r="G24" s="21">
        <v>30</v>
      </c>
      <c r="H24" s="21">
        <v>30</v>
      </c>
      <c r="I24" s="21">
        <v>30</v>
      </c>
      <c r="J24" s="21">
        <v>30</v>
      </c>
      <c r="K24" s="21">
        <v>30</v>
      </c>
      <c r="L24" s="21">
        <v>30</v>
      </c>
      <c r="M24" s="21">
        <v>30</v>
      </c>
      <c r="N24" s="21">
        <v>30</v>
      </c>
      <c r="O24" s="21">
        <v>30</v>
      </c>
      <c r="P24" s="21">
        <v>30</v>
      </c>
      <c r="Q24" s="21">
        <v>30</v>
      </c>
      <c r="R24" s="21">
        <v>30</v>
      </c>
      <c r="S24" s="21">
        <v>30</v>
      </c>
      <c r="T24" s="21">
        <v>30</v>
      </c>
      <c r="U24" s="21">
        <v>30</v>
      </c>
      <c r="V24" s="21">
        <v>30</v>
      </c>
      <c r="W24" s="21">
        <v>30</v>
      </c>
      <c r="X24" s="21">
        <v>30</v>
      </c>
      <c r="Y24" s="21">
        <v>30</v>
      </c>
      <c r="Z24" s="21">
        <v>30</v>
      </c>
      <c r="AA24" s="21">
        <v>30</v>
      </c>
      <c r="AB24" s="21">
        <v>30</v>
      </c>
      <c r="AC24" s="21">
        <v>30</v>
      </c>
      <c r="AD24" s="21">
        <v>30</v>
      </c>
      <c r="AE24" s="21">
        <v>30</v>
      </c>
      <c r="AF24" s="21">
        <v>30</v>
      </c>
      <c r="AG24" s="21">
        <v>30</v>
      </c>
      <c r="AH24" s="21">
        <v>30</v>
      </c>
      <c r="AI24" s="21">
        <v>30</v>
      </c>
      <c r="AJ24" s="21">
        <v>30</v>
      </c>
      <c r="AK24" s="21">
        <v>30</v>
      </c>
      <c r="AL24" s="21">
        <v>30</v>
      </c>
      <c r="AM24" s="21">
        <v>30</v>
      </c>
      <c r="AN24" s="21">
        <v>30</v>
      </c>
      <c r="AO24" s="21">
        <v>30</v>
      </c>
      <c r="AP24" s="21">
        <v>30</v>
      </c>
      <c r="AQ24" s="21">
        <v>30</v>
      </c>
      <c r="AR24" s="21">
        <v>30</v>
      </c>
      <c r="AS24" s="21">
        <v>30</v>
      </c>
      <c r="AT24" s="21">
        <v>30</v>
      </c>
      <c r="AU24" s="21">
        <v>30</v>
      </c>
      <c r="AV24" s="21">
        <v>30</v>
      </c>
      <c r="AW24" s="21">
        <v>30</v>
      </c>
      <c r="AX24" s="21">
        <v>30</v>
      </c>
      <c r="AY24" s="21">
        <v>30</v>
      </c>
      <c r="AZ24" s="21">
        <v>30</v>
      </c>
      <c r="BA24" s="21">
        <v>30</v>
      </c>
      <c r="BB24" s="21">
        <v>30</v>
      </c>
      <c r="BC24" s="21">
        <v>30</v>
      </c>
      <c r="BD24" s="21">
        <v>30</v>
      </c>
      <c r="BE24" s="21">
        <v>30</v>
      </c>
      <c r="BF24" s="21">
        <v>30</v>
      </c>
      <c r="BG24" s="21">
        <v>30</v>
      </c>
      <c r="BH24" s="21">
        <v>30</v>
      </c>
      <c r="BI24" s="21">
        <v>30</v>
      </c>
      <c r="BJ24" s="21">
        <v>30</v>
      </c>
      <c r="BK24" s="21">
        <v>30</v>
      </c>
      <c r="BL24" s="21">
        <v>30</v>
      </c>
      <c r="BM24" s="21">
        <v>30</v>
      </c>
      <c r="BN24" s="21">
        <v>30</v>
      </c>
      <c r="BO24" s="21">
        <v>30</v>
      </c>
      <c r="BP24" s="21">
        <v>30</v>
      </c>
      <c r="BQ24" s="21">
        <v>30</v>
      </c>
      <c r="BR24" s="21">
        <v>30</v>
      </c>
      <c r="BS24" s="21">
        <v>30</v>
      </c>
      <c r="BT24" s="21">
        <v>30</v>
      </c>
      <c r="BU24" s="21">
        <v>30</v>
      </c>
      <c r="BV24" s="21">
        <v>30</v>
      </c>
      <c r="BW24" s="21">
        <v>30</v>
      </c>
      <c r="BX24" s="21">
        <v>30</v>
      </c>
      <c r="BY24" s="21">
        <v>30</v>
      </c>
      <c r="BZ24" s="21">
        <v>30</v>
      </c>
      <c r="CA24" s="21">
        <v>30</v>
      </c>
      <c r="CB24" s="21">
        <v>30</v>
      </c>
      <c r="CC24" s="21">
        <v>30</v>
      </c>
      <c r="CD24" s="21">
        <v>30</v>
      </c>
      <c r="CE24" s="21">
        <v>30</v>
      </c>
      <c r="CF24" s="21">
        <v>30</v>
      </c>
      <c r="CG24" s="21">
        <v>30</v>
      </c>
      <c r="CH24" s="21">
        <v>30</v>
      </c>
      <c r="CI24" s="21">
        <v>30</v>
      </c>
      <c r="CJ24" s="21">
        <v>30</v>
      </c>
      <c r="CK24" s="21">
        <v>30</v>
      </c>
      <c r="CL24" s="21">
        <v>30</v>
      </c>
      <c r="CM24" s="21">
        <v>30</v>
      </c>
      <c r="CN24" s="21">
        <v>30</v>
      </c>
      <c r="CO24" s="21">
        <v>30</v>
      </c>
      <c r="CP24" s="21">
        <v>30</v>
      </c>
      <c r="CQ24" s="21">
        <v>30</v>
      </c>
      <c r="CR24" s="21">
        <v>30</v>
      </c>
      <c r="CS24" s="21">
        <v>30</v>
      </c>
      <c r="CT24" s="21">
        <v>30</v>
      </c>
    </row>
    <row r="25" spans="1:98" ht="15.75" customHeight="1" thickBot="1">
      <c r="A25" s="23" t="s">
        <v>59</v>
      </c>
      <c r="B25" s="24" t="s">
        <v>60</v>
      </c>
      <c r="C25" s="25" t="e">
        <f t="shared" ref="C25:AM26" si="6">$C$151</f>
        <v>#DIV/0!</v>
      </c>
      <c r="D25" s="25" t="e">
        <f t="shared" si="6"/>
        <v>#DIV/0!</v>
      </c>
      <c r="E25" s="25" t="e">
        <f t="shared" si="6"/>
        <v>#DIV/0!</v>
      </c>
      <c r="F25" s="25" t="e">
        <f t="shared" si="6"/>
        <v>#DIV/0!</v>
      </c>
      <c r="G25" s="25" t="e">
        <f t="shared" si="6"/>
        <v>#DIV/0!</v>
      </c>
      <c r="H25" s="25" t="e">
        <f t="shared" si="6"/>
        <v>#DIV/0!</v>
      </c>
      <c r="I25" s="25" t="e">
        <f t="shared" si="6"/>
        <v>#DIV/0!</v>
      </c>
      <c r="J25" s="25" t="e">
        <f t="shared" si="6"/>
        <v>#DIV/0!</v>
      </c>
      <c r="K25" s="25" t="e">
        <f t="shared" si="6"/>
        <v>#DIV/0!</v>
      </c>
      <c r="L25" s="25" t="e">
        <f t="shared" si="6"/>
        <v>#DIV/0!</v>
      </c>
      <c r="M25" s="25" t="e">
        <f t="shared" si="6"/>
        <v>#DIV/0!</v>
      </c>
      <c r="N25" s="25" t="e">
        <f t="shared" si="6"/>
        <v>#DIV/0!</v>
      </c>
      <c r="O25" s="25" t="e">
        <f t="shared" si="6"/>
        <v>#DIV/0!</v>
      </c>
      <c r="P25" s="25" t="e">
        <f t="shared" si="6"/>
        <v>#DIV/0!</v>
      </c>
      <c r="Q25" s="25" t="e">
        <f t="shared" si="6"/>
        <v>#DIV/0!</v>
      </c>
      <c r="R25" s="25" t="e">
        <f t="shared" si="6"/>
        <v>#DIV/0!</v>
      </c>
      <c r="S25" s="25" t="e">
        <f t="shared" si="6"/>
        <v>#DIV/0!</v>
      </c>
      <c r="T25" s="25" t="e">
        <f t="shared" si="6"/>
        <v>#DIV/0!</v>
      </c>
      <c r="U25" s="25" t="e">
        <f t="shared" si="6"/>
        <v>#DIV/0!</v>
      </c>
      <c r="V25" s="25" t="e">
        <f t="shared" si="6"/>
        <v>#DIV/0!</v>
      </c>
      <c r="W25" s="25" t="e">
        <f t="shared" si="6"/>
        <v>#DIV/0!</v>
      </c>
      <c r="X25" s="25" t="e">
        <f t="shared" si="6"/>
        <v>#DIV/0!</v>
      </c>
      <c r="Y25" s="25" t="e">
        <f t="shared" si="6"/>
        <v>#DIV/0!</v>
      </c>
      <c r="Z25" s="25" t="e">
        <f t="shared" si="6"/>
        <v>#DIV/0!</v>
      </c>
      <c r="AA25" s="25" t="e">
        <f t="shared" si="6"/>
        <v>#DIV/0!</v>
      </c>
      <c r="AB25" s="25" t="e">
        <f t="shared" si="6"/>
        <v>#DIV/0!</v>
      </c>
      <c r="AC25" s="25" t="e">
        <f t="shared" si="6"/>
        <v>#DIV/0!</v>
      </c>
      <c r="AD25" s="25" t="e">
        <f t="shared" si="6"/>
        <v>#DIV/0!</v>
      </c>
      <c r="AE25" s="25" t="e">
        <f t="shared" si="6"/>
        <v>#DIV/0!</v>
      </c>
      <c r="AF25" s="25" t="e">
        <f t="shared" si="6"/>
        <v>#DIV/0!</v>
      </c>
      <c r="AG25" s="25" t="e">
        <f t="shared" si="6"/>
        <v>#DIV/0!</v>
      </c>
      <c r="AH25" s="25" t="e">
        <f t="shared" si="6"/>
        <v>#DIV/0!</v>
      </c>
      <c r="AI25" s="25" t="e">
        <f t="shared" si="6"/>
        <v>#DIV/0!</v>
      </c>
      <c r="AJ25" s="25" t="e">
        <f t="shared" si="6"/>
        <v>#DIV/0!</v>
      </c>
      <c r="AK25" s="25" t="e">
        <f t="shared" si="6"/>
        <v>#DIV/0!</v>
      </c>
      <c r="AL25" s="25" t="e">
        <f t="shared" si="6"/>
        <v>#DIV/0!</v>
      </c>
      <c r="AM25" s="25" t="e">
        <f t="shared" si="6"/>
        <v>#DIV/0!</v>
      </c>
      <c r="AN25" s="25" t="e">
        <f t="shared" ref="AN25:BD26" si="7">$C$151</f>
        <v>#DIV/0!</v>
      </c>
      <c r="AO25" s="25" t="e">
        <f t="shared" si="7"/>
        <v>#DIV/0!</v>
      </c>
      <c r="AP25" s="25" t="e">
        <f t="shared" si="7"/>
        <v>#DIV/0!</v>
      </c>
      <c r="AQ25" s="25" t="e">
        <f t="shared" si="7"/>
        <v>#DIV/0!</v>
      </c>
      <c r="AR25" s="25" t="e">
        <f t="shared" si="7"/>
        <v>#DIV/0!</v>
      </c>
      <c r="AS25" s="25" t="e">
        <f t="shared" si="7"/>
        <v>#DIV/0!</v>
      </c>
      <c r="AT25" s="25" t="e">
        <f t="shared" si="7"/>
        <v>#DIV/0!</v>
      </c>
      <c r="AU25" s="25" t="e">
        <f t="shared" si="7"/>
        <v>#DIV/0!</v>
      </c>
      <c r="AV25" s="25" t="e">
        <f t="shared" si="7"/>
        <v>#DIV/0!</v>
      </c>
      <c r="AW25" s="25" t="e">
        <f t="shared" si="7"/>
        <v>#DIV/0!</v>
      </c>
      <c r="AX25" s="25" t="e">
        <f t="shared" si="7"/>
        <v>#DIV/0!</v>
      </c>
      <c r="AY25" s="25" t="e">
        <f t="shared" si="7"/>
        <v>#DIV/0!</v>
      </c>
      <c r="AZ25" s="25" t="e">
        <f t="shared" si="7"/>
        <v>#DIV/0!</v>
      </c>
      <c r="BA25" s="25" t="e">
        <f t="shared" si="7"/>
        <v>#DIV/0!</v>
      </c>
      <c r="BB25" s="25" t="e">
        <f t="shared" si="7"/>
        <v>#DIV/0!</v>
      </c>
      <c r="BC25" s="25" t="e">
        <f t="shared" si="7"/>
        <v>#DIV/0!</v>
      </c>
      <c r="BD25" s="25" t="e">
        <f t="shared" si="7"/>
        <v>#DIV/0!</v>
      </c>
      <c r="BE25" s="25" t="e">
        <f t="shared" ref="BE25:BV26" si="8">$C$151</f>
        <v>#DIV/0!</v>
      </c>
      <c r="BF25" s="25" t="e">
        <f t="shared" si="8"/>
        <v>#DIV/0!</v>
      </c>
      <c r="BG25" s="25" t="e">
        <f t="shared" si="8"/>
        <v>#DIV/0!</v>
      </c>
      <c r="BH25" s="25" t="e">
        <f t="shared" si="8"/>
        <v>#DIV/0!</v>
      </c>
      <c r="BI25" s="25" t="e">
        <f t="shared" si="8"/>
        <v>#DIV/0!</v>
      </c>
      <c r="BJ25" s="25" t="e">
        <f t="shared" si="8"/>
        <v>#DIV/0!</v>
      </c>
      <c r="BK25" s="25" t="e">
        <f t="shared" si="8"/>
        <v>#DIV/0!</v>
      </c>
      <c r="BL25" s="25" t="e">
        <f t="shared" si="8"/>
        <v>#DIV/0!</v>
      </c>
      <c r="BM25" s="25" t="e">
        <f t="shared" si="8"/>
        <v>#DIV/0!</v>
      </c>
      <c r="BN25" s="25" t="e">
        <f t="shared" si="8"/>
        <v>#DIV/0!</v>
      </c>
      <c r="BO25" s="25" t="e">
        <f t="shared" si="8"/>
        <v>#DIV/0!</v>
      </c>
      <c r="BP25" s="25" t="e">
        <f t="shared" si="8"/>
        <v>#DIV/0!</v>
      </c>
      <c r="BQ25" s="25" t="e">
        <f t="shared" si="8"/>
        <v>#DIV/0!</v>
      </c>
      <c r="BR25" s="25" t="e">
        <f t="shared" si="8"/>
        <v>#DIV/0!</v>
      </c>
      <c r="BS25" s="25" t="e">
        <f t="shared" si="8"/>
        <v>#DIV/0!</v>
      </c>
      <c r="BT25" s="25" t="e">
        <f t="shared" si="8"/>
        <v>#DIV/0!</v>
      </c>
      <c r="BU25" s="25" t="e">
        <f t="shared" si="8"/>
        <v>#DIV/0!</v>
      </c>
      <c r="BV25" s="25" t="e">
        <f t="shared" si="8"/>
        <v>#DIV/0!</v>
      </c>
      <c r="BW25" s="25" t="e">
        <f t="shared" ref="BW25:CO26" si="9">$C$151</f>
        <v>#DIV/0!</v>
      </c>
      <c r="BX25" s="25" t="e">
        <f t="shared" si="9"/>
        <v>#DIV/0!</v>
      </c>
      <c r="BY25" s="25" t="e">
        <f t="shared" si="9"/>
        <v>#DIV/0!</v>
      </c>
      <c r="BZ25" s="25" t="e">
        <f t="shared" si="9"/>
        <v>#DIV/0!</v>
      </c>
      <c r="CA25" s="25" t="e">
        <f t="shared" si="9"/>
        <v>#DIV/0!</v>
      </c>
      <c r="CB25" s="25" t="e">
        <f t="shared" si="9"/>
        <v>#DIV/0!</v>
      </c>
      <c r="CC25" s="25" t="e">
        <f t="shared" si="9"/>
        <v>#DIV/0!</v>
      </c>
      <c r="CD25" s="25" t="e">
        <f t="shared" si="9"/>
        <v>#DIV/0!</v>
      </c>
      <c r="CE25" s="25" t="e">
        <f t="shared" si="9"/>
        <v>#DIV/0!</v>
      </c>
      <c r="CF25" s="25" t="e">
        <f t="shared" si="9"/>
        <v>#DIV/0!</v>
      </c>
      <c r="CG25" s="25" t="e">
        <f t="shared" si="9"/>
        <v>#DIV/0!</v>
      </c>
      <c r="CH25" s="25" t="e">
        <f t="shared" si="9"/>
        <v>#DIV/0!</v>
      </c>
      <c r="CI25" s="25" t="e">
        <f t="shared" si="9"/>
        <v>#DIV/0!</v>
      </c>
      <c r="CJ25" s="25" t="e">
        <f t="shared" si="9"/>
        <v>#DIV/0!</v>
      </c>
      <c r="CK25" s="25" t="e">
        <f t="shared" si="9"/>
        <v>#DIV/0!</v>
      </c>
      <c r="CL25" s="25" t="e">
        <f t="shared" si="9"/>
        <v>#DIV/0!</v>
      </c>
      <c r="CM25" s="25" t="e">
        <f t="shared" si="9"/>
        <v>#DIV/0!</v>
      </c>
      <c r="CN25" s="25" t="e">
        <f t="shared" si="9"/>
        <v>#DIV/0!</v>
      </c>
      <c r="CO25" s="25" t="e">
        <f t="shared" si="9"/>
        <v>#DIV/0!</v>
      </c>
      <c r="CP25" s="25" t="e">
        <f t="shared" ref="CP25:CT26" si="10">$C$151</f>
        <v>#DIV/0!</v>
      </c>
      <c r="CQ25" s="25" t="e">
        <f t="shared" si="10"/>
        <v>#DIV/0!</v>
      </c>
      <c r="CR25" s="25" t="e">
        <f t="shared" si="10"/>
        <v>#DIV/0!</v>
      </c>
      <c r="CS25" s="25" t="e">
        <f t="shared" si="10"/>
        <v>#DIV/0!</v>
      </c>
      <c r="CT25" s="25" t="e">
        <f t="shared" si="10"/>
        <v>#DIV/0!</v>
      </c>
    </row>
    <row r="26" spans="1:98" ht="15.75" customHeight="1">
      <c r="A26" s="3"/>
      <c r="B26" s="79"/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80"/>
      <c r="AS26" s="80"/>
      <c r="AT26" s="80"/>
      <c r="AU26" s="80"/>
      <c r="AV26" s="80"/>
      <c r="AW26" s="80"/>
      <c r="AX26" s="80"/>
      <c r="AY26" s="80"/>
      <c r="AZ26" s="80"/>
      <c r="BA26" s="80"/>
      <c r="BB26" s="80"/>
      <c r="BC26" s="80"/>
      <c r="BD26" s="80"/>
      <c r="BE26" s="80"/>
      <c r="BF26" s="80"/>
      <c r="BG26" s="80"/>
      <c r="BH26" s="80"/>
      <c r="BI26" s="80"/>
      <c r="BJ26" s="80"/>
      <c r="BK26" s="80"/>
      <c r="BL26" s="80"/>
      <c r="BM26" s="80"/>
      <c r="BN26" s="80"/>
      <c r="BO26" s="80"/>
      <c r="BP26" s="80"/>
      <c r="BQ26" s="80"/>
      <c r="BR26" s="80"/>
      <c r="BS26" s="80"/>
      <c r="BT26" s="80"/>
      <c r="BU26" s="80"/>
      <c r="BV26" s="80"/>
      <c r="BW26" s="80"/>
      <c r="BX26" s="80"/>
      <c r="BY26" s="80"/>
      <c r="BZ26" s="80"/>
      <c r="CA26" s="80"/>
      <c r="CB26" s="80"/>
      <c r="CC26" s="80"/>
      <c r="CD26" s="80"/>
      <c r="CE26" s="80"/>
      <c r="CF26" s="80"/>
      <c r="CG26" s="80"/>
      <c r="CH26" s="80"/>
      <c r="CI26" s="80"/>
      <c r="CJ26" s="80"/>
      <c r="CK26" s="80"/>
      <c r="CL26" s="80"/>
      <c r="CM26" s="80"/>
      <c r="CN26" s="80"/>
      <c r="CO26" s="80"/>
      <c r="CP26" s="80"/>
      <c r="CQ26" s="80"/>
      <c r="CR26" s="80"/>
      <c r="CS26" s="80"/>
      <c r="CT26" s="80"/>
    </row>
    <row r="27" spans="1:98" ht="15.75" customHeight="1">
      <c r="A27" s="3"/>
      <c r="B27" s="79"/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  <c r="AQ27" s="80"/>
      <c r="AR27" s="80"/>
      <c r="AS27" s="80"/>
      <c r="AT27" s="80"/>
      <c r="AU27" s="80"/>
      <c r="AV27" s="80"/>
      <c r="AW27" s="80"/>
      <c r="AX27" s="80"/>
      <c r="AY27" s="80"/>
      <c r="AZ27" s="80"/>
      <c r="BA27" s="80"/>
      <c r="BB27" s="80"/>
      <c r="BC27" s="80"/>
      <c r="BD27" s="80"/>
      <c r="BE27" s="80"/>
      <c r="BF27" s="80"/>
      <c r="BG27" s="80"/>
      <c r="BH27" s="80"/>
      <c r="BI27" s="80"/>
      <c r="BJ27" s="80"/>
      <c r="BK27" s="80"/>
      <c r="BL27" s="80"/>
      <c r="BM27" s="80"/>
      <c r="BN27" s="80"/>
      <c r="BO27" s="80"/>
      <c r="BP27" s="80"/>
      <c r="BQ27" s="80"/>
      <c r="BR27" s="80"/>
      <c r="BS27" s="80"/>
      <c r="BT27" s="80"/>
      <c r="BU27" s="80"/>
      <c r="BV27" s="80"/>
      <c r="BW27" s="80"/>
      <c r="BX27" s="80"/>
      <c r="BY27" s="80"/>
      <c r="BZ27" s="80"/>
      <c r="CA27" s="80"/>
      <c r="CB27" s="80"/>
      <c r="CC27" s="80"/>
      <c r="CD27" s="80"/>
      <c r="CE27" s="80"/>
      <c r="CF27" s="80"/>
      <c r="CG27" s="80"/>
      <c r="CH27" s="80"/>
      <c r="CI27" s="80"/>
      <c r="CJ27" s="80"/>
      <c r="CK27" s="80"/>
      <c r="CL27" s="80"/>
      <c r="CM27" s="80"/>
      <c r="CN27" s="80"/>
      <c r="CO27" s="80"/>
      <c r="CP27" s="80"/>
      <c r="CQ27" s="80"/>
      <c r="CR27" s="80"/>
      <c r="CS27" s="80"/>
      <c r="CT27" s="80"/>
    </row>
    <row r="28" spans="1:98" ht="15.75" customHeight="1">
      <c r="A28" s="3"/>
      <c r="B28" s="79"/>
      <c r="C28" s="80"/>
      <c r="D28" s="80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80"/>
      <c r="AS28" s="80"/>
      <c r="AT28" s="80"/>
      <c r="AU28" s="80"/>
      <c r="AV28" s="80"/>
      <c r="AW28" s="80"/>
      <c r="AX28" s="80"/>
      <c r="AY28" s="80"/>
      <c r="AZ28" s="80"/>
      <c r="BA28" s="80"/>
      <c r="BB28" s="80"/>
      <c r="BC28" s="80"/>
      <c r="BD28" s="80"/>
      <c r="BE28" s="80"/>
      <c r="BF28" s="80"/>
      <c r="BG28" s="80"/>
      <c r="BH28" s="80"/>
      <c r="BI28" s="80"/>
      <c r="BJ28" s="80"/>
      <c r="BK28" s="80"/>
      <c r="BL28" s="80"/>
      <c r="BM28" s="80"/>
      <c r="BN28" s="80"/>
      <c r="BO28" s="80"/>
      <c r="BP28" s="80"/>
      <c r="BQ28" s="80"/>
      <c r="BR28" s="80"/>
      <c r="BS28" s="80"/>
      <c r="BT28" s="80"/>
      <c r="BU28" s="80"/>
      <c r="BV28" s="80"/>
      <c r="BW28" s="80"/>
      <c r="BX28" s="80"/>
      <c r="BY28" s="80"/>
      <c r="BZ28" s="80"/>
      <c r="CA28" s="80"/>
      <c r="CB28" s="80"/>
      <c r="CC28" s="80"/>
      <c r="CD28" s="80"/>
      <c r="CE28" s="80"/>
      <c r="CF28" s="80"/>
      <c r="CG28" s="80"/>
      <c r="CH28" s="80"/>
      <c r="CI28" s="80"/>
      <c r="CJ28" s="80"/>
      <c r="CK28" s="80"/>
      <c r="CL28" s="80"/>
      <c r="CM28" s="80"/>
      <c r="CN28" s="80"/>
      <c r="CO28" s="80"/>
      <c r="CP28" s="80"/>
      <c r="CQ28" s="80"/>
      <c r="CR28" s="80"/>
      <c r="CS28" s="80"/>
      <c r="CT28" s="80"/>
    </row>
    <row r="29" spans="1:98" ht="15.75" customHeight="1">
      <c r="A29" s="88" t="s">
        <v>61</v>
      </c>
      <c r="B29" s="5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  <c r="AA29" s="72"/>
      <c r="AB29" s="72"/>
      <c r="AC29" s="72"/>
      <c r="AD29" s="72"/>
      <c r="AE29" s="72"/>
      <c r="AF29" s="72"/>
      <c r="AG29" s="72"/>
      <c r="AH29" s="72"/>
      <c r="AI29" s="72"/>
      <c r="AJ29" s="72"/>
      <c r="AK29" s="72"/>
      <c r="AL29" s="72"/>
      <c r="AM29" s="72"/>
      <c r="AN29" s="72"/>
      <c r="AO29" s="72"/>
      <c r="AP29" s="72"/>
      <c r="AQ29" s="72"/>
      <c r="AR29" s="72"/>
      <c r="AS29" s="72"/>
      <c r="AT29" s="72"/>
      <c r="AU29" s="72"/>
      <c r="AV29" s="72"/>
      <c r="AW29" s="72"/>
      <c r="AX29" s="72"/>
      <c r="AY29" s="72"/>
      <c r="AZ29" s="72"/>
      <c r="BA29" s="72"/>
      <c r="BB29" s="72"/>
      <c r="BC29" s="72"/>
      <c r="BD29" s="72"/>
      <c r="BE29" s="72"/>
      <c r="BF29" s="72"/>
      <c r="BG29" s="72"/>
      <c r="BH29" s="72"/>
      <c r="BI29" s="72"/>
      <c r="BJ29" s="72"/>
      <c r="BK29" s="72"/>
      <c r="BL29" s="72"/>
      <c r="BM29" s="72"/>
      <c r="BN29" s="72"/>
      <c r="BO29" s="72"/>
      <c r="BP29" s="72"/>
      <c r="BQ29" s="72"/>
      <c r="BR29" s="72"/>
      <c r="BS29" s="72"/>
      <c r="BT29" s="72"/>
      <c r="BU29" s="72"/>
      <c r="BV29" s="72"/>
      <c r="BW29" s="72"/>
      <c r="BX29" s="72"/>
      <c r="BY29" s="72"/>
      <c r="BZ29" s="72"/>
      <c r="CA29" s="72"/>
      <c r="CB29" s="72"/>
      <c r="CC29" s="72"/>
      <c r="CD29" s="72"/>
      <c r="CE29" s="72"/>
      <c r="CF29" s="72"/>
      <c r="CG29" s="72"/>
      <c r="CH29" s="72"/>
      <c r="CI29" s="72"/>
      <c r="CJ29" s="72"/>
      <c r="CK29" s="72"/>
      <c r="CL29" s="72"/>
      <c r="CM29" s="72"/>
      <c r="CN29" s="72"/>
      <c r="CO29" s="72"/>
      <c r="CP29" s="72"/>
      <c r="CQ29" s="72"/>
      <c r="CR29" s="72"/>
      <c r="CS29" s="72"/>
      <c r="CT29" s="72"/>
    </row>
    <row r="30" spans="1:98" ht="15.75" customHeight="1">
      <c r="A30" s="1" t="s">
        <v>62</v>
      </c>
      <c r="B30" s="89" t="s">
        <v>55</v>
      </c>
      <c r="C30" s="1">
        <f>VLOOKUP(C6,'Lipid_Params '!$A:$C,2, FALSE)</f>
        <v>710.17</v>
      </c>
      <c r="D30" s="1">
        <f>VLOOKUP(D6,'Lipid_Params '!$A:$C,2, FALSE)</f>
        <v>710.17</v>
      </c>
      <c r="E30" s="1">
        <f>VLOOKUP(E6,'Lipid_Params '!$A:$C,2, FALSE)</f>
        <v>710.17</v>
      </c>
      <c r="F30" s="1">
        <f>VLOOKUP(F6,'Lipid_Params '!$A:$C,2, FALSE)</f>
        <v>710.17</v>
      </c>
      <c r="G30" s="1">
        <f>VLOOKUP(G6,'Lipid_Params '!$A:$C,2, FALSE)</f>
        <v>710.17</v>
      </c>
      <c r="H30" s="1">
        <f>VLOOKUP(H6,'Lipid_Params '!$A:$C,2, FALSE)</f>
        <v>710.17</v>
      </c>
      <c r="I30" s="1">
        <f>VLOOKUP(I6,'Lipid_Params '!$A:$C,2, FALSE)</f>
        <v>710.17</v>
      </c>
      <c r="J30" s="1">
        <f>VLOOKUP(J6,'Lipid_Params '!$A:$C,2, FALSE)</f>
        <v>710.17</v>
      </c>
      <c r="K30" s="1">
        <f>VLOOKUP(K6,'Lipid_Params '!$A:$C,2, FALSE)</f>
        <v>710.17</v>
      </c>
      <c r="L30" s="1">
        <f>VLOOKUP(L6,'Lipid_Params '!$A:$C,2, FALSE)</f>
        <v>710.17</v>
      </c>
      <c r="M30" s="1">
        <f>VLOOKUP(M6,'Lipid_Params '!$A:$C,2, FALSE)</f>
        <v>710.17</v>
      </c>
      <c r="N30" s="1">
        <f>VLOOKUP(N6,'Lipid_Params '!$A:$C,2, FALSE)</f>
        <v>710.17</v>
      </c>
      <c r="O30" s="1">
        <f>VLOOKUP(O6,'Lipid_Params '!$A:$C,2, FALSE)</f>
        <v>710.17</v>
      </c>
      <c r="P30" s="1">
        <f>VLOOKUP(P6,'Lipid_Params '!$A:$C,2, FALSE)</f>
        <v>710.17</v>
      </c>
      <c r="Q30" s="1">
        <f>VLOOKUP(Q6,'Lipid_Params '!$A:$C,2, FALSE)</f>
        <v>710.17</v>
      </c>
      <c r="R30" s="1">
        <f>VLOOKUP(R6,'Lipid_Params '!$A:$C,2, FALSE)</f>
        <v>710.17</v>
      </c>
      <c r="S30" s="1">
        <f>VLOOKUP(S6,'Lipid_Params '!$A:$C,2, FALSE)</f>
        <v>710.17</v>
      </c>
      <c r="T30" s="1">
        <f>VLOOKUP(T6,'Lipid_Params '!$A:$C,2, FALSE)</f>
        <v>710.17</v>
      </c>
      <c r="U30" s="1">
        <f>VLOOKUP(U6,'Lipid_Params '!$A:$C,2, FALSE)</f>
        <v>710.17</v>
      </c>
      <c r="V30" s="1">
        <f>VLOOKUP(V6,'Lipid_Params '!$A:$C,2, FALSE)</f>
        <v>710.17</v>
      </c>
      <c r="W30" s="1">
        <f>VLOOKUP(W6,'Lipid_Params '!$A:$C,2, FALSE)</f>
        <v>710.17</v>
      </c>
      <c r="X30" s="1">
        <f>VLOOKUP(X6,'Lipid_Params '!$A:$C,2, FALSE)</f>
        <v>710.17</v>
      </c>
      <c r="Y30" s="1">
        <f>VLOOKUP(Y6,'Lipid_Params '!$A:$C,2, FALSE)</f>
        <v>710.17</v>
      </c>
      <c r="Z30" s="1">
        <f>VLOOKUP(Z6,'Lipid_Params '!$A:$C,2, FALSE)</f>
        <v>710.17</v>
      </c>
      <c r="AA30" s="1">
        <f>VLOOKUP(AA6,'Lipid_Params '!$A:$C,2, FALSE)</f>
        <v>710.17</v>
      </c>
      <c r="AB30" s="1">
        <f>VLOOKUP(AB6,'Lipid_Params '!$A:$C,2, FALSE)</f>
        <v>710.17</v>
      </c>
      <c r="AC30" s="1">
        <f>VLOOKUP(AC6,'Lipid_Params '!$A:$C,2, FALSE)</f>
        <v>710.17</v>
      </c>
      <c r="AD30" s="1">
        <f>VLOOKUP(AD6,'Lipid_Params '!$A:$C,2, FALSE)</f>
        <v>710.17</v>
      </c>
      <c r="AE30" s="1">
        <f>VLOOKUP(AE6,'Lipid_Params '!$A:$C,2, FALSE)</f>
        <v>710.17</v>
      </c>
      <c r="AF30" s="1">
        <f>VLOOKUP(AF6,'Lipid_Params '!$A:$C,2, FALSE)</f>
        <v>710.17</v>
      </c>
      <c r="AG30" s="1">
        <f>VLOOKUP(AG6,'Lipid_Params '!$A:$C,2, FALSE)</f>
        <v>710.17</v>
      </c>
      <c r="AH30" s="1">
        <f>VLOOKUP(AH6,'Lipid_Params '!$A:$C,2, FALSE)</f>
        <v>710.17</v>
      </c>
      <c r="AI30" s="1">
        <f>VLOOKUP(AI6,'Lipid_Params '!$A:$C,2, FALSE)</f>
        <v>710.17</v>
      </c>
      <c r="AJ30" s="1">
        <f>VLOOKUP(AJ6,'Lipid_Params '!$A:$C,2, FALSE)</f>
        <v>710.17</v>
      </c>
      <c r="AK30" s="1">
        <f>VLOOKUP(AK6,'Lipid_Params '!$A:$C,2, FALSE)</f>
        <v>710.17</v>
      </c>
      <c r="AL30" s="1">
        <f>VLOOKUP(AL6,'Lipid_Params '!$A:$C,2, FALSE)</f>
        <v>710.17</v>
      </c>
      <c r="AM30" s="1">
        <f>VLOOKUP(AM6,'Lipid_Params '!$A:$C,2, FALSE)</f>
        <v>710.17</v>
      </c>
      <c r="AN30" s="1">
        <f>VLOOKUP(AN6,'Lipid_Params '!$A:$C,2, FALSE)</f>
        <v>710.17</v>
      </c>
      <c r="AO30" s="1">
        <f>VLOOKUP(AO6,'Lipid_Params '!$A:$C,2, FALSE)</f>
        <v>710.17</v>
      </c>
      <c r="AP30" s="1">
        <f>VLOOKUP(AP6,'Lipid_Params '!$A:$C,2, FALSE)</f>
        <v>710.17</v>
      </c>
      <c r="AQ30" s="1">
        <f>VLOOKUP(AQ6,'Lipid_Params '!$A:$C,2, FALSE)</f>
        <v>710.17</v>
      </c>
      <c r="AR30" s="1">
        <f>VLOOKUP(AR6,'Lipid_Params '!$A:$C,2, FALSE)</f>
        <v>710.17</v>
      </c>
      <c r="AS30" s="1">
        <f>VLOOKUP(AS6,'Lipid_Params '!$A:$C,2, FALSE)</f>
        <v>710.17</v>
      </c>
      <c r="AT30" s="1">
        <f>VLOOKUP(AT6,'Lipid_Params '!$A:$C,2, FALSE)</f>
        <v>710.17</v>
      </c>
      <c r="AU30" s="1">
        <f>VLOOKUP(AU6,'Lipid_Params '!$A:$C,2, FALSE)</f>
        <v>710.17</v>
      </c>
      <c r="AV30" s="1">
        <f>VLOOKUP(AV6,'Lipid_Params '!$A:$C,2, FALSE)</f>
        <v>710.17</v>
      </c>
      <c r="AW30" s="1">
        <f>VLOOKUP(AW6,'Lipid_Params '!$A:$C,2, FALSE)</f>
        <v>710.17</v>
      </c>
      <c r="AX30" s="1">
        <f>VLOOKUP(AX6,'Lipid_Params '!$A:$C,2, FALSE)</f>
        <v>710.17</v>
      </c>
      <c r="AY30" s="1">
        <f>VLOOKUP(AY6,'Lipid_Params '!$A:$C,2, FALSE)</f>
        <v>710.17</v>
      </c>
      <c r="AZ30" s="1">
        <f>VLOOKUP(AZ6,'Lipid_Params '!$A:$C,2, FALSE)</f>
        <v>710.17</v>
      </c>
      <c r="BA30" s="1">
        <f>VLOOKUP(BA6,'Lipid_Params '!$A:$C,2, FALSE)</f>
        <v>710.17</v>
      </c>
      <c r="BB30" s="1">
        <f>VLOOKUP(BB6,'Lipid_Params '!$A:$C,2, FALSE)</f>
        <v>710.17</v>
      </c>
      <c r="BC30" s="1">
        <f>VLOOKUP(BC6,'Lipid_Params '!$A:$C,2, FALSE)</f>
        <v>710.17</v>
      </c>
      <c r="BD30" s="1">
        <f>VLOOKUP(BD6,'Lipid_Params '!$A:$C,2, FALSE)</f>
        <v>710.17</v>
      </c>
      <c r="BE30" s="1">
        <f>VLOOKUP(BE6,'Lipid_Params '!$A:$C,2, FALSE)</f>
        <v>710.17</v>
      </c>
      <c r="BF30" s="1">
        <f>VLOOKUP(BF6,'Lipid_Params '!$A:$C,2, FALSE)</f>
        <v>710.17</v>
      </c>
      <c r="BG30" s="1">
        <f>VLOOKUP(BG6,'Lipid_Params '!$A:$C,2, FALSE)</f>
        <v>710.17</v>
      </c>
      <c r="BH30" s="1">
        <f>VLOOKUP(BH6,'Lipid_Params '!$A:$C,2, FALSE)</f>
        <v>710.17</v>
      </c>
      <c r="BI30" s="1">
        <f>VLOOKUP(BI6,'Lipid_Params '!$A:$C,2, FALSE)</f>
        <v>710.17</v>
      </c>
      <c r="BJ30" s="1">
        <f>VLOOKUP(BJ6,'Lipid_Params '!$A:$C,2, FALSE)</f>
        <v>710.17</v>
      </c>
      <c r="BK30" s="1">
        <f>VLOOKUP(BK6,'Lipid_Params '!$A:$C,2, FALSE)</f>
        <v>710.17</v>
      </c>
      <c r="BL30" s="1">
        <f>VLOOKUP(BL6,'Lipid_Params '!$A:$C,2, FALSE)</f>
        <v>710.17</v>
      </c>
      <c r="BM30" s="1">
        <f>VLOOKUP(BM6,'Lipid_Params '!$A:$C,2, FALSE)</f>
        <v>710.17</v>
      </c>
      <c r="BN30" s="1">
        <f>VLOOKUP(BN6,'Lipid_Params '!$A:$C,2, FALSE)</f>
        <v>710.17</v>
      </c>
      <c r="BO30" s="1">
        <f>VLOOKUP(BO6,'Lipid_Params '!$A:$C,2, FALSE)</f>
        <v>710.17</v>
      </c>
      <c r="BP30" s="1">
        <f>VLOOKUP(BP6,'Lipid_Params '!$A:$C,2, FALSE)</f>
        <v>710.17</v>
      </c>
      <c r="BQ30" s="1">
        <f>VLOOKUP(BQ6,'Lipid_Params '!$A:$C,2, FALSE)</f>
        <v>710.17</v>
      </c>
      <c r="BR30" s="1">
        <f>VLOOKUP(BR6,'Lipid_Params '!$A:$C,2, FALSE)</f>
        <v>710.17</v>
      </c>
      <c r="BS30" s="1">
        <f>VLOOKUP(BS6,'Lipid_Params '!$A:$C,2, FALSE)</f>
        <v>710.17</v>
      </c>
      <c r="BT30" s="1">
        <f>VLOOKUP(BT6,'Lipid_Params '!$A:$C,2, FALSE)</f>
        <v>710.17</v>
      </c>
      <c r="BU30" s="1">
        <f>VLOOKUP(BU6,'Lipid_Params '!$A:$C,2, FALSE)</f>
        <v>710.17</v>
      </c>
      <c r="BV30" s="1">
        <f>VLOOKUP(BV6,'Lipid_Params '!$A:$C,2, FALSE)</f>
        <v>710.17</v>
      </c>
      <c r="BW30" s="1">
        <f>VLOOKUP(BW6,'Lipid_Params '!$A:$C,2, FALSE)</f>
        <v>710.17</v>
      </c>
      <c r="BX30" s="1">
        <f>VLOOKUP(BX6,'Lipid_Params '!$A:$C,2, FALSE)</f>
        <v>710.17</v>
      </c>
      <c r="BY30" s="1">
        <f>VLOOKUP(BY6,'Lipid_Params '!$A:$C,2, FALSE)</f>
        <v>710.17</v>
      </c>
      <c r="BZ30" s="1">
        <f>VLOOKUP(BZ6,'Lipid_Params '!$A:$C,2, FALSE)</f>
        <v>710.17</v>
      </c>
      <c r="CA30" s="1">
        <f>VLOOKUP(CA6,'Lipid_Params '!$A:$C,2, FALSE)</f>
        <v>710.17</v>
      </c>
      <c r="CB30" s="1">
        <f>VLOOKUP(CB6,'Lipid_Params '!$A:$C,2, FALSE)</f>
        <v>710.17</v>
      </c>
      <c r="CC30" s="1">
        <f>VLOOKUP(CC6,'Lipid_Params '!$A:$C,2, FALSE)</f>
        <v>710.17</v>
      </c>
      <c r="CD30" s="1">
        <f>VLOOKUP(CD6,'Lipid_Params '!$A:$C,2, FALSE)</f>
        <v>710.17</v>
      </c>
      <c r="CE30" s="1">
        <f>VLOOKUP(CE6,'Lipid_Params '!$A:$C,2, FALSE)</f>
        <v>710.17</v>
      </c>
      <c r="CF30" s="1">
        <f>VLOOKUP(CF6,'Lipid_Params '!$A:$C,2, FALSE)</f>
        <v>710.17</v>
      </c>
      <c r="CG30" s="1">
        <f>VLOOKUP(CG6,'Lipid_Params '!$A:$C,2, FALSE)</f>
        <v>710.17</v>
      </c>
      <c r="CH30" s="1">
        <f>VLOOKUP(CH6,'Lipid_Params '!$A:$C,2, FALSE)</f>
        <v>710.17</v>
      </c>
      <c r="CI30" s="1">
        <f>VLOOKUP(CI6,'Lipid_Params '!$A:$C,2, FALSE)</f>
        <v>710.17</v>
      </c>
      <c r="CJ30" s="1">
        <f>VLOOKUP(CJ6,'Lipid_Params '!$A:$C,2, FALSE)</f>
        <v>710.17</v>
      </c>
      <c r="CK30" s="1">
        <f>VLOOKUP(CK6,'Lipid_Params '!$A:$C,2, FALSE)</f>
        <v>710.17</v>
      </c>
      <c r="CL30" s="1">
        <f>VLOOKUP(CL6,'Lipid_Params '!$A:$C,2, FALSE)</f>
        <v>710.17</v>
      </c>
      <c r="CM30" s="1">
        <f>VLOOKUP(CM6,'Lipid_Params '!$A:$C,2, FALSE)</f>
        <v>710.17</v>
      </c>
      <c r="CN30" s="1">
        <f>VLOOKUP(CN6,'Lipid_Params '!$A:$C,2, FALSE)</f>
        <v>710.17</v>
      </c>
      <c r="CO30" s="1">
        <f>VLOOKUP(CO6,'Lipid_Params '!$A:$C,2, FALSE)</f>
        <v>710.17</v>
      </c>
      <c r="CP30" s="1">
        <f>VLOOKUP(CP6,'Lipid_Params '!$A:$C,2, FALSE)</f>
        <v>710.17</v>
      </c>
      <c r="CQ30" s="1">
        <f>VLOOKUP(CQ6,'Lipid_Params '!$A:$C,2, FALSE)</f>
        <v>710.17</v>
      </c>
      <c r="CR30" s="1">
        <f>VLOOKUP(CR6,'Lipid_Params '!$A:$C,2, FALSE)</f>
        <v>710.17</v>
      </c>
      <c r="CS30" s="1">
        <f>VLOOKUP(CS6,'Lipid_Params '!$A:$C,2, FALSE)</f>
        <v>710.17</v>
      </c>
      <c r="CT30" s="1">
        <f>VLOOKUP(CT6,'Lipid_Params '!$A:$C,2, FALSE)</f>
        <v>710.17</v>
      </c>
    </row>
    <row r="31" spans="1:98" ht="15.75" customHeight="1">
      <c r="A31" s="1" t="s">
        <v>1</v>
      </c>
      <c r="B31" s="89" t="s">
        <v>55</v>
      </c>
      <c r="C31" s="1">
        <f>VLOOKUP(C7,'Lipid_Params '!$A:$C,2, FALSE)</f>
        <v>790.14499999999998</v>
      </c>
      <c r="D31" s="1">
        <f>VLOOKUP(D7,'Lipid_Params '!$A:$C,2, FALSE)</f>
        <v>790.14499999999998</v>
      </c>
      <c r="E31" s="1">
        <f>VLOOKUP(E7,'Lipid_Params '!$A:$C,2, FALSE)</f>
        <v>790.14499999999998</v>
      </c>
      <c r="F31" s="1">
        <f>VLOOKUP(F7,'Lipid_Params '!$A:$C,2, FALSE)</f>
        <v>790.14499999999998</v>
      </c>
      <c r="G31" s="1">
        <f>VLOOKUP(G7,'Lipid_Params '!$A:$C,2, FALSE)</f>
        <v>790.14499999999998</v>
      </c>
      <c r="H31" s="1">
        <f>VLOOKUP(H7,'Lipid_Params '!$A:$C,2, FALSE)</f>
        <v>790.14499999999998</v>
      </c>
      <c r="I31" s="1">
        <f>VLOOKUP(I7,'Lipid_Params '!$A:$C,2, FALSE)</f>
        <v>790.14499999999998</v>
      </c>
      <c r="J31" s="1">
        <f>VLOOKUP(J7,'Lipid_Params '!$A:$C,2, FALSE)</f>
        <v>790.14499999999998</v>
      </c>
      <c r="K31" s="1">
        <f>VLOOKUP(K7,'Lipid_Params '!$A:$C,2, FALSE)</f>
        <v>790.14499999999998</v>
      </c>
      <c r="L31" s="1">
        <f>VLOOKUP(L7,'Lipid_Params '!$A:$C,2, FALSE)</f>
        <v>790.14499999999998</v>
      </c>
      <c r="M31" s="1">
        <f>VLOOKUP(M7,'Lipid_Params '!$A:$C,2, FALSE)</f>
        <v>790.14499999999998</v>
      </c>
      <c r="N31" s="1">
        <f>VLOOKUP(N7,'Lipid_Params '!$A:$C,2, FALSE)</f>
        <v>790.14499999999998</v>
      </c>
      <c r="O31" s="1">
        <f>VLOOKUP(O7,'Lipid_Params '!$A:$C,2, FALSE)</f>
        <v>790.14499999999998</v>
      </c>
      <c r="P31" s="1">
        <f>VLOOKUP(P7,'Lipid_Params '!$A:$C,2, FALSE)</f>
        <v>790.14499999999998</v>
      </c>
      <c r="Q31" s="1">
        <f>VLOOKUP(Q7,'Lipid_Params '!$A:$C,2, FALSE)</f>
        <v>790.14499999999998</v>
      </c>
      <c r="R31" s="1">
        <f>VLOOKUP(R7,'Lipid_Params '!$A:$C,2, FALSE)</f>
        <v>790.14499999999998</v>
      </c>
      <c r="S31" s="1">
        <f>VLOOKUP(S7,'Lipid_Params '!$A:$C,2, FALSE)</f>
        <v>790.14499999999998</v>
      </c>
      <c r="T31" s="1">
        <f>VLOOKUP(T7,'Lipid_Params '!$A:$C,2, FALSE)</f>
        <v>790.14499999999998</v>
      </c>
      <c r="U31" s="1">
        <f>VLOOKUP(U7,'Lipid_Params '!$A:$C,2, FALSE)</f>
        <v>790.14499999999998</v>
      </c>
      <c r="V31" s="1">
        <f>VLOOKUP(V7,'Lipid_Params '!$A:$C,2, FALSE)</f>
        <v>790.14499999999998</v>
      </c>
      <c r="W31" s="1">
        <f>VLOOKUP(W7,'Lipid_Params '!$A:$C,2, FALSE)</f>
        <v>790.14499999999998</v>
      </c>
      <c r="X31" s="1">
        <f>VLOOKUP(X7,'Lipid_Params '!$A:$C,2, FALSE)</f>
        <v>790.14499999999998</v>
      </c>
      <c r="Y31" s="1">
        <f>VLOOKUP(Y7,'Lipid_Params '!$A:$C,2, FALSE)</f>
        <v>790.14499999999998</v>
      </c>
      <c r="Z31" s="1">
        <f>VLOOKUP(Z7,'Lipid_Params '!$A:$C,2, FALSE)</f>
        <v>790.14499999999998</v>
      </c>
      <c r="AA31" s="1">
        <f>VLOOKUP(AA7,'Lipid_Params '!$A:$C,2, FALSE)</f>
        <v>790.14499999999998</v>
      </c>
      <c r="AB31" s="1">
        <f>VLOOKUP(AB7,'Lipid_Params '!$A:$C,2, FALSE)</f>
        <v>790.14499999999998</v>
      </c>
      <c r="AC31" s="1">
        <f>VLOOKUP(AC7,'Lipid_Params '!$A:$C,2, FALSE)</f>
        <v>790.14499999999998</v>
      </c>
      <c r="AD31" s="1">
        <f>VLOOKUP(AD7,'Lipid_Params '!$A:$C,2, FALSE)</f>
        <v>790.14499999999998</v>
      </c>
      <c r="AE31" s="1">
        <f>VLOOKUP(AE7,'Lipid_Params '!$A:$C,2, FALSE)</f>
        <v>790.14499999999998</v>
      </c>
      <c r="AF31" s="1">
        <f>VLOOKUP(AF7,'Lipid_Params '!$A:$C,2, FALSE)</f>
        <v>790.14499999999998</v>
      </c>
      <c r="AG31" s="1">
        <f>VLOOKUP(AG7,'Lipid_Params '!$A:$C,2, FALSE)</f>
        <v>790.14499999999998</v>
      </c>
      <c r="AH31" s="1">
        <f>VLOOKUP(AH7,'Lipid_Params '!$A:$C,2, FALSE)</f>
        <v>790.14499999999998</v>
      </c>
      <c r="AI31" s="1">
        <f>VLOOKUP(AI7,'Lipid_Params '!$A:$C,2, FALSE)</f>
        <v>790.14499999999998</v>
      </c>
      <c r="AJ31" s="1">
        <f>VLOOKUP(AJ7,'Lipid_Params '!$A:$C,2, FALSE)</f>
        <v>790.14499999999998</v>
      </c>
      <c r="AK31" s="1">
        <f>VLOOKUP(AK7,'Lipid_Params '!$A:$C,2, FALSE)</f>
        <v>790.14499999999998</v>
      </c>
      <c r="AL31" s="1">
        <f>VLOOKUP(AL7,'Lipid_Params '!$A:$C,2, FALSE)</f>
        <v>790.14499999999998</v>
      </c>
      <c r="AM31" s="1">
        <f>VLOOKUP(AM7,'Lipid_Params '!$A:$C,2, FALSE)</f>
        <v>790.14499999999998</v>
      </c>
      <c r="AN31" s="1">
        <f>VLOOKUP(AN7,'Lipid_Params '!$A:$C,2, FALSE)</f>
        <v>790.14499999999998</v>
      </c>
      <c r="AO31" s="1">
        <f>VLOOKUP(AO7,'Lipid_Params '!$A:$C,2, FALSE)</f>
        <v>790.14499999999998</v>
      </c>
      <c r="AP31" s="1">
        <f>VLOOKUP(AP7,'Lipid_Params '!$A:$C,2, FALSE)</f>
        <v>790.14499999999998</v>
      </c>
      <c r="AQ31" s="1">
        <f>VLOOKUP(AQ7,'Lipid_Params '!$A:$C,2, FALSE)</f>
        <v>790.14499999999998</v>
      </c>
      <c r="AR31" s="1">
        <f>VLOOKUP(AR7,'Lipid_Params '!$A:$C,2, FALSE)</f>
        <v>790.14499999999998</v>
      </c>
      <c r="AS31" s="1">
        <f>VLOOKUP(AS7,'Lipid_Params '!$A:$C,2, FALSE)</f>
        <v>790.14499999999998</v>
      </c>
      <c r="AT31" s="1">
        <f>VLOOKUP(AT7,'Lipid_Params '!$A:$C,2, FALSE)</f>
        <v>790.14499999999998</v>
      </c>
      <c r="AU31" s="1">
        <f>VLOOKUP(AU7,'Lipid_Params '!$A:$C,2, FALSE)</f>
        <v>790.14499999999998</v>
      </c>
      <c r="AV31" s="1">
        <f>VLOOKUP(AV7,'Lipid_Params '!$A:$C,2, FALSE)</f>
        <v>790.14499999999998</v>
      </c>
      <c r="AW31" s="1">
        <f>VLOOKUP(AW7,'Lipid_Params '!$A:$C,2, FALSE)</f>
        <v>790.14499999999998</v>
      </c>
      <c r="AX31" s="1">
        <f>VLOOKUP(AX7,'Lipid_Params '!$A:$C,2, FALSE)</f>
        <v>790.14499999999998</v>
      </c>
      <c r="AY31" s="1">
        <f>VLOOKUP(AY7,'Lipid_Params '!$A:$C,2, FALSE)</f>
        <v>790.14499999999998</v>
      </c>
      <c r="AZ31" s="1">
        <f>VLOOKUP(AZ7,'Lipid_Params '!$A:$C,2, FALSE)</f>
        <v>790.14499999999998</v>
      </c>
      <c r="BA31" s="1">
        <f>VLOOKUP(BA7,'Lipid_Params '!$A:$C,2, FALSE)</f>
        <v>790.14499999999998</v>
      </c>
      <c r="BB31" s="1">
        <f>VLOOKUP(BB7,'Lipid_Params '!$A:$C,2, FALSE)</f>
        <v>790.14499999999998</v>
      </c>
      <c r="BC31" s="1">
        <f>VLOOKUP(BC7,'Lipid_Params '!$A:$C,2, FALSE)</f>
        <v>790.14499999999998</v>
      </c>
      <c r="BD31" s="1">
        <f>VLOOKUP(BD7,'Lipid_Params '!$A:$C,2, FALSE)</f>
        <v>790.14499999999998</v>
      </c>
      <c r="BE31" s="1">
        <f>VLOOKUP(BE7,'Lipid_Params '!$A:$C,2, FALSE)</f>
        <v>790.14499999999998</v>
      </c>
      <c r="BF31" s="1">
        <f>VLOOKUP(BF7,'Lipid_Params '!$A:$C,2, FALSE)</f>
        <v>790.14499999999998</v>
      </c>
      <c r="BG31" s="1">
        <f>VLOOKUP(BG7,'Lipid_Params '!$A:$C,2, FALSE)</f>
        <v>790.14499999999998</v>
      </c>
      <c r="BH31" s="1">
        <f>VLOOKUP(BH7,'Lipid_Params '!$A:$C,2, FALSE)</f>
        <v>790.14499999999998</v>
      </c>
      <c r="BI31" s="1">
        <f>VLOOKUP(BI7,'Lipid_Params '!$A:$C,2, FALSE)</f>
        <v>790.14499999999998</v>
      </c>
      <c r="BJ31" s="1">
        <f>VLOOKUP(BJ7,'Lipid_Params '!$A:$C,2, FALSE)</f>
        <v>790.14499999999998</v>
      </c>
      <c r="BK31" s="1">
        <f>VLOOKUP(BK7,'Lipid_Params '!$A:$C,2, FALSE)</f>
        <v>790.14499999999998</v>
      </c>
      <c r="BL31" s="1">
        <f>VLOOKUP(BL7,'Lipid_Params '!$A:$C,2, FALSE)</f>
        <v>790.14499999999998</v>
      </c>
      <c r="BM31" s="1">
        <f>VLOOKUP(BM7,'Lipid_Params '!$A:$C,2, FALSE)</f>
        <v>790.14499999999998</v>
      </c>
      <c r="BN31" s="1">
        <f>VLOOKUP(BN7,'Lipid_Params '!$A:$C,2, FALSE)</f>
        <v>790.14499999999998</v>
      </c>
      <c r="BO31" s="1">
        <f>VLOOKUP(BO7,'Lipid_Params '!$A:$C,2, FALSE)</f>
        <v>790.14499999999998</v>
      </c>
      <c r="BP31" s="1">
        <f>VLOOKUP(BP7,'Lipid_Params '!$A:$C,2, FALSE)</f>
        <v>790.14499999999998</v>
      </c>
      <c r="BQ31" s="1">
        <f>VLOOKUP(BQ7,'Lipid_Params '!$A:$C,2, FALSE)</f>
        <v>790.14499999999998</v>
      </c>
      <c r="BR31" s="1">
        <f>VLOOKUP(BR7,'Lipid_Params '!$A:$C,2, FALSE)</f>
        <v>790.14499999999998</v>
      </c>
      <c r="BS31" s="1">
        <f>VLOOKUP(BS7,'Lipid_Params '!$A:$C,2, FALSE)</f>
        <v>790.14499999999998</v>
      </c>
      <c r="BT31" s="1">
        <f>VLOOKUP(BT7,'Lipid_Params '!$A:$C,2, FALSE)</f>
        <v>790.14499999999998</v>
      </c>
      <c r="BU31" s="1">
        <f>VLOOKUP(BU7,'Lipid_Params '!$A:$C,2, FALSE)</f>
        <v>790.14499999999998</v>
      </c>
      <c r="BV31" s="1">
        <f>VLOOKUP(BV7,'Lipid_Params '!$A:$C,2, FALSE)</f>
        <v>790.14499999999998</v>
      </c>
      <c r="BW31" s="1">
        <f>VLOOKUP(BW7,'Lipid_Params '!$A:$C,2, FALSE)</f>
        <v>790.14499999999998</v>
      </c>
      <c r="BX31" s="1">
        <f>VLOOKUP(BX7,'Lipid_Params '!$A:$C,2, FALSE)</f>
        <v>790.14499999999998</v>
      </c>
      <c r="BY31" s="1">
        <f>VLOOKUP(BY7,'Lipid_Params '!$A:$C,2, FALSE)</f>
        <v>790.14499999999998</v>
      </c>
      <c r="BZ31" s="1">
        <f>VLOOKUP(BZ7,'Lipid_Params '!$A:$C,2, FALSE)</f>
        <v>790.14499999999998</v>
      </c>
      <c r="CA31" s="1">
        <f>VLOOKUP(CA7,'Lipid_Params '!$A:$C,2, FALSE)</f>
        <v>790.14499999999998</v>
      </c>
      <c r="CB31" s="1">
        <f>VLOOKUP(CB7,'Lipid_Params '!$A:$C,2, FALSE)</f>
        <v>790.14499999999998</v>
      </c>
      <c r="CC31" s="1">
        <f>VLOOKUP(CC7,'Lipid_Params '!$A:$C,2, FALSE)</f>
        <v>790.14499999999998</v>
      </c>
      <c r="CD31" s="1">
        <f>VLOOKUP(CD7,'Lipid_Params '!$A:$C,2, FALSE)</f>
        <v>790.14499999999998</v>
      </c>
      <c r="CE31" s="1">
        <f>VLOOKUP(CE7,'Lipid_Params '!$A:$C,2, FALSE)</f>
        <v>790.14499999999998</v>
      </c>
      <c r="CF31" s="1">
        <f>VLOOKUP(CF7,'Lipid_Params '!$A:$C,2, FALSE)</f>
        <v>790.14499999999998</v>
      </c>
      <c r="CG31" s="1">
        <f>VLOOKUP(CG7,'Lipid_Params '!$A:$C,2, FALSE)</f>
        <v>790.14499999999998</v>
      </c>
      <c r="CH31" s="1">
        <f>VLOOKUP(CH7,'Lipid_Params '!$A:$C,2, FALSE)</f>
        <v>790.14499999999998</v>
      </c>
      <c r="CI31" s="1">
        <f>VLOOKUP(CI7,'Lipid_Params '!$A:$C,2, FALSE)</f>
        <v>790.14499999999998</v>
      </c>
      <c r="CJ31" s="1">
        <f>VLOOKUP(CJ7,'Lipid_Params '!$A:$C,2, FALSE)</f>
        <v>790.14499999999998</v>
      </c>
      <c r="CK31" s="1">
        <f>VLOOKUP(CK7,'Lipid_Params '!$A:$C,2, FALSE)</f>
        <v>790.14499999999998</v>
      </c>
      <c r="CL31" s="1">
        <f>VLOOKUP(CL7,'Lipid_Params '!$A:$C,2, FALSE)</f>
        <v>790.14499999999998</v>
      </c>
      <c r="CM31" s="1">
        <f>VLOOKUP(CM7,'Lipid_Params '!$A:$C,2, FALSE)</f>
        <v>790.14499999999998</v>
      </c>
      <c r="CN31" s="1">
        <f>VLOOKUP(CN7,'Lipid_Params '!$A:$C,2, FALSE)</f>
        <v>790.14499999999998</v>
      </c>
      <c r="CO31" s="1">
        <f>VLOOKUP(CO7,'Lipid_Params '!$A:$C,2, FALSE)</f>
        <v>790.14499999999998</v>
      </c>
      <c r="CP31" s="1">
        <f>VLOOKUP(CP7,'Lipid_Params '!$A:$C,2, FALSE)</f>
        <v>790.14499999999998</v>
      </c>
      <c r="CQ31" s="1">
        <f>VLOOKUP(CQ7,'Lipid_Params '!$A:$C,2, FALSE)</f>
        <v>790.14499999999998</v>
      </c>
      <c r="CR31" s="1">
        <f>VLOOKUP(CR7,'Lipid_Params '!$A:$C,2, FALSE)</f>
        <v>790.14499999999998</v>
      </c>
      <c r="CS31" s="1">
        <f>VLOOKUP(CS7,'Lipid_Params '!$A:$C,2, FALSE)</f>
        <v>790.14499999999998</v>
      </c>
      <c r="CT31" s="1">
        <f>VLOOKUP(CT7,'Lipid_Params '!$A:$C,2, FALSE)</f>
        <v>790.14499999999998</v>
      </c>
    </row>
    <row r="32" spans="1:98" ht="15.75" customHeight="1">
      <c r="A32" s="1" t="s">
        <v>63</v>
      </c>
      <c r="B32" s="89" t="s">
        <v>55</v>
      </c>
      <c r="C32" s="72">
        <v>386.654</v>
      </c>
      <c r="D32" s="72">
        <v>386.654</v>
      </c>
      <c r="E32" s="72">
        <v>386.654</v>
      </c>
      <c r="F32" s="72">
        <v>386.654</v>
      </c>
      <c r="G32" s="72">
        <v>386.654</v>
      </c>
      <c r="H32" s="72">
        <v>386.654</v>
      </c>
      <c r="I32" s="72">
        <v>386.654</v>
      </c>
      <c r="J32" s="72">
        <v>386.654</v>
      </c>
      <c r="K32" s="72">
        <v>386.654</v>
      </c>
      <c r="L32" s="72">
        <v>386.654</v>
      </c>
      <c r="M32" s="72">
        <v>386.654</v>
      </c>
      <c r="N32" s="72">
        <v>386.654</v>
      </c>
      <c r="O32" s="72">
        <v>386.654</v>
      </c>
      <c r="P32" s="72">
        <v>386.654</v>
      </c>
      <c r="Q32" s="72">
        <v>386.654</v>
      </c>
      <c r="R32" s="72">
        <v>386.654</v>
      </c>
      <c r="S32" s="72">
        <v>386.654</v>
      </c>
      <c r="T32" s="72">
        <v>386.654</v>
      </c>
      <c r="U32" s="72">
        <v>386.654</v>
      </c>
      <c r="V32" s="72">
        <v>386.654</v>
      </c>
      <c r="W32" s="72">
        <v>386.654</v>
      </c>
      <c r="X32" s="72">
        <v>386.654</v>
      </c>
      <c r="Y32" s="72">
        <v>386.654</v>
      </c>
      <c r="Z32" s="72">
        <v>386.654</v>
      </c>
      <c r="AA32" s="72">
        <v>386.654</v>
      </c>
      <c r="AB32" s="72">
        <v>386.654</v>
      </c>
      <c r="AC32" s="72">
        <v>386.654</v>
      </c>
      <c r="AD32" s="72">
        <v>386.654</v>
      </c>
      <c r="AE32" s="72">
        <v>386.654</v>
      </c>
      <c r="AF32" s="72">
        <v>386.654</v>
      </c>
      <c r="AG32" s="72">
        <v>386.654</v>
      </c>
      <c r="AH32" s="72">
        <v>386.654</v>
      </c>
      <c r="AI32" s="72">
        <v>386.654</v>
      </c>
      <c r="AJ32" s="72">
        <v>386.654</v>
      </c>
      <c r="AK32" s="72">
        <v>386.654</v>
      </c>
      <c r="AL32" s="72">
        <v>386.654</v>
      </c>
      <c r="AM32" s="72">
        <v>386.654</v>
      </c>
      <c r="AN32" s="72">
        <v>386.654</v>
      </c>
      <c r="AO32" s="72">
        <v>386.654</v>
      </c>
      <c r="AP32" s="72">
        <v>386.654</v>
      </c>
      <c r="AQ32" s="72">
        <v>386.654</v>
      </c>
      <c r="AR32" s="72">
        <v>386.654</v>
      </c>
      <c r="AS32" s="72">
        <v>386.654</v>
      </c>
      <c r="AT32" s="72">
        <v>386.654</v>
      </c>
      <c r="AU32" s="72">
        <v>386.654</v>
      </c>
      <c r="AV32" s="72">
        <v>386.654</v>
      </c>
      <c r="AW32" s="72">
        <v>386.654</v>
      </c>
      <c r="AX32" s="72">
        <v>386.654</v>
      </c>
      <c r="AY32" s="72">
        <v>386.654</v>
      </c>
      <c r="AZ32" s="72">
        <v>386.654</v>
      </c>
      <c r="BA32" s="72">
        <v>386.654</v>
      </c>
      <c r="BB32" s="72">
        <v>386.654</v>
      </c>
      <c r="BC32" s="72">
        <v>386.654</v>
      </c>
      <c r="BD32" s="72">
        <v>386.654</v>
      </c>
      <c r="BE32" s="72">
        <v>386.654</v>
      </c>
      <c r="BF32" s="72">
        <v>386.654</v>
      </c>
      <c r="BG32" s="72">
        <v>386.654</v>
      </c>
      <c r="BH32" s="72">
        <v>386.654</v>
      </c>
      <c r="BI32" s="72">
        <v>386.654</v>
      </c>
      <c r="BJ32" s="72">
        <v>386.654</v>
      </c>
      <c r="BK32" s="72">
        <v>386.654</v>
      </c>
      <c r="BL32" s="72">
        <v>386.654</v>
      </c>
      <c r="BM32" s="72">
        <v>386.654</v>
      </c>
      <c r="BN32" s="72">
        <v>386.654</v>
      </c>
      <c r="BO32" s="72">
        <v>386.654</v>
      </c>
      <c r="BP32" s="72">
        <v>386.654</v>
      </c>
      <c r="BQ32" s="72">
        <v>386.654</v>
      </c>
      <c r="BR32" s="72">
        <v>386.654</v>
      </c>
      <c r="BS32" s="72">
        <v>386.654</v>
      </c>
      <c r="BT32" s="72">
        <v>386.654</v>
      </c>
      <c r="BU32" s="72">
        <v>386.654</v>
      </c>
      <c r="BV32" s="72">
        <v>386.654</v>
      </c>
      <c r="BW32" s="72">
        <v>386.654</v>
      </c>
      <c r="BX32" s="72">
        <v>386.654</v>
      </c>
      <c r="BY32" s="72">
        <v>386.654</v>
      </c>
      <c r="BZ32" s="72">
        <v>386.654</v>
      </c>
      <c r="CA32" s="72">
        <v>386.654</v>
      </c>
      <c r="CB32" s="72">
        <v>386.654</v>
      </c>
      <c r="CC32" s="72">
        <v>386.654</v>
      </c>
      <c r="CD32" s="72">
        <v>386.654</v>
      </c>
      <c r="CE32" s="72">
        <v>386.654</v>
      </c>
      <c r="CF32" s="72">
        <v>386.654</v>
      </c>
      <c r="CG32" s="72">
        <v>386.654</v>
      </c>
      <c r="CH32" s="72">
        <v>386.654</v>
      </c>
      <c r="CI32" s="72">
        <v>386.654</v>
      </c>
      <c r="CJ32" s="72">
        <v>386.654</v>
      </c>
      <c r="CK32" s="72">
        <v>386.654</v>
      </c>
      <c r="CL32" s="72">
        <v>386.654</v>
      </c>
      <c r="CM32" s="72">
        <v>386.654</v>
      </c>
      <c r="CN32" s="72">
        <v>386.654</v>
      </c>
      <c r="CO32" s="72">
        <v>386.654</v>
      </c>
      <c r="CP32" s="72">
        <v>386.654</v>
      </c>
      <c r="CQ32" s="72">
        <v>386.654</v>
      </c>
      <c r="CR32" s="72">
        <v>386.654</v>
      </c>
      <c r="CS32" s="72">
        <v>386.654</v>
      </c>
      <c r="CT32" s="72">
        <v>386.654</v>
      </c>
    </row>
    <row r="33" spans="1:98" ht="15.75" customHeight="1">
      <c r="A33" s="1" t="s">
        <v>64</v>
      </c>
      <c r="B33" s="89" t="s">
        <v>55</v>
      </c>
      <c r="C33" s="72">
        <v>2500</v>
      </c>
      <c r="D33" s="72">
        <v>2500</v>
      </c>
      <c r="E33" s="72">
        <v>2500</v>
      </c>
      <c r="F33" s="72">
        <v>2500</v>
      </c>
      <c r="G33" s="72">
        <v>2500</v>
      </c>
      <c r="H33" s="72">
        <v>2500</v>
      </c>
      <c r="I33" s="72">
        <v>2500</v>
      </c>
      <c r="J33" s="72">
        <v>2500</v>
      </c>
      <c r="K33" s="72">
        <v>2500</v>
      </c>
      <c r="L33" s="72">
        <v>2500</v>
      </c>
      <c r="M33" s="72">
        <v>2500</v>
      </c>
      <c r="N33" s="72">
        <v>2500</v>
      </c>
      <c r="O33" s="72">
        <v>2500</v>
      </c>
      <c r="P33" s="72">
        <v>2500</v>
      </c>
      <c r="Q33" s="72">
        <v>2500</v>
      </c>
      <c r="R33" s="72">
        <v>2500</v>
      </c>
      <c r="S33" s="72">
        <v>2500</v>
      </c>
      <c r="T33" s="72">
        <v>2500</v>
      </c>
      <c r="U33" s="72">
        <v>2500</v>
      </c>
      <c r="V33" s="72">
        <v>2500</v>
      </c>
      <c r="W33" s="72">
        <v>2500</v>
      </c>
      <c r="X33" s="72">
        <v>2500</v>
      </c>
      <c r="Y33" s="72">
        <v>2500</v>
      </c>
      <c r="Z33" s="72">
        <v>2500</v>
      </c>
      <c r="AA33" s="72">
        <v>2500</v>
      </c>
      <c r="AB33" s="72">
        <v>2500</v>
      </c>
      <c r="AC33" s="72">
        <v>2500</v>
      </c>
      <c r="AD33" s="72">
        <v>2500</v>
      </c>
      <c r="AE33" s="72">
        <v>2500</v>
      </c>
      <c r="AF33" s="72">
        <v>2500</v>
      </c>
      <c r="AG33" s="72">
        <v>2500</v>
      </c>
      <c r="AH33" s="72">
        <v>2500</v>
      </c>
      <c r="AI33" s="72">
        <v>2500</v>
      </c>
      <c r="AJ33" s="72">
        <v>2500</v>
      </c>
      <c r="AK33" s="72">
        <v>2500</v>
      </c>
      <c r="AL33" s="72">
        <v>2500</v>
      </c>
      <c r="AM33" s="72">
        <v>2500</v>
      </c>
      <c r="AN33" s="72">
        <v>2500</v>
      </c>
      <c r="AO33" s="72">
        <v>2500</v>
      </c>
      <c r="AP33" s="72">
        <v>2500</v>
      </c>
      <c r="AQ33" s="72">
        <v>2500</v>
      </c>
      <c r="AR33" s="72">
        <v>2500</v>
      </c>
      <c r="AS33" s="72">
        <v>2500</v>
      </c>
      <c r="AT33" s="72">
        <v>2500</v>
      </c>
      <c r="AU33" s="72">
        <v>2500</v>
      </c>
      <c r="AV33" s="72">
        <v>2500</v>
      </c>
      <c r="AW33" s="72">
        <v>2500</v>
      </c>
      <c r="AX33" s="72">
        <v>2500</v>
      </c>
      <c r="AY33" s="72">
        <v>2500</v>
      </c>
      <c r="AZ33" s="72">
        <v>2500</v>
      </c>
      <c r="BA33" s="72">
        <v>2500</v>
      </c>
      <c r="BB33" s="72">
        <v>2500</v>
      </c>
      <c r="BC33" s="72">
        <v>2500</v>
      </c>
      <c r="BD33" s="72">
        <v>2500</v>
      </c>
      <c r="BE33" s="72">
        <v>2500</v>
      </c>
      <c r="BF33" s="72">
        <v>2500</v>
      </c>
      <c r="BG33" s="72">
        <v>2500</v>
      </c>
      <c r="BH33" s="72">
        <v>2500</v>
      </c>
      <c r="BI33" s="72">
        <v>2500</v>
      </c>
      <c r="BJ33" s="72">
        <v>2500</v>
      </c>
      <c r="BK33" s="72">
        <v>2500</v>
      </c>
      <c r="BL33" s="72">
        <v>2500</v>
      </c>
      <c r="BM33" s="72">
        <v>2500</v>
      </c>
      <c r="BN33" s="72">
        <v>2500</v>
      </c>
      <c r="BO33" s="72">
        <v>2500</v>
      </c>
      <c r="BP33" s="72">
        <v>2500</v>
      </c>
      <c r="BQ33" s="72">
        <v>2500</v>
      </c>
      <c r="BR33" s="72">
        <v>2500</v>
      </c>
      <c r="BS33" s="72">
        <v>2500</v>
      </c>
      <c r="BT33" s="72">
        <v>2500</v>
      </c>
      <c r="BU33" s="72">
        <v>2500</v>
      </c>
      <c r="BV33" s="72">
        <v>2500</v>
      </c>
      <c r="BW33" s="72">
        <v>2500</v>
      </c>
      <c r="BX33" s="72">
        <v>2500</v>
      </c>
      <c r="BY33" s="72">
        <v>2500</v>
      </c>
      <c r="BZ33" s="72">
        <v>2500</v>
      </c>
      <c r="CA33" s="72">
        <v>2500</v>
      </c>
      <c r="CB33" s="72">
        <v>2500</v>
      </c>
      <c r="CC33" s="72">
        <v>2500</v>
      </c>
      <c r="CD33" s="72">
        <v>2500</v>
      </c>
      <c r="CE33" s="72">
        <v>2500</v>
      </c>
      <c r="CF33" s="72">
        <v>2500</v>
      </c>
      <c r="CG33" s="72">
        <v>2500</v>
      </c>
      <c r="CH33" s="72">
        <v>2500</v>
      </c>
      <c r="CI33" s="72">
        <v>2500</v>
      </c>
      <c r="CJ33" s="72">
        <v>2500</v>
      </c>
      <c r="CK33" s="72">
        <v>2500</v>
      </c>
      <c r="CL33" s="72">
        <v>2500</v>
      </c>
      <c r="CM33" s="72">
        <v>2500</v>
      </c>
      <c r="CN33" s="72">
        <v>2500</v>
      </c>
      <c r="CO33" s="72">
        <v>2500</v>
      </c>
      <c r="CP33" s="72">
        <v>2500</v>
      </c>
      <c r="CQ33" s="72">
        <v>2500</v>
      </c>
      <c r="CR33" s="72">
        <v>2500</v>
      </c>
      <c r="CS33" s="72">
        <v>2500</v>
      </c>
      <c r="CT33" s="72">
        <v>2500</v>
      </c>
    </row>
    <row r="34" spans="1:98" ht="15.75" customHeight="1">
      <c r="A34" s="1" t="s">
        <v>65</v>
      </c>
      <c r="B34" s="89" t="s">
        <v>66</v>
      </c>
      <c r="C34" s="72">
        <v>3</v>
      </c>
      <c r="D34" s="72">
        <v>3</v>
      </c>
      <c r="E34" s="72">
        <v>3</v>
      </c>
      <c r="F34" s="72">
        <v>3</v>
      </c>
      <c r="G34" s="72">
        <v>3</v>
      </c>
      <c r="H34" s="72">
        <v>3</v>
      </c>
      <c r="I34" s="72">
        <v>3</v>
      </c>
      <c r="J34" s="72">
        <v>3</v>
      </c>
      <c r="K34" s="72">
        <v>3</v>
      </c>
      <c r="L34" s="72">
        <v>3</v>
      </c>
      <c r="M34" s="72">
        <v>3</v>
      </c>
      <c r="N34" s="72">
        <v>3</v>
      </c>
      <c r="O34" s="72">
        <v>3</v>
      </c>
      <c r="P34" s="72">
        <v>3</v>
      </c>
      <c r="Q34" s="72">
        <v>3</v>
      </c>
      <c r="R34" s="72">
        <v>3</v>
      </c>
      <c r="S34" s="72">
        <v>3</v>
      </c>
      <c r="T34" s="72">
        <v>3</v>
      </c>
      <c r="U34" s="72">
        <v>3</v>
      </c>
      <c r="V34" s="72">
        <v>3</v>
      </c>
      <c r="W34" s="72">
        <v>3</v>
      </c>
      <c r="X34" s="72">
        <v>3</v>
      </c>
      <c r="Y34" s="72">
        <v>3</v>
      </c>
      <c r="Z34" s="72">
        <v>3</v>
      </c>
      <c r="AA34" s="72">
        <v>3</v>
      </c>
      <c r="AB34" s="72">
        <v>3</v>
      </c>
      <c r="AC34" s="72">
        <v>3</v>
      </c>
      <c r="AD34" s="72">
        <v>3</v>
      </c>
      <c r="AE34" s="72">
        <v>3</v>
      </c>
      <c r="AF34" s="72">
        <v>3</v>
      </c>
      <c r="AG34" s="72">
        <v>3</v>
      </c>
      <c r="AH34" s="72">
        <v>3</v>
      </c>
      <c r="AI34" s="72">
        <v>3</v>
      </c>
      <c r="AJ34" s="72">
        <v>3</v>
      </c>
      <c r="AK34" s="72">
        <v>3</v>
      </c>
      <c r="AL34" s="72">
        <v>3</v>
      </c>
      <c r="AM34" s="72">
        <v>3</v>
      </c>
      <c r="AN34" s="72">
        <v>3</v>
      </c>
      <c r="AO34" s="72">
        <v>3</v>
      </c>
      <c r="AP34" s="72">
        <v>3</v>
      </c>
      <c r="AQ34" s="72">
        <v>3</v>
      </c>
      <c r="AR34" s="72">
        <v>3</v>
      </c>
      <c r="AS34" s="72">
        <v>3</v>
      </c>
      <c r="AT34" s="72">
        <v>3</v>
      </c>
      <c r="AU34" s="72">
        <v>3</v>
      </c>
      <c r="AV34" s="72">
        <v>3</v>
      </c>
      <c r="AW34" s="72">
        <v>3</v>
      </c>
      <c r="AX34" s="72">
        <v>3</v>
      </c>
      <c r="AY34" s="72">
        <v>3</v>
      </c>
      <c r="AZ34" s="72">
        <v>3</v>
      </c>
      <c r="BA34" s="72">
        <v>3</v>
      </c>
      <c r="BB34" s="72">
        <v>3</v>
      </c>
      <c r="BC34" s="72">
        <v>3</v>
      </c>
      <c r="BD34" s="72">
        <v>3</v>
      </c>
      <c r="BE34" s="72">
        <v>3</v>
      </c>
      <c r="BF34" s="72">
        <v>3</v>
      </c>
      <c r="BG34" s="72">
        <v>3</v>
      </c>
      <c r="BH34" s="72">
        <v>3</v>
      </c>
      <c r="BI34" s="72">
        <v>3</v>
      </c>
      <c r="BJ34" s="72">
        <v>3</v>
      </c>
      <c r="BK34" s="72">
        <v>3</v>
      </c>
      <c r="BL34" s="72">
        <v>3</v>
      </c>
      <c r="BM34" s="72">
        <v>3</v>
      </c>
      <c r="BN34" s="72">
        <v>3</v>
      </c>
      <c r="BO34" s="72">
        <v>3</v>
      </c>
      <c r="BP34" s="72">
        <v>3</v>
      </c>
      <c r="BQ34" s="72">
        <v>3</v>
      </c>
      <c r="BR34" s="72">
        <v>3</v>
      </c>
      <c r="BS34" s="72">
        <v>3</v>
      </c>
      <c r="BT34" s="72">
        <v>3</v>
      </c>
      <c r="BU34" s="72">
        <v>3</v>
      </c>
      <c r="BV34" s="72">
        <v>3</v>
      </c>
      <c r="BW34" s="72">
        <v>3</v>
      </c>
      <c r="BX34" s="72">
        <v>3</v>
      </c>
      <c r="BY34" s="72">
        <v>3</v>
      </c>
      <c r="BZ34" s="72">
        <v>3</v>
      </c>
      <c r="CA34" s="72">
        <v>3</v>
      </c>
      <c r="CB34" s="72">
        <v>3</v>
      </c>
      <c r="CC34" s="72">
        <v>3</v>
      </c>
      <c r="CD34" s="72">
        <v>3</v>
      </c>
      <c r="CE34" s="72">
        <v>3</v>
      </c>
      <c r="CF34" s="72">
        <v>3</v>
      </c>
      <c r="CG34" s="72">
        <v>3</v>
      </c>
      <c r="CH34" s="72">
        <v>3</v>
      </c>
      <c r="CI34" s="72">
        <v>3</v>
      </c>
      <c r="CJ34" s="72">
        <v>3</v>
      </c>
      <c r="CK34" s="72">
        <v>3</v>
      </c>
      <c r="CL34" s="72">
        <v>3</v>
      </c>
      <c r="CM34" s="72">
        <v>3</v>
      </c>
      <c r="CN34" s="72">
        <v>3</v>
      </c>
      <c r="CO34" s="72">
        <v>3</v>
      </c>
      <c r="CP34" s="72">
        <v>3</v>
      </c>
      <c r="CQ34" s="72">
        <v>3</v>
      </c>
      <c r="CR34" s="72">
        <v>3</v>
      </c>
      <c r="CS34" s="72">
        <v>3</v>
      </c>
      <c r="CT34" s="72">
        <v>3</v>
      </c>
    </row>
    <row r="35" spans="1:98" ht="15.75" customHeight="1">
      <c r="A35" s="1" t="s">
        <v>67</v>
      </c>
      <c r="B35" s="89" t="s">
        <v>53</v>
      </c>
      <c r="C35" s="1">
        <f>VLOOKUP(C6,'Lipid_Params '!$A:$C,3, FALSE)</f>
        <v>1</v>
      </c>
      <c r="D35" s="1">
        <f>VLOOKUP(D6,'Lipid_Params '!$A:$C,3, FALSE)</f>
        <v>1</v>
      </c>
      <c r="E35" s="1">
        <f>VLOOKUP(E6,'Lipid_Params '!$A:$C,3, FALSE)</f>
        <v>1</v>
      </c>
      <c r="F35" s="1">
        <f>VLOOKUP(F6,'Lipid_Params '!$A:$C,3, FALSE)</f>
        <v>1</v>
      </c>
      <c r="G35" s="1">
        <f>VLOOKUP(G6,'Lipid_Params '!$A:$C,3, FALSE)</f>
        <v>1</v>
      </c>
      <c r="H35" s="1">
        <f>VLOOKUP(H6,'Lipid_Params '!$A:$C,3, FALSE)</f>
        <v>1</v>
      </c>
      <c r="I35" s="1">
        <f>VLOOKUP(I6,'Lipid_Params '!$A:$C,3, FALSE)</f>
        <v>1</v>
      </c>
      <c r="J35" s="1">
        <f>VLOOKUP(J6,'Lipid_Params '!$A:$C,3, FALSE)</f>
        <v>1</v>
      </c>
      <c r="K35" s="1">
        <f>VLOOKUP(K6,'Lipid_Params '!$A:$C,3, FALSE)</f>
        <v>1</v>
      </c>
      <c r="L35" s="1">
        <f>VLOOKUP(L6,'Lipid_Params '!$A:$C,3, FALSE)</f>
        <v>1</v>
      </c>
      <c r="M35" s="1">
        <f>VLOOKUP(M6,'Lipid_Params '!$A:$C,3, FALSE)</f>
        <v>1</v>
      </c>
      <c r="N35" s="1">
        <f>VLOOKUP(N6,'Lipid_Params '!$A:$C,3, FALSE)</f>
        <v>1</v>
      </c>
      <c r="O35" s="1">
        <f>VLOOKUP(O6,'Lipid_Params '!$A:$C,3, FALSE)</f>
        <v>1</v>
      </c>
      <c r="P35" s="1">
        <f>VLOOKUP(P6,'Lipid_Params '!$A:$C,3, FALSE)</f>
        <v>1</v>
      </c>
      <c r="Q35" s="1">
        <f>VLOOKUP(Q6,'Lipid_Params '!$A:$C,3, FALSE)</f>
        <v>1</v>
      </c>
      <c r="R35" s="1">
        <f>VLOOKUP(R6,'Lipid_Params '!$A:$C,3, FALSE)</f>
        <v>1</v>
      </c>
      <c r="S35" s="1">
        <f>VLOOKUP(S6,'Lipid_Params '!$A:$C,3, FALSE)</f>
        <v>1</v>
      </c>
      <c r="T35" s="1">
        <f>VLOOKUP(T6,'Lipid_Params '!$A:$C,3, FALSE)</f>
        <v>1</v>
      </c>
      <c r="U35" s="1">
        <f>VLOOKUP(U6,'Lipid_Params '!$A:$C,3, FALSE)</f>
        <v>1</v>
      </c>
      <c r="V35" s="1">
        <f>VLOOKUP(V6,'Lipid_Params '!$A:$C,3, FALSE)</f>
        <v>1</v>
      </c>
      <c r="W35" s="1">
        <f>VLOOKUP(W6,'Lipid_Params '!$A:$C,3, FALSE)</f>
        <v>1</v>
      </c>
      <c r="X35" s="1">
        <f>VLOOKUP(X6,'Lipid_Params '!$A:$C,3, FALSE)</f>
        <v>1</v>
      </c>
      <c r="Y35" s="1">
        <f>VLOOKUP(Y6,'Lipid_Params '!$A:$C,3, FALSE)</f>
        <v>1</v>
      </c>
      <c r="Z35" s="1">
        <f>VLOOKUP(Z6,'Lipid_Params '!$A:$C,3, FALSE)</f>
        <v>1</v>
      </c>
      <c r="AA35" s="1">
        <f>VLOOKUP(AA6,'Lipid_Params '!$A:$C,3, FALSE)</f>
        <v>1</v>
      </c>
      <c r="AB35" s="1">
        <f>VLOOKUP(AB6,'Lipid_Params '!$A:$C,3, FALSE)</f>
        <v>1</v>
      </c>
      <c r="AC35" s="1">
        <f>VLOOKUP(AC6,'Lipid_Params '!$A:$C,3, FALSE)</f>
        <v>1</v>
      </c>
      <c r="AD35" s="1">
        <f>VLOOKUP(AD6,'Lipid_Params '!$A:$C,3, FALSE)</f>
        <v>1</v>
      </c>
      <c r="AE35" s="1">
        <f>VLOOKUP(AE6,'Lipid_Params '!$A:$C,3, FALSE)</f>
        <v>1</v>
      </c>
      <c r="AF35" s="1">
        <f>VLOOKUP(AF6,'Lipid_Params '!$A:$C,3, FALSE)</f>
        <v>1</v>
      </c>
      <c r="AG35" s="1">
        <f>VLOOKUP(AG6,'Lipid_Params '!$A:$C,3, FALSE)</f>
        <v>1</v>
      </c>
      <c r="AH35" s="1">
        <f>VLOOKUP(AH6,'Lipid_Params '!$A:$C,3, FALSE)</f>
        <v>1</v>
      </c>
      <c r="AI35" s="1">
        <f>VLOOKUP(AI6,'Lipid_Params '!$A:$C,3, FALSE)</f>
        <v>1</v>
      </c>
      <c r="AJ35" s="1">
        <f>VLOOKUP(AJ6,'Lipid_Params '!$A:$C,3, FALSE)</f>
        <v>1</v>
      </c>
      <c r="AK35" s="1">
        <f>VLOOKUP(AK6,'Lipid_Params '!$A:$C,3, FALSE)</f>
        <v>1</v>
      </c>
      <c r="AL35" s="1">
        <f>VLOOKUP(AL6,'Lipid_Params '!$A:$C,3, FALSE)</f>
        <v>1</v>
      </c>
      <c r="AM35" s="1">
        <f>VLOOKUP(AM6,'Lipid_Params '!$A:$C,3, FALSE)</f>
        <v>1</v>
      </c>
      <c r="AN35" s="1">
        <f>VLOOKUP(AN6,'Lipid_Params '!$A:$C,3, FALSE)</f>
        <v>1</v>
      </c>
      <c r="AO35" s="1">
        <f>VLOOKUP(AO6,'Lipid_Params '!$A:$C,3, FALSE)</f>
        <v>1</v>
      </c>
      <c r="AP35" s="1">
        <f>VLOOKUP(AP6,'Lipid_Params '!$A:$C,3, FALSE)</f>
        <v>1</v>
      </c>
      <c r="AQ35" s="1">
        <f>VLOOKUP(AQ6,'Lipid_Params '!$A:$C,3, FALSE)</f>
        <v>1</v>
      </c>
      <c r="AR35" s="1">
        <f>VLOOKUP(AR6,'Lipid_Params '!$A:$C,3, FALSE)</f>
        <v>1</v>
      </c>
      <c r="AS35" s="1">
        <f>VLOOKUP(AS6,'Lipid_Params '!$A:$C,3, FALSE)</f>
        <v>1</v>
      </c>
      <c r="AT35" s="1">
        <f>VLOOKUP(AT6,'Lipid_Params '!$A:$C,3, FALSE)</f>
        <v>1</v>
      </c>
      <c r="AU35" s="1">
        <f>VLOOKUP(AU6,'Lipid_Params '!$A:$C,3, FALSE)</f>
        <v>1</v>
      </c>
      <c r="AV35" s="1">
        <f>VLOOKUP(AV6,'Lipid_Params '!$A:$C,3, FALSE)</f>
        <v>1</v>
      </c>
      <c r="AW35" s="1">
        <f>VLOOKUP(AW6,'Lipid_Params '!$A:$C,3, FALSE)</f>
        <v>1</v>
      </c>
      <c r="AX35" s="1">
        <f>VLOOKUP(AX6,'Lipid_Params '!$A:$C,3, FALSE)</f>
        <v>1</v>
      </c>
      <c r="AY35" s="1">
        <f>VLOOKUP(AY6,'Lipid_Params '!$A:$C,3, FALSE)</f>
        <v>1</v>
      </c>
      <c r="AZ35" s="1">
        <f>VLOOKUP(AZ6,'Lipid_Params '!$A:$C,3, FALSE)</f>
        <v>1</v>
      </c>
      <c r="BA35" s="1">
        <f>VLOOKUP(BA6,'Lipid_Params '!$A:$C,3, FALSE)</f>
        <v>1</v>
      </c>
      <c r="BB35" s="1">
        <f>VLOOKUP(BB6,'Lipid_Params '!$A:$C,3, FALSE)</f>
        <v>1</v>
      </c>
      <c r="BC35" s="1">
        <f>VLOOKUP(BC6,'Lipid_Params '!$A:$C,3, FALSE)</f>
        <v>1</v>
      </c>
      <c r="BD35" s="1">
        <f>VLOOKUP(BD6,'Lipid_Params '!$A:$C,3, FALSE)</f>
        <v>1</v>
      </c>
      <c r="BE35" s="1">
        <f>VLOOKUP(BE6,'Lipid_Params '!$A:$C,3, FALSE)</f>
        <v>1</v>
      </c>
      <c r="BF35" s="1">
        <f>VLOOKUP(BF6,'Lipid_Params '!$A:$C,3, FALSE)</f>
        <v>1</v>
      </c>
      <c r="BG35" s="1">
        <f>VLOOKUP(BG6,'Lipid_Params '!$A:$C,3, FALSE)</f>
        <v>1</v>
      </c>
      <c r="BH35" s="1">
        <f>VLOOKUP(BH6,'Lipid_Params '!$A:$C,3, FALSE)</f>
        <v>1</v>
      </c>
      <c r="BI35" s="1">
        <f>VLOOKUP(BI6,'Lipid_Params '!$A:$C,3, FALSE)</f>
        <v>1</v>
      </c>
      <c r="BJ35" s="1">
        <f>VLOOKUP(BJ6,'Lipid_Params '!$A:$C,3, FALSE)</f>
        <v>1</v>
      </c>
      <c r="BK35" s="1">
        <f>VLOOKUP(BK6,'Lipid_Params '!$A:$C,3, FALSE)</f>
        <v>1</v>
      </c>
      <c r="BL35" s="1">
        <f>VLOOKUP(BL6,'Lipid_Params '!$A:$C,3, FALSE)</f>
        <v>1</v>
      </c>
      <c r="BM35" s="1">
        <f>VLOOKUP(BM6,'Lipid_Params '!$A:$C,3, FALSE)</f>
        <v>1</v>
      </c>
      <c r="BN35" s="1">
        <f>VLOOKUP(BN6,'Lipid_Params '!$A:$C,3, FALSE)</f>
        <v>1</v>
      </c>
      <c r="BO35" s="1">
        <f>VLOOKUP(BO6,'Lipid_Params '!$A:$C,3, FALSE)</f>
        <v>1</v>
      </c>
      <c r="BP35" s="1">
        <f>VLOOKUP(BP6,'Lipid_Params '!$A:$C,3, FALSE)</f>
        <v>1</v>
      </c>
      <c r="BQ35" s="1">
        <f>VLOOKUP(BQ6,'Lipid_Params '!$A:$C,3, FALSE)</f>
        <v>1</v>
      </c>
      <c r="BR35" s="1">
        <f>VLOOKUP(BR6,'Lipid_Params '!$A:$C,3, FALSE)</f>
        <v>1</v>
      </c>
      <c r="BS35" s="1">
        <f>VLOOKUP(BS6,'Lipid_Params '!$A:$C,3, FALSE)</f>
        <v>1</v>
      </c>
      <c r="BT35" s="1">
        <f>VLOOKUP(BT6,'Lipid_Params '!$A:$C,3, FALSE)</f>
        <v>1</v>
      </c>
      <c r="BU35" s="1">
        <f>VLOOKUP(BU6,'Lipid_Params '!$A:$C,3, FALSE)</f>
        <v>1</v>
      </c>
      <c r="BV35" s="1">
        <f>VLOOKUP(BV6,'Lipid_Params '!$A:$C,3, FALSE)</f>
        <v>1</v>
      </c>
      <c r="BW35" s="1">
        <f>VLOOKUP(BW6,'Lipid_Params '!$A:$C,3, FALSE)</f>
        <v>1</v>
      </c>
      <c r="BX35" s="1">
        <f>VLOOKUP(BX6,'Lipid_Params '!$A:$C,3, FALSE)</f>
        <v>1</v>
      </c>
      <c r="BY35" s="1">
        <f>VLOOKUP(BY6,'Lipid_Params '!$A:$C,3, FALSE)</f>
        <v>1</v>
      </c>
      <c r="BZ35" s="1">
        <f>VLOOKUP(BZ6,'Lipid_Params '!$A:$C,3, FALSE)</f>
        <v>1</v>
      </c>
      <c r="CA35" s="1">
        <f>VLOOKUP(CA6,'Lipid_Params '!$A:$C,3, FALSE)</f>
        <v>1</v>
      </c>
      <c r="CB35" s="1">
        <f>VLOOKUP(CB6,'Lipid_Params '!$A:$C,3, FALSE)</f>
        <v>1</v>
      </c>
      <c r="CC35" s="1">
        <f>VLOOKUP(CC6,'Lipid_Params '!$A:$C,3, FALSE)</f>
        <v>1</v>
      </c>
      <c r="CD35" s="1">
        <f>VLOOKUP(CD6,'Lipid_Params '!$A:$C,3, FALSE)</f>
        <v>1</v>
      </c>
      <c r="CE35" s="1">
        <f>VLOOKUP(CE6,'Lipid_Params '!$A:$C,3, FALSE)</f>
        <v>1</v>
      </c>
      <c r="CF35" s="1">
        <f>VLOOKUP(CF6,'Lipid_Params '!$A:$C,3, FALSE)</f>
        <v>1</v>
      </c>
      <c r="CG35" s="1">
        <f>VLOOKUP(CG6,'Lipid_Params '!$A:$C,3, FALSE)</f>
        <v>1</v>
      </c>
      <c r="CH35" s="1">
        <f>VLOOKUP(CH6,'Lipid_Params '!$A:$C,3, FALSE)</f>
        <v>1</v>
      </c>
      <c r="CI35" s="1">
        <f>VLOOKUP(CI6,'Lipid_Params '!$A:$C,3, FALSE)</f>
        <v>1</v>
      </c>
      <c r="CJ35" s="1">
        <f>VLOOKUP(CJ6,'Lipid_Params '!$A:$C,3, FALSE)</f>
        <v>1</v>
      </c>
      <c r="CK35" s="1">
        <f>VLOOKUP(CK6,'Lipid_Params '!$A:$C,3, FALSE)</f>
        <v>1</v>
      </c>
      <c r="CL35" s="1">
        <f>VLOOKUP(CL6,'Lipid_Params '!$A:$C,3, FALSE)</f>
        <v>1</v>
      </c>
      <c r="CM35" s="1">
        <f>VLOOKUP(CM6,'Lipid_Params '!$A:$C,3, FALSE)</f>
        <v>1</v>
      </c>
      <c r="CN35" s="1">
        <f>VLOOKUP(CN6,'Lipid_Params '!$A:$C,3, FALSE)</f>
        <v>1</v>
      </c>
      <c r="CO35" s="1">
        <f>VLOOKUP(CO6,'Lipid_Params '!$A:$C,3, FALSE)</f>
        <v>1</v>
      </c>
      <c r="CP35" s="1">
        <f>VLOOKUP(CP6,'Lipid_Params '!$A:$C,3, FALSE)</f>
        <v>1</v>
      </c>
      <c r="CQ35" s="1">
        <f>VLOOKUP(CQ6,'Lipid_Params '!$A:$C,3, FALSE)</f>
        <v>1</v>
      </c>
      <c r="CR35" s="1">
        <f>VLOOKUP(CR6,'Lipid_Params '!$A:$C,3, FALSE)</f>
        <v>1</v>
      </c>
      <c r="CS35" s="1">
        <f>VLOOKUP(CS6,'Lipid_Params '!$A:$C,3, FALSE)</f>
        <v>1</v>
      </c>
      <c r="CT35" s="1">
        <f>VLOOKUP(CT6,'Lipid_Params '!$A:$C,3, FALSE)</f>
        <v>1</v>
      </c>
    </row>
    <row r="36" spans="1:98" ht="15.75" customHeight="1">
      <c r="A36" s="26" t="s">
        <v>68</v>
      </c>
      <c r="B36" s="89" t="s">
        <v>53</v>
      </c>
      <c r="C36" s="1">
        <f>VLOOKUP(C7,'Lipid_Params '!$A:$C,3, FALSE)</f>
        <v>1</v>
      </c>
      <c r="D36" s="1">
        <f>VLOOKUP(D7,'Lipid_Params '!$A:$C,3, FALSE)</f>
        <v>1</v>
      </c>
      <c r="E36" s="1">
        <f>VLOOKUP(E7,'Lipid_Params '!$A:$C,3, FALSE)</f>
        <v>1</v>
      </c>
      <c r="F36" s="1">
        <f>VLOOKUP(F7,'Lipid_Params '!$A:$C,3, FALSE)</f>
        <v>1</v>
      </c>
      <c r="G36" s="1">
        <f>VLOOKUP(G7,'Lipid_Params '!$A:$C,3, FALSE)</f>
        <v>1</v>
      </c>
      <c r="H36" s="1">
        <f>VLOOKUP(H7,'Lipid_Params '!$A:$C,3, FALSE)</f>
        <v>1</v>
      </c>
      <c r="I36" s="1">
        <f>VLOOKUP(I7,'Lipid_Params '!$A:$C,3, FALSE)</f>
        <v>1</v>
      </c>
      <c r="J36" s="1">
        <f>VLOOKUP(J7,'Lipid_Params '!$A:$C,3, FALSE)</f>
        <v>1</v>
      </c>
      <c r="K36" s="1">
        <f>VLOOKUP(K7,'Lipid_Params '!$A:$C,3, FALSE)</f>
        <v>1</v>
      </c>
      <c r="L36" s="1">
        <f>VLOOKUP(L7,'Lipid_Params '!$A:$C,3, FALSE)</f>
        <v>1</v>
      </c>
      <c r="M36" s="1">
        <f>VLOOKUP(M7,'Lipid_Params '!$A:$C,3, FALSE)</f>
        <v>1</v>
      </c>
      <c r="N36" s="1">
        <f>VLOOKUP(N7,'Lipid_Params '!$A:$C,3, FALSE)</f>
        <v>1</v>
      </c>
      <c r="O36" s="1">
        <f>VLOOKUP(O7,'Lipid_Params '!$A:$C,3, FALSE)</f>
        <v>1</v>
      </c>
      <c r="P36" s="1">
        <f>VLOOKUP(P7,'Lipid_Params '!$A:$C,3, FALSE)</f>
        <v>1</v>
      </c>
      <c r="Q36" s="1">
        <f>VLOOKUP(Q7,'Lipid_Params '!$A:$C,3, FALSE)</f>
        <v>1</v>
      </c>
      <c r="R36" s="1">
        <f>VLOOKUP(R7,'Lipid_Params '!$A:$C,3, FALSE)</f>
        <v>1</v>
      </c>
      <c r="S36" s="1">
        <f>VLOOKUP(S7,'Lipid_Params '!$A:$C,3, FALSE)</f>
        <v>1</v>
      </c>
      <c r="T36" s="1">
        <f>VLOOKUP(T7,'Lipid_Params '!$A:$C,3, FALSE)</f>
        <v>1</v>
      </c>
      <c r="U36" s="1">
        <f>VLOOKUP(U7,'Lipid_Params '!$A:$C,3, FALSE)</f>
        <v>1</v>
      </c>
      <c r="V36" s="1">
        <f>VLOOKUP(V7,'Lipid_Params '!$A:$C,3, FALSE)</f>
        <v>1</v>
      </c>
      <c r="W36" s="1">
        <f>VLOOKUP(W7,'Lipid_Params '!$A:$C,3, FALSE)</f>
        <v>1</v>
      </c>
      <c r="X36" s="1">
        <f>VLOOKUP(X7,'Lipid_Params '!$A:$C,3, FALSE)</f>
        <v>1</v>
      </c>
      <c r="Y36" s="1">
        <f>VLOOKUP(Y7,'Lipid_Params '!$A:$C,3, FALSE)</f>
        <v>1</v>
      </c>
      <c r="Z36" s="1">
        <f>VLOOKUP(Z7,'Lipid_Params '!$A:$C,3, FALSE)</f>
        <v>1</v>
      </c>
      <c r="AA36" s="1">
        <f>VLOOKUP(AA7,'Lipid_Params '!$A:$C,3, FALSE)</f>
        <v>1</v>
      </c>
      <c r="AB36" s="1">
        <f>VLOOKUP(AB7,'Lipid_Params '!$A:$C,3, FALSE)</f>
        <v>1</v>
      </c>
      <c r="AC36" s="1">
        <f>VLOOKUP(AC7,'Lipid_Params '!$A:$C,3, FALSE)</f>
        <v>1</v>
      </c>
      <c r="AD36" s="1">
        <f>VLOOKUP(AD7,'Lipid_Params '!$A:$C,3, FALSE)</f>
        <v>1</v>
      </c>
      <c r="AE36" s="1">
        <f>VLOOKUP(AE7,'Lipid_Params '!$A:$C,3, FALSE)</f>
        <v>1</v>
      </c>
      <c r="AF36" s="1">
        <f>VLOOKUP(AF7,'Lipid_Params '!$A:$C,3, FALSE)</f>
        <v>1</v>
      </c>
      <c r="AG36" s="1">
        <f>VLOOKUP(AG7,'Lipid_Params '!$A:$C,3, FALSE)</f>
        <v>1</v>
      </c>
      <c r="AH36" s="1">
        <f>VLOOKUP(AH7,'Lipid_Params '!$A:$C,3, FALSE)</f>
        <v>1</v>
      </c>
      <c r="AI36" s="1">
        <f>VLOOKUP(AI7,'Lipid_Params '!$A:$C,3, FALSE)</f>
        <v>1</v>
      </c>
      <c r="AJ36" s="1">
        <f>VLOOKUP(AJ7,'Lipid_Params '!$A:$C,3, FALSE)</f>
        <v>1</v>
      </c>
      <c r="AK36" s="1">
        <f>VLOOKUP(AK7,'Lipid_Params '!$A:$C,3, FALSE)</f>
        <v>1</v>
      </c>
      <c r="AL36" s="1">
        <f>VLOOKUP(AL7,'Lipid_Params '!$A:$C,3, FALSE)</f>
        <v>1</v>
      </c>
      <c r="AM36" s="1">
        <f>VLOOKUP(AM7,'Lipid_Params '!$A:$C,3, FALSE)</f>
        <v>1</v>
      </c>
      <c r="AN36" s="1">
        <f>VLOOKUP(AN7,'Lipid_Params '!$A:$C,3, FALSE)</f>
        <v>1</v>
      </c>
      <c r="AO36" s="1">
        <f>VLOOKUP(AO7,'Lipid_Params '!$A:$C,3, FALSE)</f>
        <v>1</v>
      </c>
      <c r="AP36" s="1">
        <f>VLOOKUP(AP7,'Lipid_Params '!$A:$C,3, FALSE)</f>
        <v>1</v>
      </c>
      <c r="AQ36" s="1">
        <f>VLOOKUP(AQ7,'Lipid_Params '!$A:$C,3, FALSE)</f>
        <v>1</v>
      </c>
      <c r="AR36" s="1">
        <f>VLOOKUP(AR7,'Lipid_Params '!$A:$C,3, FALSE)</f>
        <v>1</v>
      </c>
      <c r="AS36" s="1">
        <f>VLOOKUP(AS7,'Lipid_Params '!$A:$C,3, FALSE)</f>
        <v>1</v>
      </c>
      <c r="AT36" s="1">
        <f>VLOOKUP(AT7,'Lipid_Params '!$A:$C,3, FALSE)</f>
        <v>1</v>
      </c>
      <c r="AU36" s="1">
        <f>VLOOKUP(AU7,'Lipid_Params '!$A:$C,3, FALSE)</f>
        <v>1</v>
      </c>
      <c r="AV36" s="1">
        <f>VLOOKUP(AV7,'Lipid_Params '!$A:$C,3, FALSE)</f>
        <v>1</v>
      </c>
      <c r="AW36" s="1">
        <f>VLOOKUP(AW7,'Lipid_Params '!$A:$C,3, FALSE)</f>
        <v>1</v>
      </c>
      <c r="AX36" s="1">
        <f>VLOOKUP(AX7,'Lipid_Params '!$A:$C,3, FALSE)</f>
        <v>1</v>
      </c>
      <c r="AY36" s="1">
        <f>VLOOKUP(AY7,'Lipid_Params '!$A:$C,3, FALSE)</f>
        <v>1</v>
      </c>
      <c r="AZ36" s="1">
        <f>VLOOKUP(AZ7,'Lipid_Params '!$A:$C,3, FALSE)</f>
        <v>1</v>
      </c>
      <c r="BA36" s="1">
        <f>VLOOKUP(BA7,'Lipid_Params '!$A:$C,3, FALSE)</f>
        <v>1</v>
      </c>
      <c r="BB36" s="1">
        <f>VLOOKUP(BB7,'Lipid_Params '!$A:$C,3, FALSE)</f>
        <v>1</v>
      </c>
      <c r="BC36" s="1">
        <f>VLOOKUP(BC7,'Lipid_Params '!$A:$C,3, FALSE)</f>
        <v>1</v>
      </c>
      <c r="BD36" s="1">
        <f>VLOOKUP(BD7,'Lipid_Params '!$A:$C,3, FALSE)</f>
        <v>1</v>
      </c>
      <c r="BE36" s="1">
        <f>VLOOKUP(BE7,'Lipid_Params '!$A:$C,3, FALSE)</f>
        <v>1</v>
      </c>
      <c r="BF36" s="1">
        <f>VLOOKUP(BF7,'Lipid_Params '!$A:$C,3, FALSE)</f>
        <v>1</v>
      </c>
      <c r="BG36" s="1">
        <f>VLOOKUP(BG7,'Lipid_Params '!$A:$C,3, FALSE)</f>
        <v>1</v>
      </c>
      <c r="BH36" s="1">
        <f>VLOOKUP(BH7,'Lipid_Params '!$A:$C,3, FALSE)</f>
        <v>1</v>
      </c>
      <c r="BI36" s="1">
        <f>VLOOKUP(BI7,'Lipid_Params '!$A:$C,3, FALSE)</f>
        <v>1</v>
      </c>
      <c r="BJ36" s="1">
        <f>VLOOKUP(BJ7,'Lipid_Params '!$A:$C,3, FALSE)</f>
        <v>1</v>
      </c>
      <c r="BK36" s="1">
        <f>VLOOKUP(BK7,'Lipid_Params '!$A:$C,3, FALSE)</f>
        <v>1</v>
      </c>
      <c r="BL36" s="1">
        <f>VLOOKUP(BL7,'Lipid_Params '!$A:$C,3, FALSE)</f>
        <v>1</v>
      </c>
      <c r="BM36" s="1">
        <f>VLOOKUP(BM7,'Lipid_Params '!$A:$C,3, FALSE)</f>
        <v>1</v>
      </c>
      <c r="BN36" s="1">
        <f>VLOOKUP(BN7,'Lipid_Params '!$A:$C,3, FALSE)</f>
        <v>1</v>
      </c>
      <c r="BO36" s="1">
        <f>VLOOKUP(BO7,'Lipid_Params '!$A:$C,3, FALSE)</f>
        <v>1</v>
      </c>
      <c r="BP36" s="1">
        <f>VLOOKUP(BP7,'Lipid_Params '!$A:$C,3, FALSE)</f>
        <v>1</v>
      </c>
      <c r="BQ36" s="1">
        <f>VLOOKUP(BQ7,'Lipid_Params '!$A:$C,3, FALSE)</f>
        <v>1</v>
      </c>
      <c r="BR36" s="1">
        <f>VLOOKUP(BR7,'Lipid_Params '!$A:$C,3, FALSE)</f>
        <v>1</v>
      </c>
      <c r="BS36" s="1">
        <f>VLOOKUP(BS7,'Lipid_Params '!$A:$C,3, FALSE)</f>
        <v>1</v>
      </c>
      <c r="BT36" s="1">
        <f>VLOOKUP(BT7,'Lipid_Params '!$A:$C,3, FALSE)</f>
        <v>1</v>
      </c>
      <c r="BU36" s="1">
        <f>VLOOKUP(BU7,'Lipid_Params '!$A:$C,3, FALSE)</f>
        <v>1</v>
      </c>
      <c r="BV36" s="1">
        <f>VLOOKUP(BV7,'Lipid_Params '!$A:$C,3, FALSE)</f>
        <v>1</v>
      </c>
      <c r="BW36" s="1">
        <f>VLOOKUP(BW7,'Lipid_Params '!$A:$C,3, FALSE)</f>
        <v>1</v>
      </c>
      <c r="BX36" s="1">
        <f>VLOOKUP(BX7,'Lipid_Params '!$A:$C,3, FALSE)</f>
        <v>1</v>
      </c>
      <c r="BY36" s="1">
        <f>VLOOKUP(BY7,'Lipid_Params '!$A:$C,3, FALSE)</f>
        <v>1</v>
      </c>
      <c r="BZ36" s="1">
        <f>VLOOKUP(BZ7,'Lipid_Params '!$A:$C,3, FALSE)</f>
        <v>1</v>
      </c>
      <c r="CA36" s="1">
        <f>VLOOKUP(CA7,'Lipid_Params '!$A:$C,3, FALSE)</f>
        <v>1</v>
      </c>
      <c r="CB36" s="1">
        <f>VLOOKUP(CB7,'Lipid_Params '!$A:$C,3, FALSE)</f>
        <v>1</v>
      </c>
      <c r="CC36" s="1">
        <f>VLOOKUP(CC7,'Lipid_Params '!$A:$C,3, FALSE)</f>
        <v>1</v>
      </c>
      <c r="CD36" s="1">
        <f>VLOOKUP(CD7,'Lipid_Params '!$A:$C,3, FALSE)</f>
        <v>1</v>
      </c>
      <c r="CE36" s="1">
        <f>VLOOKUP(CE7,'Lipid_Params '!$A:$C,3, FALSE)</f>
        <v>1</v>
      </c>
      <c r="CF36" s="1">
        <f>VLOOKUP(CF7,'Lipid_Params '!$A:$C,3, FALSE)</f>
        <v>1</v>
      </c>
      <c r="CG36" s="1">
        <f>VLOOKUP(CG7,'Lipid_Params '!$A:$C,3, FALSE)</f>
        <v>1</v>
      </c>
      <c r="CH36" s="1">
        <f>VLOOKUP(CH7,'Lipid_Params '!$A:$C,3, FALSE)</f>
        <v>1</v>
      </c>
      <c r="CI36" s="1">
        <f>VLOOKUP(CI7,'Lipid_Params '!$A:$C,3, FALSE)</f>
        <v>1</v>
      </c>
      <c r="CJ36" s="1">
        <f>VLOOKUP(CJ7,'Lipid_Params '!$A:$C,3, FALSE)</f>
        <v>1</v>
      </c>
      <c r="CK36" s="1">
        <f>VLOOKUP(CK7,'Lipid_Params '!$A:$C,3, FALSE)</f>
        <v>1</v>
      </c>
      <c r="CL36" s="1">
        <f>VLOOKUP(CL7,'Lipid_Params '!$A:$C,3, FALSE)</f>
        <v>1</v>
      </c>
      <c r="CM36" s="1">
        <f>VLOOKUP(CM7,'Lipid_Params '!$A:$C,3, FALSE)</f>
        <v>1</v>
      </c>
      <c r="CN36" s="1">
        <f>VLOOKUP(CN7,'Lipid_Params '!$A:$C,3, FALSE)</f>
        <v>1</v>
      </c>
      <c r="CO36" s="1">
        <f>VLOOKUP(CO7,'Lipid_Params '!$A:$C,3, FALSE)</f>
        <v>1</v>
      </c>
      <c r="CP36" s="1">
        <f>VLOOKUP(CP7,'Lipid_Params '!$A:$C,3, FALSE)</f>
        <v>1</v>
      </c>
      <c r="CQ36" s="1">
        <f>VLOOKUP(CQ7,'Lipid_Params '!$A:$C,3, FALSE)</f>
        <v>1</v>
      </c>
      <c r="CR36" s="1">
        <f>VLOOKUP(CR7,'Lipid_Params '!$A:$C,3, FALSE)</f>
        <v>1</v>
      </c>
      <c r="CS36" s="1">
        <f>VLOOKUP(CS7,'Lipid_Params '!$A:$C,3, FALSE)</f>
        <v>1</v>
      </c>
      <c r="CT36" s="1">
        <f>VLOOKUP(CT7,'Lipid_Params '!$A:$C,3, FALSE)</f>
        <v>1</v>
      </c>
    </row>
    <row r="37" spans="1:98" ht="15.75" customHeight="1">
      <c r="A37" s="1" t="s">
        <v>69</v>
      </c>
      <c r="B37" s="89" t="s">
        <v>55</v>
      </c>
      <c r="C37" s="1">
        <v>2941.6419999999998</v>
      </c>
      <c r="D37" s="1">
        <v>2941.6419999999998</v>
      </c>
      <c r="E37" s="1">
        <v>2941.6419999999998</v>
      </c>
      <c r="F37" s="1">
        <v>2941.6419999999998</v>
      </c>
      <c r="G37" s="1">
        <v>2941.6419999999998</v>
      </c>
      <c r="H37" s="1">
        <v>2941.6419999999998</v>
      </c>
      <c r="I37" s="1">
        <v>2941.6419999999998</v>
      </c>
      <c r="J37" s="1">
        <v>2941.6419999999998</v>
      </c>
      <c r="K37" s="1">
        <v>2941.6419999999998</v>
      </c>
      <c r="L37" s="1">
        <v>2941.6419999999998</v>
      </c>
      <c r="M37" s="1">
        <v>2941.6419999999998</v>
      </c>
      <c r="N37" s="1">
        <v>2941.6419999999998</v>
      </c>
      <c r="O37" s="1">
        <v>2941.6419999999998</v>
      </c>
      <c r="P37" s="1">
        <v>2941.6419999999998</v>
      </c>
      <c r="Q37" s="1">
        <v>2941.6419999999998</v>
      </c>
      <c r="R37" s="1">
        <v>2941.6419999999998</v>
      </c>
      <c r="S37" s="1">
        <v>2941.6419999999998</v>
      </c>
      <c r="T37" s="1">
        <v>2941.6419999999998</v>
      </c>
      <c r="U37" s="1">
        <v>2941.6419999999998</v>
      </c>
      <c r="V37" s="1">
        <v>2941.6419999999998</v>
      </c>
      <c r="W37" s="1">
        <v>2941.6419999999998</v>
      </c>
      <c r="X37" s="1">
        <v>2941.6419999999998</v>
      </c>
      <c r="Y37" s="1">
        <v>2941.6419999999998</v>
      </c>
      <c r="Z37" s="1">
        <v>2941.6419999999998</v>
      </c>
      <c r="AA37" s="1">
        <v>2941.6419999999998</v>
      </c>
      <c r="AB37" s="1">
        <v>2941.6419999999998</v>
      </c>
      <c r="AC37" s="1">
        <v>2941.6419999999998</v>
      </c>
      <c r="AD37" s="1">
        <v>2941.6419999999998</v>
      </c>
      <c r="AE37" s="1">
        <v>2941.6419999999998</v>
      </c>
      <c r="AF37" s="1">
        <v>2941.6419999999998</v>
      </c>
      <c r="AG37" s="1">
        <v>2941.6419999999998</v>
      </c>
      <c r="AH37" s="1">
        <v>2941.6419999999998</v>
      </c>
      <c r="AI37" s="1">
        <v>2941.6419999999998</v>
      </c>
      <c r="AJ37" s="1">
        <v>2941.6419999999998</v>
      </c>
      <c r="AK37" s="1">
        <v>2941.6419999999998</v>
      </c>
      <c r="AL37" s="1">
        <v>2941.6419999999998</v>
      </c>
      <c r="AM37" s="1">
        <v>2941.6419999999998</v>
      </c>
      <c r="AN37" s="1">
        <v>2941.6419999999998</v>
      </c>
      <c r="AO37" s="1">
        <v>2941.6419999999998</v>
      </c>
      <c r="AP37" s="1">
        <v>2941.6419999999998</v>
      </c>
      <c r="AQ37" s="1">
        <v>2941.6419999999998</v>
      </c>
      <c r="AR37" s="1">
        <v>2941.6419999999998</v>
      </c>
      <c r="AS37" s="1">
        <v>2941.6419999999998</v>
      </c>
      <c r="AT37" s="1">
        <v>2941.6419999999998</v>
      </c>
      <c r="AU37" s="1">
        <v>2941.6419999999998</v>
      </c>
      <c r="AV37" s="1">
        <v>2941.6419999999998</v>
      </c>
      <c r="AW37" s="1">
        <v>2941.6419999999998</v>
      </c>
      <c r="AX37" s="1">
        <v>2941.6419999999998</v>
      </c>
      <c r="AY37" s="1">
        <v>2941.6419999999998</v>
      </c>
      <c r="AZ37" s="1">
        <v>2941.6419999999998</v>
      </c>
      <c r="BA37" s="1">
        <v>2941.6419999999998</v>
      </c>
      <c r="BB37" s="1">
        <v>2941.6419999999998</v>
      </c>
      <c r="BC37" s="1">
        <v>2941.6419999999998</v>
      </c>
      <c r="BD37" s="1">
        <v>2941.6419999999998</v>
      </c>
      <c r="BE37" s="1">
        <v>2941.6419999999998</v>
      </c>
      <c r="BF37" s="1">
        <v>2941.6419999999998</v>
      </c>
      <c r="BG37" s="1">
        <v>2941.6419999999998</v>
      </c>
      <c r="BH37" s="1">
        <v>2941.6419999999998</v>
      </c>
      <c r="BI37" s="1">
        <v>2941.6419999999998</v>
      </c>
      <c r="BJ37" s="1">
        <v>2941.6419999999998</v>
      </c>
      <c r="BK37" s="1">
        <v>2941.6419999999998</v>
      </c>
      <c r="BL37" s="1">
        <v>2941.6419999999998</v>
      </c>
      <c r="BM37" s="1">
        <v>2941.6419999999998</v>
      </c>
      <c r="BN37" s="1">
        <v>2941.6419999999998</v>
      </c>
      <c r="BO37" s="1">
        <v>2941.6419999999998</v>
      </c>
      <c r="BP37" s="1">
        <v>2941.6419999999998</v>
      </c>
      <c r="BQ37" s="1">
        <v>2941.6419999999998</v>
      </c>
      <c r="BR37" s="1">
        <v>2941.6419999999998</v>
      </c>
      <c r="BS37" s="1">
        <v>2941.6419999999998</v>
      </c>
      <c r="BT37" s="1">
        <v>2941.6419999999998</v>
      </c>
      <c r="BU37" s="1">
        <v>2941.6419999999998</v>
      </c>
      <c r="BV37" s="1">
        <v>2941.6419999999998</v>
      </c>
      <c r="BW37" s="1">
        <v>2941.6419999999998</v>
      </c>
      <c r="BX37" s="1">
        <v>2941.6419999999998</v>
      </c>
      <c r="BY37" s="1">
        <v>2941.6419999999998</v>
      </c>
      <c r="BZ37" s="1">
        <v>2941.6419999999998</v>
      </c>
      <c r="CA37" s="1">
        <v>2941.6419999999998</v>
      </c>
      <c r="CB37" s="1">
        <v>2941.6419999999998</v>
      </c>
      <c r="CC37" s="1">
        <v>2941.6419999999998</v>
      </c>
      <c r="CD37" s="1">
        <v>2941.6419999999998</v>
      </c>
      <c r="CE37" s="1">
        <v>2941.6419999999998</v>
      </c>
      <c r="CF37" s="1">
        <v>2941.6419999999998</v>
      </c>
      <c r="CG37" s="1">
        <v>2941.6419999999998</v>
      </c>
      <c r="CH37" s="1">
        <v>2941.6419999999998</v>
      </c>
      <c r="CI37" s="1">
        <v>2941.6419999999998</v>
      </c>
      <c r="CJ37" s="1">
        <v>2941.6419999999998</v>
      </c>
      <c r="CK37" s="1">
        <v>2941.6419999999998</v>
      </c>
      <c r="CL37" s="1">
        <v>2941.6419999999998</v>
      </c>
      <c r="CM37" s="1">
        <v>2941.6419999999998</v>
      </c>
      <c r="CN37" s="1">
        <v>2941.6419999999998</v>
      </c>
      <c r="CO37" s="1">
        <v>2941.6419999999998</v>
      </c>
      <c r="CP37" s="1">
        <v>2941.6419999999998</v>
      </c>
      <c r="CQ37" s="1">
        <v>2941.6419999999998</v>
      </c>
      <c r="CR37" s="1">
        <v>2941.6419999999998</v>
      </c>
      <c r="CS37" s="1">
        <v>2941.6419999999998</v>
      </c>
      <c r="CT37" s="1">
        <v>2941.6419999999998</v>
      </c>
    </row>
    <row r="38" spans="1:98" ht="15.75" customHeight="1">
      <c r="A38" s="3" t="s">
        <v>70</v>
      </c>
      <c r="B38" s="89" t="s">
        <v>55</v>
      </c>
      <c r="C38" s="72">
        <f>VLOOKUP(C10,'Lipid_Params '!$A:$C,2, FALSE)</f>
        <v>797.02599999999995</v>
      </c>
      <c r="D38" s="72">
        <f>VLOOKUP(D10,'Lipid_Params '!$A:$C,2, FALSE)</f>
        <v>797.02599999999995</v>
      </c>
      <c r="E38" s="72">
        <f>VLOOKUP(E10,'Lipid_Params '!$A:$C,2, FALSE)</f>
        <v>797.02599999999995</v>
      </c>
      <c r="F38" s="72">
        <f>VLOOKUP(F10,'Lipid_Params '!$A:$C,2, FALSE)</f>
        <v>797.02599999999995</v>
      </c>
      <c r="G38" s="72">
        <f>VLOOKUP(G10,'Lipid_Params '!$A:$C,2, FALSE)</f>
        <v>797.02599999999995</v>
      </c>
      <c r="H38" s="72">
        <f>VLOOKUP(H10,'Lipid_Params '!$A:$C,2, FALSE)</f>
        <v>797.02599999999995</v>
      </c>
      <c r="I38" s="72">
        <f>VLOOKUP(I10,'Lipid_Params '!$A:$C,2, FALSE)</f>
        <v>797.02599999999995</v>
      </c>
      <c r="J38" s="72">
        <f>VLOOKUP(J10,'Lipid_Params '!$A:$C,2, FALSE)</f>
        <v>797.02599999999995</v>
      </c>
      <c r="K38" s="72">
        <f>VLOOKUP(K10,'Lipid_Params '!$A:$C,2, FALSE)</f>
        <v>797.02599999999995</v>
      </c>
      <c r="L38" s="72">
        <f>VLOOKUP(L10,'Lipid_Params '!$A:$C,2, FALSE)</f>
        <v>797.02599999999995</v>
      </c>
      <c r="M38" s="72">
        <f>VLOOKUP(M10,'Lipid_Params '!$A:$C,2, FALSE)</f>
        <v>797.02599999999995</v>
      </c>
      <c r="N38" s="72">
        <f>VLOOKUP(N10,'Lipid_Params '!$A:$C,2, FALSE)</f>
        <v>797.02599999999995</v>
      </c>
      <c r="O38" s="72">
        <f>VLOOKUP(O10,'Lipid_Params '!$A:$C,2, FALSE)</f>
        <v>797.02599999999995</v>
      </c>
      <c r="P38" s="72">
        <f>VLOOKUP(P10,'Lipid_Params '!$A:$C,2, FALSE)</f>
        <v>797.02599999999995</v>
      </c>
      <c r="Q38" s="72">
        <f>VLOOKUP(Q10,'Lipid_Params '!$A:$C,2, FALSE)</f>
        <v>797.02599999999995</v>
      </c>
      <c r="R38" s="72">
        <f>VLOOKUP(R10,'Lipid_Params '!$A:$C,2, FALSE)</f>
        <v>797.02599999999995</v>
      </c>
      <c r="S38" s="72">
        <f>VLOOKUP(S10,'Lipid_Params '!$A:$C,2, FALSE)</f>
        <v>797.02599999999995</v>
      </c>
      <c r="T38" s="72">
        <f>VLOOKUP(T10,'Lipid_Params '!$A:$C,2, FALSE)</f>
        <v>797.02599999999995</v>
      </c>
      <c r="U38" s="72">
        <f>VLOOKUP(U10,'Lipid_Params '!$A:$C,2, FALSE)</f>
        <v>797.02599999999995</v>
      </c>
      <c r="V38" s="72">
        <f>VLOOKUP(V10,'Lipid_Params '!$A:$C,2, FALSE)</f>
        <v>797.02599999999995</v>
      </c>
      <c r="W38" s="72">
        <f>VLOOKUP(W10,'Lipid_Params '!$A:$C,2, FALSE)</f>
        <v>797.02599999999995</v>
      </c>
      <c r="X38" s="72">
        <f>VLOOKUP(X10,'Lipid_Params '!$A:$C,2, FALSE)</f>
        <v>797.02599999999995</v>
      </c>
      <c r="Y38" s="72">
        <f>VLOOKUP(Y10,'Lipid_Params '!$A:$C,2, FALSE)</f>
        <v>797.02599999999995</v>
      </c>
      <c r="Z38" s="72">
        <f>VLOOKUP(Z10,'Lipid_Params '!$A:$C,2, FALSE)</f>
        <v>797.02599999999995</v>
      </c>
      <c r="AA38" s="72">
        <f>VLOOKUP(AA10,'Lipid_Params '!$A:$C,2, FALSE)</f>
        <v>797.02599999999995</v>
      </c>
      <c r="AB38" s="72">
        <f>VLOOKUP(AB10,'Lipid_Params '!$A:$C,2, FALSE)</f>
        <v>797.02599999999995</v>
      </c>
      <c r="AC38" s="72">
        <f>VLOOKUP(AC10,'Lipid_Params '!$A:$C,2, FALSE)</f>
        <v>797.02599999999995</v>
      </c>
      <c r="AD38" s="72">
        <f>VLOOKUP(AD10,'Lipid_Params '!$A:$C,2, FALSE)</f>
        <v>797.02599999999995</v>
      </c>
      <c r="AE38" s="72">
        <f>VLOOKUP(AE10,'Lipid_Params '!$A:$C,2, FALSE)</f>
        <v>797.02599999999995</v>
      </c>
      <c r="AF38" s="72">
        <f>VLOOKUP(AF10,'Lipid_Params '!$A:$C,2, FALSE)</f>
        <v>797.02599999999995</v>
      </c>
      <c r="AG38" s="72">
        <f>VLOOKUP(AG10,'Lipid_Params '!$A:$C,2, FALSE)</f>
        <v>797.02599999999995</v>
      </c>
      <c r="AH38" s="72">
        <f>VLOOKUP(AH10,'Lipid_Params '!$A:$C,2, FALSE)</f>
        <v>797.02599999999995</v>
      </c>
      <c r="AI38" s="72">
        <f>VLOOKUP(AI10,'Lipid_Params '!$A:$C,2, FALSE)</f>
        <v>797.02599999999995</v>
      </c>
      <c r="AJ38" s="72">
        <f>VLOOKUP(AJ10,'Lipid_Params '!$A:$C,2, FALSE)</f>
        <v>797.02599999999995</v>
      </c>
      <c r="AK38" s="72">
        <f>VLOOKUP(AK10,'Lipid_Params '!$A:$C,2, FALSE)</f>
        <v>797.02599999999995</v>
      </c>
      <c r="AL38" s="72">
        <f>VLOOKUP(AL10,'Lipid_Params '!$A:$C,2, FALSE)</f>
        <v>797.02599999999995</v>
      </c>
      <c r="AM38" s="72">
        <f>VLOOKUP(AM10,'Lipid_Params '!$A:$C,2, FALSE)</f>
        <v>797.02599999999995</v>
      </c>
      <c r="AN38" s="72">
        <f>VLOOKUP(AN10,'Lipid_Params '!$A:$C,2, FALSE)</f>
        <v>797.02599999999995</v>
      </c>
      <c r="AO38" s="72">
        <f>VLOOKUP(AO10,'Lipid_Params '!$A:$C,2, FALSE)</f>
        <v>797.02599999999995</v>
      </c>
      <c r="AP38" s="72">
        <f>VLOOKUP(AP10,'Lipid_Params '!$A:$C,2, FALSE)</f>
        <v>797.02599999999995</v>
      </c>
      <c r="AQ38" s="72">
        <f>VLOOKUP(AQ10,'Lipid_Params '!$A:$C,2, FALSE)</f>
        <v>797.02599999999995</v>
      </c>
      <c r="AR38" s="72">
        <f>VLOOKUP(AR10,'Lipid_Params '!$A:$C,2, FALSE)</f>
        <v>797.02599999999995</v>
      </c>
      <c r="AS38" s="72">
        <f>VLOOKUP(AS10,'Lipid_Params '!$A:$C,2, FALSE)</f>
        <v>797.02599999999995</v>
      </c>
      <c r="AT38" s="72">
        <f>VLOOKUP(AT10,'Lipid_Params '!$A:$C,2, FALSE)</f>
        <v>797.02599999999995</v>
      </c>
      <c r="AU38" s="72">
        <f>VLOOKUP(AU10,'Lipid_Params '!$A:$C,2, FALSE)</f>
        <v>797.02599999999995</v>
      </c>
      <c r="AV38" s="72">
        <f>VLOOKUP(AV10,'Lipid_Params '!$A:$C,2, FALSE)</f>
        <v>797.02599999999995</v>
      </c>
      <c r="AW38" s="72">
        <f>VLOOKUP(AW10,'Lipid_Params '!$A:$C,2, FALSE)</f>
        <v>797.02599999999995</v>
      </c>
      <c r="AX38" s="72">
        <f>VLOOKUP(AX10,'Lipid_Params '!$A:$C,2, FALSE)</f>
        <v>797.02599999999995</v>
      </c>
      <c r="AY38" s="72">
        <f>VLOOKUP(AY10,'Lipid_Params '!$A:$C,2, FALSE)</f>
        <v>797.02599999999995</v>
      </c>
      <c r="AZ38" s="72">
        <f>VLOOKUP(AZ10,'Lipid_Params '!$A:$C,2, FALSE)</f>
        <v>797.02599999999995</v>
      </c>
      <c r="BA38" s="72">
        <f>VLOOKUP(BA10,'Lipid_Params '!$A:$C,2, FALSE)</f>
        <v>797.02599999999995</v>
      </c>
      <c r="BB38" s="72">
        <f>VLOOKUP(BB10,'Lipid_Params '!$A:$C,2, FALSE)</f>
        <v>797.02599999999995</v>
      </c>
      <c r="BC38" s="72">
        <f>VLOOKUP(BC10,'Lipid_Params '!$A:$C,2, FALSE)</f>
        <v>797.02599999999995</v>
      </c>
      <c r="BD38" s="72">
        <f>VLOOKUP(BD10,'Lipid_Params '!$A:$C,2, FALSE)</f>
        <v>797.02599999999995</v>
      </c>
      <c r="BE38" s="72">
        <f>VLOOKUP(BE10,'Lipid_Params '!$A:$C,2, FALSE)</f>
        <v>797.02599999999995</v>
      </c>
      <c r="BF38" s="72">
        <f>VLOOKUP(BF10,'Lipid_Params '!$A:$C,2, FALSE)</f>
        <v>797.02599999999995</v>
      </c>
      <c r="BG38" s="72">
        <f>VLOOKUP(BG10,'Lipid_Params '!$A:$C,2, FALSE)</f>
        <v>797.02599999999995</v>
      </c>
      <c r="BH38" s="72">
        <f>VLOOKUP(BH10,'Lipid_Params '!$A:$C,2, FALSE)</f>
        <v>797.02599999999995</v>
      </c>
      <c r="BI38" s="72">
        <f>VLOOKUP(BI10,'Lipid_Params '!$A:$C,2, FALSE)</f>
        <v>797.02599999999995</v>
      </c>
      <c r="BJ38" s="72">
        <f>VLOOKUP(BJ10,'Lipid_Params '!$A:$C,2, FALSE)</f>
        <v>797.02599999999995</v>
      </c>
      <c r="BK38" s="72">
        <f>VLOOKUP(BK10,'Lipid_Params '!$A:$C,2, FALSE)</f>
        <v>797.02599999999995</v>
      </c>
      <c r="BL38" s="72">
        <f>VLOOKUP(BL10,'Lipid_Params '!$A:$C,2, FALSE)</f>
        <v>797.02599999999995</v>
      </c>
      <c r="BM38" s="72">
        <f>VLOOKUP(BM10,'Lipid_Params '!$A:$C,2, FALSE)</f>
        <v>797.02599999999995</v>
      </c>
      <c r="BN38" s="72">
        <f>VLOOKUP(BN10,'Lipid_Params '!$A:$C,2, FALSE)</f>
        <v>797.02599999999995</v>
      </c>
      <c r="BO38" s="72">
        <f>VLOOKUP(BO10,'Lipid_Params '!$A:$C,2, FALSE)</f>
        <v>797.02599999999995</v>
      </c>
      <c r="BP38" s="72">
        <f>VLOOKUP(BP10,'Lipid_Params '!$A:$C,2, FALSE)</f>
        <v>797.02599999999995</v>
      </c>
      <c r="BQ38" s="72">
        <f>VLOOKUP(BQ10,'Lipid_Params '!$A:$C,2, FALSE)</f>
        <v>797.02599999999995</v>
      </c>
      <c r="BR38" s="72">
        <f>VLOOKUP(BR10,'Lipid_Params '!$A:$C,2, FALSE)</f>
        <v>797.02599999999995</v>
      </c>
      <c r="BS38" s="72">
        <f>VLOOKUP(BS10,'Lipid_Params '!$A:$C,2, FALSE)</f>
        <v>797.02599999999995</v>
      </c>
      <c r="BT38" s="72">
        <f>VLOOKUP(BT10,'Lipid_Params '!$A:$C,2, FALSE)</f>
        <v>797.02599999999995</v>
      </c>
      <c r="BU38" s="72">
        <f>VLOOKUP(BU10,'Lipid_Params '!$A:$C,2, FALSE)</f>
        <v>797.02599999999995</v>
      </c>
      <c r="BV38" s="72">
        <f>VLOOKUP(BV10,'Lipid_Params '!$A:$C,2, FALSE)</f>
        <v>797.02599999999995</v>
      </c>
      <c r="BW38" s="72">
        <f>VLOOKUP(BW10,'Lipid_Params '!$A:$C,2, FALSE)</f>
        <v>797.02599999999995</v>
      </c>
      <c r="BX38" s="72">
        <f>VLOOKUP(BX10,'Lipid_Params '!$A:$C,2, FALSE)</f>
        <v>797.02599999999995</v>
      </c>
      <c r="BY38" s="72">
        <f>VLOOKUP(BY10,'Lipid_Params '!$A:$C,2, FALSE)</f>
        <v>797.02599999999995</v>
      </c>
      <c r="BZ38" s="72">
        <f>VLOOKUP(BZ10,'Lipid_Params '!$A:$C,2, FALSE)</f>
        <v>797.02599999999995</v>
      </c>
      <c r="CA38" s="72">
        <f>VLOOKUP(CA10,'Lipid_Params '!$A:$C,2, FALSE)</f>
        <v>797.02599999999995</v>
      </c>
      <c r="CB38" s="72">
        <f>VLOOKUP(CB10,'Lipid_Params '!$A:$C,2, FALSE)</f>
        <v>797.02599999999995</v>
      </c>
      <c r="CC38" s="72">
        <f>VLOOKUP(CC10,'Lipid_Params '!$A:$C,2, FALSE)</f>
        <v>797.02599999999995</v>
      </c>
      <c r="CD38" s="72">
        <f>VLOOKUP(CD10,'Lipid_Params '!$A:$C,2, FALSE)</f>
        <v>797.02599999999995</v>
      </c>
      <c r="CE38" s="72">
        <f>VLOOKUP(CE10,'Lipid_Params '!$A:$C,2, FALSE)</f>
        <v>797.02599999999995</v>
      </c>
      <c r="CF38" s="72">
        <f>VLOOKUP(CF10,'Lipid_Params '!$A:$C,2, FALSE)</f>
        <v>797.02599999999995</v>
      </c>
      <c r="CG38" s="72">
        <f>VLOOKUP(CG10,'Lipid_Params '!$A:$C,2, FALSE)</f>
        <v>797.02599999999995</v>
      </c>
      <c r="CH38" s="72">
        <f>VLOOKUP(CH10,'Lipid_Params '!$A:$C,2, FALSE)</f>
        <v>797.02599999999995</v>
      </c>
      <c r="CI38" s="72">
        <f>VLOOKUP(CI10,'Lipid_Params '!$A:$C,2, FALSE)</f>
        <v>797.02599999999995</v>
      </c>
      <c r="CJ38" s="72">
        <f>VLOOKUP(CJ10,'Lipid_Params '!$A:$C,2, FALSE)</f>
        <v>797.02599999999995</v>
      </c>
      <c r="CK38" s="72">
        <f>VLOOKUP(CK10,'Lipid_Params '!$A:$C,2, FALSE)</f>
        <v>797.02599999999995</v>
      </c>
      <c r="CL38" s="72">
        <f>VLOOKUP(CL10,'Lipid_Params '!$A:$C,2, FALSE)</f>
        <v>797.02599999999995</v>
      </c>
      <c r="CM38" s="72">
        <f>VLOOKUP(CM10,'Lipid_Params '!$A:$C,2, FALSE)</f>
        <v>797.02599999999995</v>
      </c>
      <c r="CN38" s="72">
        <f>VLOOKUP(CN10,'Lipid_Params '!$A:$C,2, FALSE)</f>
        <v>797.02599999999995</v>
      </c>
      <c r="CO38" s="72">
        <f>VLOOKUP(CO10,'Lipid_Params '!$A:$C,2, FALSE)</f>
        <v>797.02599999999995</v>
      </c>
      <c r="CP38" s="72">
        <f>VLOOKUP(CP10,'Lipid_Params '!$A:$C,2, FALSE)</f>
        <v>797.02599999999995</v>
      </c>
      <c r="CQ38" s="72">
        <f>VLOOKUP(CQ10,'Lipid_Params '!$A:$C,2, FALSE)</f>
        <v>797.02599999999995</v>
      </c>
      <c r="CR38" s="72">
        <f>VLOOKUP(CR10,'Lipid_Params '!$A:$C,2, FALSE)</f>
        <v>797.02599999999995</v>
      </c>
      <c r="CS38" s="72">
        <f>VLOOKUP(CS10,'Lipid_Params '!$A:$C,2, FALSE)</f>
        <v>797.02599999999995</v>
      </c>
      <c r="CT38" s="72">
        <f>VLOOKUP(CT10,'Lipid_Params '!$A:$C,2, FALSE)</f>
        <v>797.02599999999995</v>
      </c>
    </row>
    <row r="39" spans="1:98" ht="15.75" customHeight="1">
      <c r="A39" s="3"/>
      <c r="B39" s="89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2"/>
      <c r="BB39" s="72"/>
      <c r="BC39" s="72"/>
      <c r="BD39" s="72"/>
      <c r="BE39" s="72"/>
      <c r="BF39" s="72"/>
      <c r="BG39" s="72"/>
      <c r="BH39" s="72"/>
      <c r="BI39" s="72"/>
      <c r="BJ39" s="72"/>
      <c r="BK39" s="72"/>
      <c r="BL39" s="72"/>
      <c r="BM39" s="72"/>
      <c r="BN39" s="72"/>
      <c r="BO39" s="72"/>
      <c r="BP39" s="72"/>
      <c r="BQ39" s="72"/>
      <c r="BR39" s="72"/>
      <c r="BS39" s="72"/>
      <c r="BT39" s="72"/>
      <c r="BU39" s="72"/>
      <c r="BV39" s="72"/>
      <c r="BW39" s="72"/>
      <c r="BX39" s="72"/>
      <c r="BY39" s="72"/>
      <c r="BZ39" s="72"/>
      <c r="CA39" s="72"/>
      <c r="CB39" s="72"/>
      <c r="CC39" s="72"/>
      <c r="CD39" s="72"/>
      <c r="CE39" s="72"/>
      <c r="CF39" s="72"/>
      <c r="CG39" s="72"/>
      <c r="CH39" s="72"/>
      <c r="CI39" s="72"/>
      <c r="CJ39" s="72"/>
      <c r="CK39" s="72"/>
      <c r="CL39" s="72"/>
      <c r="CM39" s="72"/>
      <c r="CN39" s="72"/>
      <c r="CO39" s="72"/>
      <c r="CP39" s="72"/>
      <c r="CQ39" s="72"/>
      <c r="CR39" s="72"/>
      <c r="CS39" s="72"/>
      <c r="CT39" s="72"/>
    </row>
    <row r="40" spans="1:98" ht="15.75" customHeight="1">
      <c r="A40" s="90" t="s">
        <v>71</v>
      </c>
      <c r="B40" s="89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  <c r="AA40" s="72"/>
      <c r="AB40" s="72"/>
      <c r="AC40" s="72"/>
      <c r="AD40" s="72"/>
      <c r="AE40" s="72"/>
      <c r="AF40" s="72"/>
      <c r="AG40" s="72"/>
      <c r="AH40" s="72"/>
      <c r="AI40" s="72"/>
      <c r="AJ40" s="72"/>
      <c r="AK40" s="72"/>
      <c r="AL40" s="72"/>
      <c r="AM40" s="72"/>
      <c r="AN40" s="72"/>
      <c r="AO40" s="72"/>
      <c r="AP40" s="72"/>
      <c r="AQ40" s="72"/>
      <c r="AR40" s="72"/>
      <c r="AS40" s="72"/>
      <c r="AT40" s="72"/>
      <c r="AU40" s="72"/>
      <c r="AV40" s="72"/>
      <c r="AW40" s="72"/>
      <c r="AX40" s="72"/>
      <c r="AY40" s="72"/>
      <c r="AZ40" s="72"/>
      <c r="BA40" s="72"/>
      <c r="BB40" s="72"/>
      <c r="BC40" s="72"/>
      <c r="BD40" s="72"/>
      <c r="BE40" s="72"/>
      <c r="BF40" s="72"/>
      <c r="BG40" s="72"/>
      <c r="BH40" s="72"/>
      <c r="BI40" s="72"/>
      <c r="BJ40" s="72"/>
      <c r="BK40" s="72"/>
      <c r="BL40" s="72"/>
      <c r="BM40" s="72"/>
      <c r="BN40" s="72"/>
      <c r="BO40" s="72"/>
      <c r="BP40" s="72"/>
      <c r="BQ40" s="72"/>
      <c r="BR40" s="72"/>
      <c r="BS40" s="72"/>
      <c r="BT40" s="72"/>
      <c r="BU40" s="72"/>
      <c r="BV40" s="72"/>
      <c r="BW40" s="72"/>
      <c r="BX40" s="72"/>
      <c r="BY40" s="72"/>
      <c r="BZ40" s="72"/>
      <c r="CA40" s="72"/>
      <c r="CB40" s="72"/>
      <c r="CC40" s="72"/>
      <c r="CD40" s="72"/>
      <c r="CE40" s="72"/>
      <c r="CF40" s="72"/>
      <c r="CG40" s="72"/>
      <c r="CH40" s="72"/>
      <c r="CI40" s="72"/>
      <c r="CJ40" s="72"/>
      <c r="CK40" s="72"/>
      <c r="CL40" s="72"/>
      <c r="CM40" s="72"/>
      <c r="CN40" s="72"/>
      <c r="CO40" s="72"/>
      <c r="CP40" s="72"/>
      <c r="CQ40" s="72"/>
      <c r="CR40" s="72"/>
      <c r="CS40" s="72"/>
      <c r="CT40" s="72"/>
    </row>
    <row r="41" spans="1:98" ht="15.75" customHeight="1">
      <c r="A41" s="1" t="s">
        <v>72</v>
      </c>
      <c r="B41" s="89" t="s">
        <v>73</v>
      </c>
      <c r="C41" s="72">
        <f t="shared" ref="C41:D41" si="11">C81/C30*1000</f>
        <v>0</v>
      </c>
      <c r="D41" s="72">
        <f t="shared" ref="D41:E41" si="12">D81/D30*1000</f>
        <v>0</v>
      </c>
      <c r="E41" s="72">
        <f t="shared" si="12"/>
        <v>0</v>
      </c>
      <c r="F41" s="72">
        <f t="shared" ref="F41:K41" si="13">F81/F30*1000</f>
        <v>0</v>
      </c>
      <c r="G41" s="72">
        <f t="shared" si="13"/>
        <v>0</v>
      </c>
      <c r="H41" s="72">
        <f t="shared" si="13"/>
        <v>0</v>
      </c>
      <c r="I41" s="72">
        <f t="shared" si="13"/>
        <v>0</v>
      </c>
      <c r="J41" s="72">
        <f t="shared" si="13"/>
        <v>0</v>
      </c>
      <c r="K41" s="72">
        <f t="shared" si="13"/>
        <v>0</v>
      </c>
      <c r="L41" s="72">
        <f t="shared" ref="L41:AC41" si="14">L81/L30*1000</f>
        <v>0</v>
      </c>
      <c r="M41" s="72">
        <f t="shared" si="14"/>
        <v>0</v>
      </c>
      <c r="N41" s="72">
        <f t="shared" si="14"/>
        <v>0</v>
      </c>
      <c r="O41" s="72">
        <f t="shared" si="14"/>
        <v>0</v>
      </c>
      <c r="P41" s="72">
        <f t="shared" si="14"/>
        <v>0</v>
      </c>
      <c r="Q41" s="72">
        <f t="shared" si="14"/>
        <v>0</v>
      </c>
      <c r="R41" s="72">
        <f t="shared" si="14"/>
        <v>0</v>
      </c>
      <c r="S41" s="72">
        <f t="shared" si="14"/>
        <v>0</v>
      </c>
      <c r="T41" s="72">
        <f t="shared" si="14"/>
        <v>0</v>
      </c>
      <c r="U41" s="72">
        <f t="shared" si="14"/>
        <v>0</v>
      </c>
      <c r="V41" s="72">
        <f t="shared" si="14"/>
        <v>0</v>
      </c>
      <c r="W41" s="72">
        <f t="shared" si="14"/>
        <v>0</v>
      </c>
      <c r="X41" s="72">
        <f t="shared" si="14"/>
        <v>0</v>
      </c>
      <c r="Y41" s="72">
        <f t="shared" si="14"/>
        <v>0</v>
      </c>
      <c r="Z41" s="72">
        <f t="shared" si="14"/>
        <v>0</v>
      </c>
      <c r="AA41" s="72">
        <f t="shared" si="14"/>
        <v>0</v>
      </c>
      <c r="AB41" s="72">
        <f t="shared" si="14"/>
        <v>0</v>
      </c>
      <c r="AC41" s="72">
        <f t="shared" si="14"/>
        <v>0</v>
      </c>
      <c r="AD41" s="72">
        <f t="shared" ref="AD41:CN41" si="15">AD81/AD30*1000</f>
        <v>0</v>
      </c>
      <c r="AE41" s="72">
        <f t="shared" si="15"/>
        <v>0</v>
      </c>
      <c r="AF41" s="72">
        <f t="shared" si="15"/>
        <v>0</v>
      </c>
      <c r="AG41" s="72">
        <f t="shared" si="15"/>
        <v>0</v>
      </c>
      <c r="AH41" s="72">
        <f t="shared" si="15"/>
        <v>0</v>
      </c>
      <c r="AI41" s="72">
        <f t="shared" si="15"/>
        <v>0</v>
      </c>
      <c r="AJ41" s="72">
        <f t="shared" si="15"/>
        <v>0</v>
      </c>
      <c r="AK41" s="72">
        <f t="shared" si="15"/>
        <v>0</v>
      </c>
      <c r="AL41" s="72">
        <f t="shared" si="15"/>
        <v>0</v>
      </c>
      <c r="AM41" s="72">
        <f t="shared" si="15"/>
        <v>0</v>
      </c>
      <c r="AN41" s="72">
        <f t="shared" si="15"/>
        <v>0</v>
      </c>
      <c r="AO41" s="72">
        <f t="shared" si="15"/>
        <v>0</v>
      </c>
      <c r="AP41" s="72">
        <f t="shared" si="15"/>
        <v>0</v>
      </c>
      <c r="AQ41" s="72">
        <f t="shared" si="15"/>
        <v>0</v>
      </c>
      <c r="AR41" s="72">
        <f t="shared" si="15"/>
        <v>0</v>
      </c>
      <c r="AS41" s="72">
        <f t="shared" si="15"/>
        <v>0</v>
      </c>
      <c r="AT41" s="72">
        <f t="shared" si="15"/>
        <v>0</v>
      </c>
      <c r="AU41" s="72">
        <f t="shared" si="15"/>
        <v>0</v>
      </c>
      <c r="AV41" s="72">
        <f t="shared" si="15"/>
        <v>0</v>
      </c>
      <c r="AW41" s="72">
        <f t="shared" si="15"/>
        <v>0</v>
      </c>
      <c r="AX41" s="72">
        <f t="shared" si="15"/>
        <v>0</v>
      </c>
      <c r="AY41" s="72">
        <f t="shared" si="15"/>
        <v>0</v>
      </c>
      <c r="AZ41" s="72">
        <f t="shared" si="15"/>
        <v>0</v>
      </c>
      <c r="BA41" s="72">
        <f t="shared" si="15"/>
        <v>0</v>
      </c>
      <c r="BB41" s="72">
        <f t="shared" si="15"/>
        <v>0</v>
      </c>
      <c r="BC41" s="72">
        <f t="shared" si="15"/>
        <v>0</v>
      </c>
      <c r="BD41" s="72">
        <f t="shared" si="15"/>
        <v>0</v>
      </c>
      <c r="BE41" s="72">
        <f t="shared" si="15"/>
        <v>0</v>
      </c>
      <c r="BF41" s="72">
        <f t="shared" si="15"/>
        <v>0</v>
      </c>
      <c r="BG41" s="72">
        <f t="shared" si="15"/>
        <v>0</v>
      </c>
      <c r="BH41" s="72">
        <f t="shared" si="15"/>
        <v>0</v>
      </c>
      <c r="BI41" s="72">
        <f t="shared" si="15"/>
        <v>0</v>
      </c>
      <c r="BJ41" s="72">
        <f t="shared" si="15"/>
        <v>0</v>
      </c>
      <c r="BK41" s="72">
        <f t="shared" si="15"/>
        <v>0</v>
      </c>
      <c r="BL41" s="72">
        <f t="shared" si="15"/>
        <v>0</v>
      </c>
      <c r="BM41" s="72">
        <f t="shared" si="15"/>
        <v>0</v>
      </c>
      <c r="BN41" s="72">
        <f t="shared" si="15"/>
        <v>0</v>
      </c>
      <c r="BO41" s="72">
        <f t="shared" si="15"/>
        <v>0</v>
      </c>
      <c r="BP41" s="72">
        <f t="shared" si="15"/>
        <v>0</v>
      </c>
      <c r="BQ41" s="72">
        <f t="shared" si="15"/>
        <v>0</v>
      </c>
      <c r="BR41" s="72">
        <f t="shared" si="15"/>
        <v>0</v>
      </c>
      <c r="BS41" s="72">
        <f t="shared" si="15"/>
        <v>0</v>
      </c>
      <c r="BT41" s="72">
        <f t="shared" si="15"/>
        <v>0</v>
      </c>
      <c r="BU41" s="72">
        <f t="shared" si="15"/>
        <v>0</v>
      </c>
      <c r="BV41" s="72">
        <f t="shared" si="15"/>
        <v>0</v>
      </c>
      <c r="BW41" s="72">
        <f t="shared" si="15"/>
        <v>0</v>
      </c>
      <c r="BX41" s="72">
        <f t="shared" si="15"/>
        <v>0</v>
      </c>
      <c r="BY41" s="72">
        <f t="shared" si="15"/>
        <v>0</v>
      </c>
      <c r="BZ41" s="72">
        <f t="shared" si="15"/>
        <v>0</v>
      </c>
      <c r="CA41" s="72">
        <f t="shared" si="15"/>
        <v>0</v>
      </c>
      <c r="CB41" s="72">
        <f t="shared" si="15"/>
        <v>0</v>
      </c>
      <c r="CC41" s="72">
        <f t="shared" si="15"/>
        <v>0</v>
      </c>
      <c r="CD41" s="72">
        <f t="shared" si="15"/>
        <v>0</v>
      </c>
      <c r="CE41" s="72">
        <f t="shared" si="15"/>
        <v>0</v>
      </c>
      <c r="CF41" s="72">
        <f t="shared" si="15"/>
        <v>0</v>
      </c>
      <c r="CG41" s="72">
        <f t="shared" si="15"/>
        <v>0</v>
      </c>
      <c r="CH41" s="72">
        <f t="shared" si="15"/>
        <v>0</v>
      </c>
      <c r="CI41" s="72">
        <f t="shared" si="15"/>
        <v>0</v>
      </c>
      <c r="CJ41" s="72">
        <f t="shared" si="15"/>
        <v>0</v>
      </c>
      <c r="CK41" s="72">
        <f t="shared" si="15"/>
        <v>0</v>
      </c>
      <c r="CL41" s="72">
        <f t="shared" si="15"/>
        <v>0</v>
      </c>
      <c r="CM41" s="72">
        <f t="shared" si="15"/>
        <v>0</v>
      </c>
      <c r="CN41" s="72">
        <f t="shared" si="15"/>
        <v>0</v>
      </c>
      <c r="CO41" s="72">
        <f t="shared" ref="CO41:CT41" si="16">CO81/CO30*1000</f>
        <v>0</v>
      </c>
      <c r="CP41" s="72">
        <f t="shared" si="16"/>
        <v>0</v>
      </c>
      <c r="CQ41" s="72">
        <f t="shared" si="16"/>
        <v>0</v>
      </c>
      <c r="CR41" s="72">
        <f t="shared" si="16"/>
        <v>0</v>
      </c>
      <c r="CS41" s="72">
        <f t="shared" si="16"/>
        <v>0</v>
      </c>
      <c r="CT41" s="72">
        <f t="shared" si="16"/>
        <v>0</v>
      </c>
    </row>
    <row r="42" spans="1:98" ht="15.75" customHeight="1">
      <c r="A42" s="3" t="s">
        <v>74</v>
      </c>
      <c r="B42" s="79" t="s">
        <v>73</v>
      </c>
      <c r="C42" s="80">
        <f t="shared" ref="C42:D42" si="17">C82/C31*1000</f>
        <v>0</v>
      </c>
      <c r="D42" s="80">
        <f t="shared" ref="D42:E42" si="18">D82/D31*1000</f>
        <v>0</v>
      </c>
      <c r="E42" s="80">
        <f t="shared" si="18"/>
        <v>0</v>
      </c>
      <c r="F42" s="80">
        <f t="shared" ref="F42:K42" si="19">F82/F31*1000</f>
        <v>0</v>
      </c>
      <c r="G42" s="80">
        <f t="shared" si="19"/>
        <v>0</v>
      </c>
      <c r="H42" s="80">
        <f t="shared" si="19"/>
        <v>0</v>
      </c>
      <c r="I42" s="80">
        <f t="shared" si="19"/>
        <v>0</v>
      </c>
      <c r="J42" s="80">
        <f t="shared" si="19"/>
        <v>0</v>
      </c>
      <c r="K42" s="80">
        <f t="shared" si="19"/>
        <v>0</v>
      </c>
      <c r="L42" s="80">
        <f t="shared" ref="L42:AC42" si="20">L82/L31*1000</f>
        <v>0</v>
      </c>
      <c r="M42" s="80">
        <f t="shared" si="20"/>
        <v>0</v>
      </c>
      <c r="N42" s="80">
        <f t="shared" si="20"/>
        <v>0</v>
      </c>
      <c r="O42" s="80">
        <f t="shared" si="20"/>
        <v>0</v>
      </c>
      <c r="P42" s="80">
        <f t="shared" si="20"/>
        <v>0</v>
      </c>
      <c r="Q42" s="80">
        <f t="shared" si="20"/>
        <v>0</v>
      </c>
      <c r="R42" s="80">
        <f t="shared" si="20"/>
        <v>0</v>
      </c>
      <c r="S42" s="80">
        <f t="shared" si="20"/>
        <v>0</v>
      </c>
      <c r="T42" s="80">
        <f t="shared" si="20"/>
        <v>0</v>
      </c>
      <c r="U42" s="80">
        <f t="shared" si="20"/>
        <v>0</v>
      </c>
      <c r="V42" s="80">
        <f t="shared" si="20"/>
        <v>0</v>
      </c>
      <c r="W42" s="80">
        <f t="shared" si="20"/>
        <v>0</v>
      </c>
      <c r="X42" s="80">
        <f t="shared" si="20"/>
        <v>0</v>
      </c>
      <c r="Y42" s="80">
        <f t="shared" si="20"/>
        <v>0</v>
      </c>
      <c r="Z42" s="80">
        <f t="shared" si="20"/>
        <v>0</v>
      </c>
      <c r="AA42" s="80">
        <f t="shared" si="20"/>
        <v>0</v>
      </c>
      <c r="AB42" s="80">
        <f t="shared" si="20"/>
        <v>0</v>
      </c>
      <c r="AC42" s="80">
        <f t="shared" si="20"/>
        <v>0</v>
      </c>
      <c r="AD42" s="80">
        <f t="shared" ref="AD42:CN42" si="21">AD82/AD31*1000</f>
        <v>0</v>
      </c>
      <c r="AE42" s="80">
        <f t="shared" si="21"/>
        <v>0</v>
      </c>
      <c r="AF42" s="80">
        <f t="shared" si="21"/>
        <v>0</v>
      </c>
      <c r="AG42" s="80">
        <f t="shared" si="21"/>
        <v>0</v>
      </c>
      <c r="AH42" s="80">
        <f t="shared" si="21"/>
        <v>0</v>
      </c>
      <c r="AI42" s="80">
        <f t="shared" si="21"/>
        <v>0</v>
      </c>
      <c r="AJ42" s="80">
        <f t="shared" si="21"/>
        <v>0</v>
      </c>
      <c r="AK42" s="80">
        <f t="shared" si="21"/>
        <v>0</v>
      </c>
      <c r="AL42" s="80">
        <f t="shared" si="21"/>
        <v>0</v>
      </c>
      <c r="AM42" s="80">
        <f t="shared" si="21"/>
        <v>0</v>
      </c>
      <c r="AN42" s="80">
        <f t="shared" si="21"/>
        <v>0</v>
      </c>
      <c r="AO42" s="80">
        <f t="shared" si="21"/>
        <v>0</v>
      </c>
      <c r="AP42" s="80">
        <f t="shared" si="21"/>
        <v>0</v>
      </c>
      <c r="AQ42" s="80">
        <f t="shared" si="21"/>
        <v>0</v>
      </c>
      <c r="AR42" s="80">
        <f t="shared" si="21"/>
        <v>0</v>
      </c>
      <c r="AS42" s="80">
        <f t="shared" si="21"/>
        <v>0</v>
      </c>
      <c r="AT42" s="80">
        <f t="shared" si="21"/>
        <v>0</v>
      </c>
      <c r="AU42" s="80">
        <f t="shared" si="21"/>
        <v>0</v>
      </c>
      <c r="AV42" s="80">
        <f t="shared" si="21"/>
        <v>0</v>
      </c>
      <c r="AW42" s="80">
        <f t="shared" si="21"/>
        <v>0</v>
      </c>
      <c r="AX42" s="80">
        <f t="shared" si="21"/>
        <v>0</v>
      </c>
      <c r="AY42" s="80">
        <f t="shared" si="21"/>
        <v>0</v>
      </c>
      <c r="AZ42" s="80">
        <f t="shared" si="21"/>
        <v>0</v>
      </c>
      <c r="BA42" s="80">
        <f t="shared" si="21"/>
        <v>0</v>
      </c>
      <c r="BB42" s="80">
        <f t="shared" si="21"/>
        <v>0</v>
      </c>
      <c r="BC42" s="80">
        <f t="shared" si="21"/>
        <v>0</v>
      </c>
      <c r="BD42" s="80">
        <f t="shared" si="21"/>
        <v>0</v>
      </c>
      <c r="BE42" s="80">
        <f t="shared" si="21"/>
        <v>0</v>
      </c>
      <c r="BF42" s="80">
        <f t="shared" si="21"/>
        <v>0</v>
      </c>
      <c r="BG42" s="80">
        <f t="shared" si="21"/>
        <v>0</v>
      </c>
      <c r="BH42" s="80">
        <f t="shared" si="21"/>
        <v>0</v>
      </c>
      <c r="BI42" s="80">
        <f t="shared" si="21"/>
        <v>0</v>
      </c>
      <c r="BJ42" s="80">
        <f t="shared" si="21"/>
        <v>0</v>
      </c>
      <c r="BK42" s="80">
        <f t="shared" si="21"/>
        <v>0</v>
      </c>
      <c r="BL42" s="80">
        <f t="shared" si="21"/>
        <v>0</v>
      </c>
      <c r="BM42" s="80">
        <f t="shared" si="21"/>
        <v>0</v>
      </c>
      <c r="BN42" s="80">
        <f t="shared" si="21"/>
        <v>0</v>
      </c>
      <c r="BO42" s="80">
        <f t="shared" si="21"/>
        <v>0</v>
      </c>
      <c r="BP42" s="80">
        <f t="shared" si="21"/>
        <v>0</v>
      </c>
      <c r="BQ42" s="80">
        <f t="shared" si="21"/>
        <v>0</v>
      </c>
      <c r="BR42" s="80">
        <f t="shared" si="21"/>
        <v>0</v>
      </c>
      <c r="BS42" s="80">
        <f t="shared" si="21"/>
        <v>0</v>
      </c>
      <c r="BT42" s="80">
        <f t="shared" si="21"/>
        <v>0</v>
      </c>
      <c r="BU42" s="80">
        <f t="shared" si="21"/>
        <v>0</v>
      </c>
      <c r="BV42" s="80">
        <f t="shared" si="21"/>
        <v>0</v>
      </c>
      <c r="BW42" s="80">
        <f t="shared" si="21"/>
        <v>0</v>
      </c>
      <c r="BX42" s="80">
        <f t="shared" si="21"/>
        <v>0</v>
      </c>
      <c r="BY42" s="80">
        <f t="shared" si="21"/>
        <v>0</v>
      </c>
      <c r="BZ42" s="80">
        <f t="shared" si="21"/>
        <v>0</v>
      </c>
      <c r="CA42" s="80">
        <f t="shared" si="21"/>
        <v>0</v>
      </c>
      <c r="CB42" s="80">
        <f t="shared" si="21"/>
        <v>0</v>
      </c>
      <c r="CC42" s="80">
        <f t="shared" si="21"/>
        <v>0</v>
      </c>
      <c r="CD42" s="80">
        <f t="shared" si="21"/>
        <v>0</v>
      </c>
      <c r="CE42" s="80">
        <f t="shared" si="21"/>
        <v>0</v>
      </c>
      <c r="CF42" s="80">
        <f t="shared" si="21"/>
        <v>0</v>
      </c>
      <c r="CG42" s="80">
        <f t="shared" si="21"/>
        <v>0</v>
      </c>
      <c r="CH42" s="80">
        <f t="shared" si="21"/>
        <v>0</v>
      </c>
      <c r="CI42" s="80">
        <f t="shared" si="21"/>
        <v>0</v>
      </c>
      <c r="CJ42" s="80">
        <f t="shared" si="21"/>
        <v>0</v>
      </c>
      <c r="CK42" s="80">
        <f t="shared" si="21"/>
        <v>0</v>
      </c>
      <c r="CL42" s="80">
        <f t="shared" si="21"/>
        <v>0</v>
      </c>
      <c r="CM42" s="80">
        <f t="shared" si="21"/>
        <v>0</v>
      </c>
      <c r="CN42" s="80">
        <f t="shared" si="21"/>
        <v>0</v>
      </c>
      <c r="CO42" s="80">
        <f t="shared" ref="CO42:CT42" si="22">CO82/CO31*1000</f>
        <v>0</v>
      </c>
      <c r="CP42" s="80">
        <f t="shared" si="22"/>
        <v>0</v>
      </c>
      <c r="CQ42" s="80">
        <f t="shared" si="22"/>
        <v>0</v>
      </c>
      <c r="CR42" s="80">
        <f t="shared" si="22"/>
        <v>0</v>
      </c>
      <c r="CS42" s="80">
        <f t="shared" si="22"/>
        <v>0</v>
      </c>
      <c r="CT42" s="80">
        <f t="shared" si="22"/>
        <v>0</v>
      </c>
    </row>
    <row r="43" spans="1:98" ht="15.75" customHeight="1">
      <c r="A43" s="1" t="s">
        <v>75</v>
      </c>
      <c r="B43" s="89" t="s">
        <v>73</v>
      </c>
      <c r="C43" s="72">
        <f t="shared" ref="C43:D43" si="23">C83/C32*1000</f>
        <v>0</v>
      </c>
      <c r="D43" s="72">
        <f t="shared" ref="D43:E43" si="24">D83/D32*1000</f>
        <v>0</v>
      </c>
      <c r="E43" s="72">
        <f t="shared" si="24"/>
        <v>0</v>
      </c>
      <c r="F43" s="72">
        <f t="shared" ref="F43:K43" si="25">F83/F32*1000</f>
        <v>0</v>
      </c>
      <c r="G43" s="72">
        <f t="shared" si="25"/>
        <v>0</v>
      </c>
      <c r="H43" s="72">
        <f t="shared" si="25"/>
        <v>0</v>
      </c>
      <c r="I43" s="72">
        <f t="shared" si="25"/>
        <v>0</v>
      </c>
      <c r="J43" s="72">
        <f t="shared" si="25"/>
        <v>0</v>
      </c>
      <c r="K43" s="72">
        <f t="shared" si="25"/>
        <v>0</v>
      </c>
      <c r="L43" s="72">
        <f t="shared" ref="L43:AC43" si="26">L83/L32*1000</f>
        <v>0</v>
      </c>
      <c r="M43" s="72">
        <f t="shared" si="26"/>
        <v>0</v>
      </c>
      <c r="N43" s="72">
        <f t="shared" si="26"/>
        <v>0</v>
      </c>
      <c r="O43" s="72">
        <f t="shared" si="26"/>
        <v>0</v>
      </c>
      <c r="P43" s="72">
        <f t="shared" si="26"/>
        <v>0</v>
      </c>
      <c r="Q43" s="72">
        <f t="shared" si="26"/>
        <v>0</v>
      </c>
      <c r="R43" s="72">
        <f t="shared" si="26"/>
        <v>0</v>
      </c>
      <c r="S43" s="72">
        <f t="shared" si="26"/>
        <v>0</v>
      </c>
      <c r="T43" s="72">
        <f t="shared" si="26"/>
        <v>0</v>
      </c>
      <c r="U43" s="72">
        <f t="shared" si="26"/>
        <v>0</v>
      </c>
      <c r="V43" s="72">
        <f t="shared" si="26"/>
        <v>0</v>
      </c>
      <c r="W43" s="72">
        <f t="shared" si="26"/>
        <v>0</v>
      </c>
      <c r="X43" s="72">
        <f t="shared" si="26"/>
        <v>0</v>
      </c>
      <c r="Y43" s="72">
        <f t="shared" si="26"/>
        <v>0</v>
      </c>
      <c r="Z43" s="72">
        <f t="shared" si="26"/>
        <v>0</v>
      </c>
      <c r="AA43" s="72">
        <f t="shared" si="26"/>
        <v>0</v>
      </c>
      <c r="AB43" s="72">
        <f t="shared" si="26"/>
        <v>0</v>
      </c>
      <c r="AC43" s="72">
        <f t="shared" si="26"/>
        <v>0</v>
      </c>
      <c r="AD43" s="72">
        <f t="shared" ref="AD43:CN43" si="27">AD83/AD32*1000</f>
        <v>0</v>
      </c>
      <c r="AE43" s="72">
        <f t="shared" si="27"/>
        <v>0</v>
      </c>
      <c r="AF43" s="72">
        <f t="shared" si="27"/>
        <v>0</v>
      </c>
      <c r="AG43" s="72">
        <f t="shared" si="27"/>
        <v>0</v>
      </c>
      <c r="AH43" s="72">
        <f t="shared" si="27"/>
        <v>0</v>
      </c>
      <c r="AI43" s="72">
        <f t="shared" si="27"/>
        <v>0</v>
      </c>
      <c r="AJ43" s="72">
        <f t="shared" si="27"/>
        <v>0</v>
      </c>
      <c r="AK43" s="72">
        <f t="shared" si="27"/>
        <v>0</v>
      </c>
      <c r="AL43" s="72">
        <f t="shared" si="27"/>
        <v>0</v>
      </c>
      <c r="AM43" s="72">
        <f t="shared" si="27"/>
        <v>0</v>
      </c>
      <c r="AN43" s="72">
        <f t="shared" si="27"/>
        <v>0</v>
      </c>
      <c r="AO43" s="72">
        <f t="shared" si="27"/>
        <v>0</v>
      </c>
      <c r="AP43" s="72">
        <f t="shared" si="27"/>
        <v>0</v>
      </c>
      <c r="AQ43" s="72">
        <f t="shared" si="27"/>
        <v>0</v>
      </c>
      <c r="AR43" s="72">
        <f t="shared" si="27"/>
        <v>0</v>
      </c>
      <c r="AS43" s="72">
        <f t="shared" si="27"/>
        <v>0</v>
      </c>
      <c r="AT43" s="72">
        <f t="shared" si="27"/>
        <v>0</v>
      </c>
      <c r="AU43" s="72">
        <f t="shared" si="27"/>
        <v>0</v>
      </c>
      <c r="AV43" s="72">
        <f t="shared" si="27"/>
        <v>0</v>
      </c>
      <c r="AW43" s="72">
        <f t="shared" si="27"/>
        <v>0</v>
      </c>
      <c r="AX43" s="72">
        <f t="shared" si="27"/>
        <v>0</v>
      </c>
      <c r="AY43" s="72">
        <f t="shared" si="27"/>
        <v>0</v>
      </c>
      <c r="AZ43" s="72">
        <f t="shared" si="27"/>
        <v>0</v>
      </c>
      <c r="BA43" s="72">
        <f t="shared" si="27"/>
        <v>0</v>
      </c>
      <c r="BB43" s="72">
        <f t="shared" si="27"/>
        <v>0</v>
      </c>
      <c r="BC43" s="72">
        <f t="shared" si="27"/>
        <v>0</v>
      </c>
      <c r="BD43" s="72">
        <f t="shared" si="27"/>
        <v>0</v>
      </c>
      <c r="BE43" s="72">
        <f t="shared" si="27"/>
        <v>0</v>
      </c>
      <c r="BF43" s="72">
        <f t="shared" si="27"/>
        <v>0</v>
      </c>
      <c r="BG43" s="72">
        <f t="shared" si="27"/>
        <v>0</v>
      </c>
      <c r="BH43" s="72">
        <f t="shared" si="27"/>
        <v>0</v>
      </c>
      <c r="BI43" s="72">
        <f t="shared" si="27"/>
        <v>0</v>
      </c>
      <c r="BJ43" s="72">
        <f t="shared" si="27"/>
        <v>0</v>
      </c>
      <c r="BK43" s="72">
        <f t="shared" si="27"/>
        <v>0</v>
      </c>
      <c r="BL43" s="72">
        <f t="shared" si="27"/>
        <v>0</v>
      </c>
      <c r="BM43" s="72">
        <f t="shared" si="27"/>
        <v>0</v>
      </c>
      <c r="BN43" s="72">
        <f t="shared" si="27"/>
        <v>0</v>
      </c>
      <c r="BO43" s="72">
        <f t="shared" si="27"/>
        <v>0</v>
      </c>
      <c r="BP43" s="72">
        <f t="shared" si="27"/>
        <v>0</v>
      </c>
      <c r="BQ43" s="72">
        <f t="shared" si="27"/>
        <v>0</v>
      </c>
      <c r="BR43" s="72">
        <f t="shared" si="27"/>
        <v>0</v>
      </c>
      <c r="BS43" s="72">
        <f t="shared" si="27"/>
        <v>0</v>
      </c>
      <c r="BT43" s="72">
        <f t="shared" si="27"/>
        <v>0</v>
      </c>
      <c r="BU43" s="72">
        <f t="shared" si="27"/>
        <v>0</v>
      </c>
      <c r="BV43" s="72">
        <f t="shared" si="27"/>
        <v>0</v>
      </c>
      <c r="BW43" s="72">
        <f t="shared" si="27"/>
        <v>0</v>
      </c>
      <c r="BX43" s="72">
        <f t="shared" si="27"/>
        <v>0</v>
      </c>
      <c r="BY43" s="72">
        <f t="shared" si="27"/>
        <v>0</v>
      </c>
      <c r="BZ43" s="72">
        <f t="shared" si="27"/>
        <v>0</v>
      </c>
      <c r="CA43" s="72">
        <f t="shared" si="27"/>
        <v>0</v>
      </c>
      <c r="CB43" s="72">
        <f t="shared" si="27"/>
        <v>0</v>
      </c>
      <c r="CC43" s="72">
        <f t="shared" si="27"/>
        <v>0</v>
      </c>
      <c r="CD43" s="72">
        <f t="shared" si="27"/>
        <v>0</v>
      </c>
      <c r="CE43" s="72">
        <f t="shared" si="27"/>
        <v>0</v>
      </c>
      <c r="CF43" s="72">
        <f t="shared" si="27"/>
        <v>0</v>
      </c>
      <c r="CG43" s="72">
        <f t="shared" si="27"/>
        <v>0</v>
      </c>
      <c r="CH43" s="72">
        <f t="shared" si="27"/>
        <v>0</v>
      </c>
      <c r="CI43" s="72">
        <f t="shared" si="27"/>
        <v>0</v>
      </c>
      <c r="CJ43" s="72">
        <f t="shared" si="27"/>
        <v>0</v>
      </c>
      <c r="CK43" s="72">
        <f t="shared" si="27"/>
        <v>0</v>
      </c>
      <c r="CL43" s="72">
        <f t="shared" si="27"/>
        <v>0</v>
      </c>
      <c r="CM43" s="72">
        <f t="shared" si="27"/>
        <v>0</v>
      </c>
      <c r="CN43" s="72">
        <f t="shared" si="27"/>
        <v>0</v>
      </c>
      <c r="CO43" s="72">
        <f t="shared" ref="CO43:CT43" si="28">CO83/CO32*1000</f>
        <v>0</v>
      </c>
      <c r="CP43" s="72">
        <f t="shared" si="28"/>
        <v>0</v>
      </c>
      <c r="CQ43" s="72">
        <f t="shared" si="28"/>
        <v>0</v>
      </c>
      <c r="CR43" s="72">
        <f t="shared" si="28"/>
        <v>0</v>
      </c>
      <c r="CS43" s="72">
        <f t="shared" si="28"/>
        <v>0</v>
      </c>
      <c r="CT43" s="72">
        <f t="shared" si="28"/>
        <v>0</v>
      </c>
    </row>
    <row r="44" spans="1:98" ht="15.75" customHeight="1">
      <c r="A44" s="1" t="s">
        <v>76</v>
      </c>
      <c r="B44" s="89" t="s">
        <v>73</v>
      </c>
      <c r="C44" s="72">
        <f t="shared" ref="C44:D44" si="29">C84/C33*1000</f>
        <v>0</v>
      </c>
      <c r="D44" s="72">
        <f t="shared" ref="D44:E44" si="30">D84/D33*1000</f>
        <v>0</v>
      </c>
      <c r="E44" s="72">
        <f t="shared" si="30"/>
        <v>0</v>
      </c>
      <c r="F44" s="72">
        <f t="shared" ref="F44:K44" si="31">F84/F33*1000</f>
        <v>0</v>
      </c>
      <c r="G44" s="72">
        <f t="shared" si="31"/>
        <v>0</v>
      </c>
      <c r="H44" s="72">
        <f t="shared" si="31"/>
        <v>0</v>
      </c>
      <c r="I44" s="72">
        <f t="shared" si="31"/>
        <v>0</v>
      </c>
      <c r="J44" s="72">
        <f t="shared" si="31"/>
        <v>0</v>
      </c>
      <c r="K44" s="72">
        <f t="shared" si="31"/>
        <v>0</v>
      </c>
      <c r="L44" s="72">
        <f t="shared" ref="L44:AC44" si="32">L84/L33*1000</f>
        <v>0</v>
      </c>
      <c r="M44" s="72">
        <f t="shared" si="32"/>
        <v>0</v>
      </c>
      <c r="N44" s="72">
        <f t="shared" si="32"/>
        <v>0</v>
      </c>
      <c r="O44" s="72">
        <f t="shared" si="32"/>
        <v>0</v>
      </c>
      <c r="P44" s="72">
        <f t="shared" si="32"/>
        <v>0</v>
      </c>
      <c r="Q44" s="72">
        <f t="shared" si="32"/>
        <v>0</v>
      </c>
      <c r="R44" s="72">
        <f t="shared" si="32"/>
        <v>0</v>
      </c>
      <c r="S44" s="72">
        <f t="shared" si="32"/>
        <v>0</v>
      </c>
      <c r="T44" s="72">
        <f t="shared" si="32"/>
        <v>0</v>
      </c>
      <c r="U44" s="72">
        <f t="shared" si="32"/>
        <v>0</v>
      </c>
      <c r="V44" s="72">
        <f t="shared" si="32"/>
        <v>0</v>
      </c>
      <c r="W44" s="72">
        <f t="shared" si="32"/>
        <v>0</v>
      </c>
      <c r="X44" s="72">
        <f t="shared" si="32"/>
        <v>0</v>
      </c>
      <c r="Y44" s="72">
        <f t="shared" si="32"/>
        <v>0</v>
      </c>
      <c r="Z44" s="72">
        <f t="shared" si="32"/>
        <v>0</v>
      </c>
      <c r="AA44" s="72">
        <f t="shared" si="32"/>
        <v>0</v>
      </c>
      <c r="AB44" s="72">
        <f t="shared" si="32"/>
        <v>0</v>
      </c>
      <c r="AC44" s="72">
        <f t="shared" si="32"/>
        <v>0</v>
      </c>
      <c r="AD44" s="72">
        <f t="shared" ref="AD44:CN44" si="33">AD84/AD33*1000</f>
        <v>0</v>
      </c>
      <c r="AE44" s="72">
        <f t="shared" si="33"/>
        <v>0</v>
      </c>
      <c r="AF44" s="72">
        <f t="shared" si="33"/>
        <v>0</v>
      </c>
      <c r="AG44" s="72">
        <f t="shared" si="33"/>
        <v>0</v>
      </c>
      <c r="AH44" s="72">
        <f t="shared" si="33"/>
        <v>0</v>
      </c>
      <c r="AI44" s="72">
        <f t="shared" si="33"/>
        <v>0</v>
      </c>
      <c r="AJ44" s="72">
        <f t="shared" si="33"/>
        <v>0</v>
      </c>
      <c r="AK44" s="72">
        <f t="shared" si="33"/>
        <v>0</v>
      </c>
      <c r="AL44" s="72">
        <f t="shared" si="33"/>
        <v>0</v>
      </c>
      <c r="AM44" s="72">
        <f t="shared" si="33"/>
        <v>0</v>
      </c>
      <c r="AN44" s="72">
        <f t="shared" si="33"/>
        <v>0</v>
      </c>
      <c r="AO44" s="72">
        <f t="shared" si="33"/>
        <v>0</v>
      </c>
      <c r="AP44" s="72">
        <f t="shared" si="33"/>
        <v>0</v>
      </c>
      <c r="AQ44" s="72">
        <f t="shared" si="33"/>
        <v>0</v>
      </c>
      <c r="AR44" s="72">
        <f t="shared" si="33"/>
        <v>0</v>
      </c>
      <c r="AS44" s="72">
        <f t="shared" si="33"/>
        <v>0</v>
      </c>
      <c r="AT44" s="72">
        <f t="shared" si="33"/>
        <v>0</v>
      </c>
      <c r="AU44" s="72">
        <f t="shared" si="33"/>
        <v>0</v>
      </c>
      <c r="AV44" s="72">
        <f t="shared" si="33"/>
        <v>0</v>
      </c>
      <c r="AW44" s="72">
        <f t="shared" si="33"/>
        <v>0</v>
      </c>
      <c r="AX44" s="72">
        <f t="shared" si="33"/>
        <v>0</v>
      </c>
      <c r="AY44" s="72">
        <f t="shared" si="33"/>
        <v>0</v>
      </c>
      <c r="AZ44" s="72">
        <f t="shared" si="33"/>
        <v>0</v>
      </c>
      <c r="BA44" s="72">
        <f t="shared" si="33"/>
        <v>0</v>
      </c>
      <c r="BB44" s="72">
        <f t="shared" si="33"/>
        <v>0</v>
      </c>
      <c r="BC44" s="72">
        <f t="shared" si="33"/>
        <v>0</v>
      </c>
      <c r="BD44" s="72">
        <f t="shared" si="33"/>
        <v>0</v>
      </c>
      <c r="BE44" s="72">
        <f t="shared" si="33"/>
        <v>0</v>
      </c>
      <c r="BF44" s="72">
        <f t="shared" si="33"/>
        <v>0</v>
      </c>
      <c r="BG44" s="72">
        <f t="shared" si="33"/>
        <v>0</v>
      </c>
      <c r="BH44" s="72">
        <f t="shared" si="33"/>
        <v>0</v>
      </c>
      <c r="BI44" s="72">
        <f t="shared" si="33"/>
        <v>0</v>
      </c>
      <c r="BJ44" s="72">
        <f t="shared" si="33"/>
        <v>0</v>
      </c>
      <c r="BK44" s="72">
        <f t="shared" si="33"/>
        <v>0</v>
      </c>
      <c r="BL44" s="72">
        <f t="shared" si="33"/>
        <v>0</v>
      </c>
      <c r="BM44" s="72">
        <f t="shared" si="33"/>
        <v>0</v>
      </c>
      <c r="BN44" s="72">
        <f t="shared" si="33"/>
        <v>0</v>
      </c>
      <c r="BO44" s="72">
        <f t="shared" si="33"/>
        <v>0</v>
      </c>
      <c r="BP44" s="72">
        <f t="shared" si="33"/>
        <v>0</v>
      </c>
      <c r="BQ44" s="72">
        <f t="shared" si="33"/>
        <v>0</v>
      </c>
      <c r="BR44" s="72">
        <f t="shared" si="33"/>
        <v>0</v>
      </c>
      <c r="BS44" s="72">
        <f t="shared" si="33"/>
        <v>0</v>
      </c>
      <c r="BT44" s="72">
        <f t="shared" si="33"/>
        <v>0</v>
      </c>
      <c r="BU44" s="72">
        <f t="shared" si="33"/>
        <v>0</v>
      </c>
      <c r="BV44" s="72">
        <f t="shared" si="33"/>
        <v>0</v>
      </c>
      <c r="BW44" s="72">
        <f t="shared" si="33"/>
        <v>0</v>
      </c>
      <c r="BX44" s="72">
        <f t="shared" si="33"/>
        <v>0</v>
      </c>
      <c r="BY44" s="72">
        <f t="shared" si="33"/>
        <v>0</v>
      </c>
      <c r="BZ44" s="72">
        <f t="shared" si="33"/>
        <v>0</v>
      </c>
      <c r="CA44" s="72">
        <f t="shared" si="33"/>
        <v>0</v>
      </c>
      <c r="CB44" s="72">
        <f t="shared" si="33"/>
        <v>0</v>
      </c>
      <c r="CC44" s="72">
        <f t="shared" si="33"/>
        <v>0</v>
      </c>
      <c r="CD44" s="72">
        <f t="shared" si="33"/>
        <v>0</v>
      </c>
      <c r="CE44" s="72">
        <f t="shared" si="33"/>
        <v>0</v>
      </c>
      <c r="CF44" s="72">
        <f t="shared" si="33"/>
        <v>0</v>
      </c>
      <c r="CG44" s="72">
        <f t="shared" si="33"/>
        <v>0</v>
      </c>
      <c r="CH44" s="72">
        <f t="shared" si="33"/>
        <v>0</v>
      </c>
      <c r="CI44" s="72">
        <f t="shared" si="33"/>
        <v>0</v>
      </c>
      <c r="CJ44" s="72">
        <f t="shared" si="33"/>
        <v>0</v>
      </c>
      <c r="CK44" s="72">
        <f t="shared" si="33"/>
        <v>0</v>
      </c>
      <c r="CL44" s="72">
        <f t="shared" si="33"/>
        <v>0</v>
      </c>
      <c r="CM44" s="72">
        <f t="shared" si="33"/>
        <v>0</v>
      </c>
      <c r="CN44" s="72">
        <f t="shared" si="33"/>
        <v>0</v>
      </c>
      <c r="CO44" s="72">
        <f t="shared" ref="CO44:CT44" si="34">CO84/CO33*1000</f>
        <v>0</v>
      </c>
      <c r="CP44" s="72">
        <f t="shared" si="34"/>
        <v>0</v>
      </c>
      <c r="CQ44" s="72">
        <f t="shared" si="34"/>
        <v>0</v>
      </c>
      <c r="CR44" s="72">
        <f t="shared" si="34"/>
        <v>0</v>
      </c>
      <c r="CS44" s="72">
        <f t="shared" si="34"/>
        <v>0</v>
      </c>
      <c r="CT44" s="72">
        <f t="shared" si="34"/>
        <v>0</v>
      </c>
    </row>
    <row r="45" spans="1:98" ht="15.75" customHeight="1">
      <c r="A45" s="90"/>
      <c r="B45" s="89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  <c r="AA45" s="72"/>
      <c r="AB45" s="72"/>
      <c r="AC45" s="72"/>
      <c r="AD45" s="72"/>
      <c r="AE45" s="72"/>
      <c r="AF45" s="72"/>
      <c r="AG45" s="72"/>
      <c r="AH45" s="72"/>
      <c r="AI45" s="72"/>
      <c r="AJ45" s="72"/>
      <c r="AK45" s="72"/>
      <c r="AL45" s="72"/>
      <c r="AM45" s="72"/>
      <c r="AN45" s="72"/>
      <c r="AO45" s="72"/>
      <c r="AP45" s="72"/>
      <c r="AQ45" s="72"/>
      <c r="AR45" s="72"/>
      <c r="AS45" s="72"/>
      <c r="AT45" s="72"/>
      <c r="AU45" s="72"/>
      <c r="AV45" s="72"/>
      <c r="AW45" s="72"/>
      <c r="AX45" s="72"/>
      <c r="AY45" s="72"/>
      <c r="AZ45" s="72"/>
      <c r="BA45" s="72"/>
      <c r="BB45" s="72"/>
      <c r="BC45" s="72"/>
      <c r="BD45" s="72"/>
      <c r="BE45" s="72"/>
      <c r="BF45" s="72"/>
      <c r="BG45" s="72"/>
      <c r="BH45" s="72"/>
      <c r="BI45" s="72"/>
      <c r="BJ45" s="72"/>
      <c r="BK45" s="72"/>
      <c r="BL45" s="72"/>
      <c r="BM45" s="72"/>
      <c r="BN45" s="72"/>
      <c r="BO45" s="72"/>
      <c r="BP45" s="72"/>
      <c r="BQ45" s="72"/>
      <c r="BR45" s="72"/>
      <c r="BS45" s="72"/>
      <c r="BT45" s="72"/>
      <c r="BU45" s="72"/>
      <c r="BV45" s="72"/>
      <c r="BW45" s="72"/>
      <c r="BX45" s="72"/>
      <c r="BY45" s="72"/>
      <c r="BZ45" s="72"/>
      <c r="CA45" s="72"/>
      <c r="CB45" s="72"/>
      <c r="CC45" s="72"/>
      <c r="CD45" s="72"/>
      <c r="CE45" s="72"/>
      <c r="CF45" s="72"/>
      <c r="CG45" s="72"/>
      <c r="CH45" s="72"/>
      <c r="CI45" s="72"/>
      <c r="CJ45" s="72"/>
      <c r="CK45" s="72"/>
      <c r="CL45" s="72"/>
      <c r="CM45" s="72"/>
      <c r="CN45" s="72"/>
      <c r="CO45" s="72"/>
      <c r="CP45" s="72"/>
      <c r="CQ45" s="72"/>
      <c r="CR45" s="72"/>
      <c r="CS45" s="72"/>
      <c r="CT45" s="72"/>
    </row>
    <row r="46" spans="1:98" ht="15.75" customHeight="1">
      <c r="A46" s="1" t="s">
        <v>77</v>
      </c>
      <c r="B46" s="89" t="s">
        <v>78</v>
      </c>
      <c r="C46" s="80" t="e">
        <f t="shared" ref="C46:D46" si="35">C48*C34*C11*100/(C35*C57)</f>
        <v>#DIV/0!</v>
      </c>
      <c r="D46" s="80" t="e">
        <f t="shared" ref="D46:E46" si="36">D48*D34*D11*100/(D35*D57)</f>
        <v>#DIV/0!</v>
      </c>
      <c r="E46" s="80" t="e">
        <f t="shared" si="36"/>
        <v>#DIV/0!</v>
      </c>
      <c r="F46" s="80" t="e">
        <f t="shared" ref="F46:K46" si="37">F48*F34*F11*100/(F35*F57)</f>
        <v>#DIV/0!</v>
      </c>
      <c r="G46" s="80" t="e">
        <f t="shared" si="37"/>
        <v>#DIV/0!</v>
      </c>
      <c r="H46" s="80" t="e">
        <f t="shared" si="37"/>
        <v>#DIV/0!</v>
      </c>
      <c r="I46" s="80" t="e">
        <f t="shared" si="37"/>
        <v>#DIV/0!</v>
      </c>
      <c r="J46" s="80" t="e">
        <f t="shared" si="37"/>
        <v>#DIV/0!</v>
      </c>
      <c r="K46" s="80" t="e">
        <f t="shared" si="37"/>
        <v>#DIV/0!</v>
      </c>
      <c r="L46" s="80" t="e">
        <f t="shared" ref="L46:AC46" si="38">L48*L34*L11*100/(L35*L57)</f>
        <v>#DIV/0!</v>
      </c>
      <c r="M46" s="80" t="e">
        <f t="shared" si="38"/>
        <v>#DIV/0!</v>
      </c>
      <c r="N46" s="80" t="e">
        <f t="shared" si="38"/>
        <v>#DIV/0!</v>
      </c>
      <c r="O46" s="80" t="e">
        <f t="shared" si="38"/>
        <v>#DIV/0!</v>
      </c>
      <c r="P46" s="80" t="e">
        <f t="shared" si="38"/>
        <v>#DIV/0!</v>
      </c>
      <c r="Q46" s="80" t="e">
        <f t="shared" si="38"/>
        <v>#DIV/0!</v>
      </c>
      <c r="R46" s="80" t="e">
        <f t="shared" si="38"/>
        <v>#DIV/0!</v>
      </c>
      <c r="S46" s="80" t="e">
        <f t="shared" si="38"/>
        <v>#DIV/0!</v>
      </c>
      <c r="T46" s="80" t="e">
        <f t="shared" si="38"/>
        <v>#DIV/0!</v>
      </c>
      <c r="U46" s="80" t="e">
        <f t="shared" si="38"/>
        <v>#DIV/0!</v>
      </c>
      <c r="V46" s="80" t="e">
        <f t="shared" si="38"/>
        <v>#DIV/0!</v>
      </c>
      <c r="W46" s="80" t="e">
        <f t="shared" si="38"/>
        <v>#DIV/0!</v>
      </c>
      <c r="X46" s="80" t="e">
        <f t="shared" si="38"/>
        <v>#DIV/0!</v>
      </c>
      <c r="Y46" s="80" t="e">
        <f t="shared" si="38"/>
        <v>#DIV/0!</v>
      </c>
      <c r="Z46" s="80" t="e">
        <f t="shared" si="38"/>
        <v>#DIV/0!</v>
      </c>
      <c r="AA46" s="80" t="e">
        <f t="shared" si="38"/>
        <v>#DIV/0!</v>
      </c>
      <c r="AB46" s="80" t="e">
        <f t="shared" si="38"/>
        <v>#DIV/0!</v>
      </c>
      <c r="AC46" s="80" t="e">
        <f t="shared" si="38"/>
        <v>#DIV/0!</v>
      </c>
      <c r="AD46" s="80" t="e">
        <f t="shared" ref="AD46:CN46" si="39">AD48*AD34*AD11*100/(AD35*AD57)</f>
        <v>#DIV/0!</v>
      </c>
      <c r="AE46" s="80" t="e">
        <f t="shared" si="39"/>
        <v>#DIV/0!</v>
      </c>
      <c r="AF46" s="80" t="e">
        <f t="shared" si="39"/>
        <v>#DIV/0!</v>
      </c>
      <c r="AG46" s="80" t="e">
        <f t="shared" si="39"/>
        <v>#DIV/0!</v>
      </c>
      <c r="AH46" s="80" t="e">
        <f t="shared" si="39"/>
        <v>#DIV/0!</v>
      </c>
      <c r="AI46" s="80" t="e">
        <f t="shared" si="39"/>
        <v>#DIV/0!</v>
      </c>
      <c r="AJ46" s="80" t="e">
        <f t="shared" si="39"/>
        <v>#DIV/0!</v>
      </c>
      <c r="AK46" s="80" t="e">
        <f t="shared" si="39"/>
        <v>#DIV/0!</v>
      </c>
      <c r="AL46" s="80" t="e">
        <f t="shared" si="39"/>
        <v>#DIV/0!</v>
      </c>
      <c r="AM46" s="80" t="e">
        <f t="shared" si="39"/>
        <v>#DIV/0!</v>
      </c>
      <c r="AN46" s="80" t="e">
        <f t="shared" si="39"/>
        <v>#DIV/0!</v>
      </c>
      <c r="AO46" s="80" t="e">
        <f t="shared" si="39"/>
        <v>#DIV/0!</v>
      </c>
      <c r="AP46" s="80" t="e">
        <f t="shared" si="39"/>
        <v>#DIV/0!</v>
      </c>
      <c r="AQ46" s="80" t="e">
        <f t="shared" si="39"/>
        <v>#DIV/0!</v>
      </c>
      <c r="AR46" s="80" t="e">
        <f t="shared" si="39"/>
        <v>#DIV/0!</v>
      </c>
      <c r="AS46" s="80" t="e">
        <f t="shared" si="39"/>
        <v>#DIV/0!</v>
      </c>
      <c r="AT46" s="80" t="e">
        <f t="shared" si="39"/>
        <v>#DIV/0!</v>
      </c>
      <c r="AU46" s="80" t="e">
        <f t="shared" si="39"/>
        <v>#DIV/0!</v>
      </c>
      <c r="AV46" s="80" t="e">
        <f t="shared" si="39"/>
        <v>#DIV/0!</v>
      </c>
      <c r="AW46" s="80" t="e">
        <f t="shared" si="39"/>
        <v>#DIV/0!</v>
      </c>
      <c r="AX46" s="80" t="e">
        <f t="shared" si="39"/>
        <v>#DIV/0!</v>
      </c>
      <c r="AY46" s="80" t="e">
        <f t="shared" si="39"/>
        <v>#DIV/0!</v>
      </c>
      <c r="AZ46" s="80" t="e">
        <f t="shared" si="39"/>
        <v>#DIV/0!</v>
      </c>
      <c r="BA46" s="80" t="e">
        <f t="shared" si="39"/>
        <v>#DIV/0!</v>
      </c>
      <c r="BB46" s="80" t="e">
        <f t="shared" si="39"/>
        <v>#DIV/0!</v>
      </c>
      <c r="BC46" s="80" t="e">
        <f t="shared" si="39"/>
        <v>#DIV/0!</v>
      </c>
      <c r="BD46" s="80" t="e">
        <f t="shared" si="39"/>
        <v>#DIV/0!</v>
      </c>
      <c r="BE46" s="80" t="e">
        <f t="shared" si="39"/>
        <v>#DIV/0!</v>
      </c>
      <c r="BF46" s="80" t="e">
        <f t="shared" si="39"/>
        <v>#DIV/0!</v>
      </c>
      <c r="BG46" s="80" t="e">
        <f t="shared" si="39"/>
        <v>#DIV/0!</v>
      </c>
      <c r="BH46" s="80" t="e">
        <f t="shared" si="39"/>
        <v>#DIV/0!</v>
      </c>
      <c r="BI46" s="80" t="e">
        <f t="shared" si="39"/>
        <v>#DIV/0!</v>
      </c>
      <c r="BJ46" s="80" t="e">
        <f t="shared" si="39"/>
        <v>#DIV/0!</v>
      </c>
      <c r="BK46" s="80" t="e">
        <f t="shared" si="39"/>
        <v>#DIV/0!</v>
      </c>
      <c r="BL46" s="80" t="e">
        <f t="shared" si="39"/>
        <v>#DIV/0!</v>
      </c>
      <c r="BM46" s="80" t="e">
        <f t="shared" si="39"/>
        <v>#DIV/0!</v>
      </c>
      <c r="BN46" s="80" t="e">
        <f t="shared" si="39"/>
        <v>#DIV/0!</v>
      </c>
      <c r="BO46" s="80" t="e">
        <f t="shared" si="39"/>
        <v>#DIV/0!</v>
      </c>
      <c r="BP46" s="80" t="e">
        <f t="shared" si="39"/>
        <v>#DIV/0!</v>
      </c>
      <c r="BQ46" s="80" t="e">
        <f t="shared" si="39"/>
        <v>#DIV/0!</v>
      </c>
      <c r="BR46" s="80" t="e">
        <f t="shared" si="39"/>
        <v>#DIV/0!</v>
      </c>
      <c r="BS46" s="80" t="e">
        <f t="shared" si="39"/>
        <v>#DIV/0!</v>
      </c>
      <c r="BT46" s="80" t="e">
        <f t="shared" si="39"/>
        <v>#DIV/0!</v>
      </c>
      <c r="BU46" s="80" t="e">
        <f t="shared" si="39"/>
        <v>#DIV/0!</v>
      </c>
      <c r="BV46" s="80" t="e">
        <f t="shared" si="39"/>
        <v>#DIV/0!</v>
      </c>
      <c r="BW46" s="80" t="e">
        <f t="shared" si="39"/>
        <v>#DIV/0!</v>
      </c>
      <c r="BX46" s="80" t="e">
        <f t="shared" si="39"/>
        <v>#DIV/0!</v>
      </c>
      <c r="BY46" s="80" t="e">
        <f t="shared" si="39"/>
        <v>#DIV/0!</v>
      </c>
      <c r="BZ46" s="80" t="e">
        <f t="shared" si="39"/>
        <v>#DIV/0!</v>
      </c>
      <c r="CA46" s="80" t="e">
        <f t="shared" si="39"/>
        <v>#DIV/0!</v>
      </c>
      <c r="CB46" s="80" t="e">
        <f t="shared" si="39"/>
        <v>#DIV/0!</v>
      </c>
      <c r="CC46" s="80" t="e">
        <f t="shared" si="39"/>
        <v>#DIV/0!</v>
      </c>
      <c r="CD46" s="80" t="e">
        <f t="shared" si="39"/>
        <v>#DIV/0!</v>
      </c>
      <c r="CE46" s="80" t="e">
        <f t="shared" si="39"/>
        <v>#DIV/0!</v>
      </c>
      <c r="CF46" s="80" t="e">
        <f t="shared" si="39"/>
        <v>#DIV/0!</v>
      </c>
      <c r="CG46" s="80" t="e">
        <f t="shared" si="39"/>
        <v>#DIV/0!</v>
      </c>
      <c r="CH46" s="80" t="e">
        <f t="shared" si="39"/>
        <v>#DIV/0!</v>
      </c>
      <c r="CI46" s="80" t="e">
        <f t="shared" si="39"/>
        <v>#DIV/0!</v>
      </c>
      <c r="CJ46" s="80" t="e">
        <f t="shared" si="39"/>
        <v>#DIV/0!</v>
      </c>
      <c r="CK46" s="80" t="e">
        <f t="shared" si="39"/>
        <v>#DIV/0!</v>
      </c>
      <c r="CL46" s="80" t="e">
        <f t="shared" si="39"/>
        <v>#DIV/0!</v>
      </c>
      <c r="CM46" s="80" t="e">
        <f t="shared" si="39"/>
        <v>#DIV/0!</v>
      </c>
      <c r="CN46" s="80" t="e">
        <f t="shared" si="39"/>
        <v>#DIV/0!</v>
      </c>
      <c r="CO46" s="80" t="e">
        <f t="shared" ref="CO46:CT46" si="40">CO48*CO34*CO11*100/(CO35*CO57)</f>
        <v>#DIV/0!</v>
      </c>
      <c r="CP46" s="80" t="e">
        <f t="shared" si="40"/>
        <v>#DIV/0!</v>
      </c>
      <c r="CQ46" s="80" t="e">
        <f t="shared" si="40"/>
        <v>#DIV/0!</v>
      </c>
      <c r="CR46" s="80" t="e">
        <f t="shared" si="40"/>
        <v>#DIV/0!</v>
      </c>
      <c r="CS46" s="80" t="e">
        <f t="shared" si="40"/>
        <v>#DIV/0!</v>
      </c>
      <c r="CT46" s="80" t="e">
        <f t="shared" si="40"/>
        <v>#DIV/0!</v>
      </c>
    </row>
    <row r="47" spans="1:98" ht="15.75" customHeight="1">
      <c r="A47" s="1" t="s">
        <v>79</v>
      </c>
      <c r="B47" s="89" t="s">
        <v>78</v>
      </c>
      <c r="C47" s="72" t="e">
        <f t="shared" ref="C47:D47" si="41">C46*C15/100</f>
        <v>#DIV/0!</v>
      </c>
      <c r="D47" s="72" t="e">
        <f t="shared" ref="D47:E47" si="42">D46*D15/100</f>
        <v>#DIV/0!</v>
      </c>
      <c r="E47" s="72" t="e">
        <f t="shared" si="42"/>
        <v>#DIV/0!</v>
      </c>
      <c r="F47" s="72" t="e">
        <f t="shared" ref="F47:K47" si="43">F46*F15/100</f>
        <v>#DIV/0!</v>
      </c>
      <c r="G47" s="72" t="e">
        <f t="shared" si="43"/>
        <v>#DIV/0!</v>
      </c>
      <c r="H47" s="72" t="e">
        <f t="shared" si="43"/>
        <v>#DIV/0!</v>
      </c>
      <c r="I47" s="72" t="e">
        <f t="shared" si="43"/>
        <v>#DIV/0!</v>
      </c>
      <c r="J47" s="72" t="e">
        <f t="shared" si="43"/>
        <v>#DIV/0!</v>
      </c>
      <c r="K47" s="72" t="e">
        <f t="shared" si="43"/>
        <v>#DIV/0!</v>
      </c>
      <c r="L47" s="72" t="e">
        <f t="shared" ref="L47:AC47" si="44">L46*L15/100</f>
        <v>#DIV/0!</v>
      </c>
      <c r="M47" s="72" t="e">
        <f t="shared" si="44"/>
        <v>#DIV/0!</v>
      </c>
      <c r="N47" s="72" t="e">
        <f t="shared" si="44"/>
        <v>#DIV/0!</v>
      </c>
      <c r="O47" s="72" t="e">
        <f t="shared" si="44"/>
        <v>#DIV/0!</v>
      </c>
      <c r="P47" s="72" t="e">
        <f t="shared" si="44"/>
        <v>#DIV/0!</v>
      </c>
      <c r="Q47" s="72" t="e">
        <f t="shared" si="44"/>
        <v>#DIV/0!</v>
      </c>
      <c r="R47" s="72" t="e">
        <f t="shared" si="44"/>
        <v>#DIV/0!</v>
      </c>
      <c r="S47" s="72" t="e">
        <f t="shared" si="44"/>
        <v>#DIV/0!</v>
      </c>
      <c r="T47" s="72" t="e">
        <f t="shared" si="44"/>
        <v>#DIV/0!</v>
      </c>
      <c r="U47" s="72" t="e">
        <f t="shared" si="44"/>
        <v>#DIV/0!</v>
      </c>
      <c r="V47" s="72" t="e">
        <f t="shared" si="44"/>
        <v>#DIV/0!</v>
      </c>
      <c r="W47" s="72" t="e">
        <f t="shared" si="44"/>
        <v>#DIV/0!</v>
      </c>
      <c r="X47" s="72" t="e">
        <f t="shared" si="44"/>
        <v>#DIV/0!</v>
      </c>
      <c r="Y47" s="72" t="e">
        <f t="shared" si="44"/>
        <v>#DIV/0!</v>
      </c>
      <c r="Z47" s="72" t="e">
        <f t="shared" si="44"/>
        <v>#DIV/0!</v>
      </c>
      <c r="AA47" s="72" t="e">
        <f t="shared" si="44"/>
        <v>#DIV/0!</v>
      </c>
      <c r="AB47" s="72" t="e">
        <f t="shared" si="44"/>
        <v>#DIV/0!</v>
      </c>
      <c r="AC47" s="72" t="e">
        <f t="shared" si="44"/>
        <v>#DIV/0!</v>
      </c>
      <c r="AD47" s="72" t="e">
        <f t="shared" ref="AD47:CN47" si="45">AD46*AD15/100</f>
        <v>#DIV/0!</v>
      </c>
      <c r="AE47" s="72" t="e">
        <f t="shared" si="45"/>
        <v>#DIV/0!</v>
      </c>
      <c r="AF47" s="72" t="e">
        <f t="shared" si="45"/>
        <v>#DIV/0!</v>
      </c>
      <c r="AG47" s="72" t="e">
        <f t="shared" si="45"/>
        <v>#DIV/0!</v>
      </c>
      <c r="AH47" s="72" t="e">
        <f t="shared" si="45"/>
        <v>#DIV/0!</v>
      </c>
      <c r="AI47" s="72" t="e">
        <f t="shared" si="45"/>
        <v>#DIV/0!</v>
      </c>
      <c r="AJ47" s="72" t="e">
        <f t="shared" si="45"/>
        <v>#DIV/0!</v>
      </c>
      <c r="AK47" s="72" t="e">
        <f t="shared" si="45"/>
        <v>#DIV/0!</v>
      </c>
      <c r="AL47" s="72" t="e">
        <f t="shared" si="45"/>
        <v>#DIV/0!</v>
      </c>
      <c r="AM47" s="72" t="e">
        <f t="shared" si="45"/>
        <v>#DIV/0!</v>
      </c>
      <c r="AN47" s="72" t="e">
        <f t="shared" si="45"/>
        <v>#DIV/0!</v>
      </c>
      <c r="AO47" s="72" t="e">
        <f t="shared" si="45"/>
        <v>#DIV/0!</v>
      </c>
      <c r="AP47" s="72" t="e">
        <f t="shared" si="45"/>
        <v>#DIV/0!</v>
      </c>
      <c r="AQ47" s="72" t="e">
        <f t="shared" si="45"/>
        <v>#DIV/0!</v>
      </c>
      <c r="AR47" s="72" t="e">
        <f t="shared" si="45"/>
        <v>#DIV/0!</v>
      </c>
      <c r="AS47" s="72" t="e">
        <f t="shared" si="45"/>
        <v>#DIV/0!</v>
      </c>
      <c r="AT47" s="72" t="e">
        <f t="shared" si="45"/>
        <v>#DIV/0!</v>
      </c>
      <c r="AU47" s="72" t="e">
        <f t="shared" si="45"/>
        <v>#DIV/0!</v>
      </c>
      <c r="AV47" s="72" t="e">
        <f t="shared" si="45"/>
        <v>#DIV/0!</v>
      </c>
      <c r="AW47" s="72" t="e">
        <f t="shared" si="45"/>
        <v>#DIV/0!</v>
      </c>
      <c r="AX47" s="72" t="e">
        <f t="shared" si="45"/>
        <v>#DIV/0!</v>
      </c>
      <c r="AY47" s="72" t="e">
        <f t="shared" si="45"/>
        <v>#DIV/0!</v>
      </c>
      <c r="AZ47" s="72" t="e">
        <f t="shared" si="45"/>
        <v>#DIV/0!</v>
      </c>
      <c r="BA47" s="72" t="e">
        <f t="shared" si="45"/>
        <v>#DIV/0!</v>
      </c>
      <c r="BB47" s="72" t="e">
        <f t="shared" si="45"/>
        <v>#DIV/0!</v>
      </c>
      <c r="BC47" s="72" t="e">
        <f t="shared" si="45"/>
        <v>#DIV/0!</v>
      </c>
      <c r="BD47" s="72" t="e">
        <f t="shared" si="45"/>
        <v>#DIV/0!</v>
      </c>
      <c r="BE47" s="72" t="e">
        <f t="shared" si="45"/>
        <v>#DIV/0!</v>
      </c>
      <c r="BF47" s="72" t="e">
        <f t="shared" si="45"/>
        <v>#DIV/0!</v>
      </c>
      <c r="BG47" s="72" t="e">
        <f t="shared" si="45"/>
        <v>#DIV/0!</v>
      </c>
      <c r="BH47" s="72" t="e">
        <f t="shared" si="45"/>
        <v>#DIV/0!</v>
      </c>
      <c r="BI47" s="72" t="e">
        <f t="shared" si="45"/>
        <v>#DIV/0!</v>
      </c>
      <c r="BJ47" s="72" t="e">
        <f t="shared" si="45"/>
        <v>#DIV/0!</v>
      </c>
      <c r="BK47" s="72" t="e">
        <f t="shared" si="45"/>
        <v>#DIV/0!</v>
      </c>
      <c r="BL47" s="72" t="e">
        <f t="shared" si="45"/>
        <v>#DIV/0!</v>
      </c>
      <c r="BM47" s="72" t="e">
        <f t="shared" si="45"/>
        <v>#DIV/0!</v>
      </c>
      <c r="BN47" s="72" t="e">
        <f t="shared" si="45"/>
        <v>#DIV/0!</v>
      </c>
      <c r="BO47" s="72" t="e">
        <f t="shared" si="45"/>
        <v>#DIV/0!</v>
      </c>
      <c r="BP47" s="72" t="e">
        <f t="shared" si="45"/>
        <v>#DIV/0!</v>
      </c>
      <c r="BQ47" s="72" t="e">
        <f t="shared" si="45"/>
        <v>#DIV/0!</v>
      </c>
      <c r="BR47" s="72" t="e">
        <f t="shared" si="45"/>
        <v>#DIV/0!</v>
      </c>
      <c r="BS47" s="72" t="e">
        <f t="shared" si="45"/>
        <v>#DIV/0!</v>
      </c>
      <c r="BT47" s="72" t="e">
        <f t="shared" si="45"/>
        <v>#DIV/0!</v>
      </c>
      <c r="BU47" s="72" t="e">
        <f t="shared" si="45"/>
        <v>#DIV/0!</v>
      </c>
      <c r="BV47" s="72" t="e">
        <f t="shared" si="45"/>
        <v>#DIV/0!</v>
      </c>
      <c r="BW47" s="72" t="e">
        <f t="shared" si="45"/>
        <v>#DIV/0!</v>
      </c>
      <c r="BX47" s="72" t="e">
        <f t="shared" si="45"/>
        <v>#DIV/0!</v>
      </c>
      <c r="BY47" s="72" t="e">
        <f t="shared" si="45"/>
        <v>#DIV/0!</v>
      </c>
      <c r="BZ47" s="72" t="e">
        <f t="shared" si="45"/>
        <v>#DIV/0!</v>
      </c>
      <c r="CA47" s="72" t="e">
        <f t="shared" si="45"/>
        <v>#DIV/0!</v>
      </c>
      <c r="CB47" s="72" t="e">
        <f t="shared" si="45"/>
        <v>#DIV/0!</v>
      </c>
      <c r="CC47" s="72" t="e">
        <f t="shared" si="45"/>
        <v>#DIV/0!</v>
      </c>
      <c r="CD47" s="72" t="e">
        <f t="shared" si="45"/>
        <v>#DIV/0!</v>
      </c>
      <c r="CE47" s="72" t="e">
        <f t="shared" si="45"/>
        <v>#DIV/0!</v>
      </c>
      <c r="CF47" s="72" t="e">
        <f t="shared" si="45"/>
        <v>#DIV/0!</v>
      </c>
      <c r="CG47" s="72" t="e">
        <f t="shared" si="45"/>
        <v>#DIV/0!</v>
      </c>
      <c r="CH47" s="72" t="e">
        <f t="shared" si="45"/>
        <v>#DIV/0!</v>
      </c>
      <c r="CI47" s="72" t="e">
        <f t="shared" si="45"/>
        <v>#DIV/0!</v>
      </c>
      <c r="CJ47" s="72" t="e">
        <f t="shared" si="45"/>
        <v>#DIV/0!</v>
      </c>
      <c r="CK47" s="72" t="e">
        <f t="shared" si="45"/>
        <v>#DIV/0!</v>
      </c>
      <c r="CL47" s="72" t="e">
        <f t="shared" si="45"/>
        <v>#DIV/0!</v>
      </c>
      <c r="CM47" s="72" t="e">
        <f t="shared" si="45"/>
        <v>#DIV/0!</v>
      </c>
      <c r="CN47" s="72" t="e">
        <f t="shared" si="45"/>
        <v>#DIV/0!</v>
      </c>
      <c r="CO47" s="72" t="e">
        <f t="shared" ref="CO47:CT47" si="46">CO46*CO15/100</f>
        <v>#DIV/0!</v>
      </c>
      <c r="CP47" s="72" t="e">
        <f t="shared" si="46"/>
        <v>#DIV/0!</v>
      </c>
      <c r="CQ47" s="72" t="e">
        <f t="shared" si="46"/>
        <v>#DIV/0!</v>
      </c>
      <c r="CR47" s="72" t="e">
        <f t="shared" si="46"/>
        <v>#DIV/0!</v>
      </c>
      <c r="CS47" s="72" t="e">
        <f t="shared" si="46"/>
        <v>#DIV/0!</v>
      </c>
      <c r="CT47" s="72" t="e">
        <f t="shared" si="46"/>
        <v>#DIV/0!</v>
      </c>
    </row>
    <row r="48" spans="1:98" ht="15.75" customHeight="1">
      <c r="A48" s="1" t="s">
        <v>80</v>
      </c>
      <c r="B48" s="89" t="s">
        <v>81</v>
      </c>
      <c r="C48" s="72">
        <f t="shared" ref="C48:D48" si="47">C16*C17/1000</f>
        <v>0.75</v>
      </c>
      <c r="D48" s="72">
        <f t="shared" ref="D48:E48" si="48">D16*D17/1000</f>
        <v>0.75</v>
      </c>
      <c r="E48" s="72">
        <f t="shared" si="48"/>
        <v>0.75</v>
      </c>
      <c r="F48" s="72">
        <f t="shared" ref="F48:K48" si="49">F16*F17/1000</f>
        <v>0.75</v>
      </c>
      <c r="G48" s="72">
        <f t="shared" si="49"/>
        <v>0.75</v>
      </c>
      <c r="H48" s="72">
        <f t="shared" si="49"/>
        <v>0.75</v>
      </c>
      <c r="I48" s="72">
        <f t="shared" si="49"/>
        <v>0.75</v>
      </c>
      <c r="J48" s="72">
        <f t="shared" si="49"/>
        <v>0.75</v>
      </c>
      <c r="K48" s="72">
        <f t="shared" si="49"/>
        <v>0.75</v>
      </c>
      <c r="L48" s="72">
        <f t="shared" ref="L48:AC48" si="50">L16*L17/1000</f>
        <v>0.75</v>
      </c>
      <c r="M48" s="72">
        <f t="shared" si="50"/>
        <v>0.75</v>
      </c>
      <c r="N48" s="72">
        <f t="shared" si="50"/>
        <v>0.75</v>
      </c>
      <c r="O48" s="72">
        <f t="shared" si="50"/>
        <v>0.75</v>
      </c>
      <c r="P48" s="72">
        <f t="shared" si="50"/>
        <v>0.75</v>
      </c>
      <c r="Q48" s="72">
        <f t="shared" si="50"/>
        <v>0.75</v>
      </c>
      <c r="R48" s="72">
        <f t="shared" si="50"/>
        <v>0.75</v>
      </c>
      <c r="S48" s="72">
        <f t="shared" si="50"/>
        <v>0.75</v>
      </c>
      <c r="T48" s="72">
        <f t="shared" si="50"/>
        <v>0.75</v>
      </c>
      <c r="U48" s="72">
        <f t="shared" si="50"/>
        <v>0.75</v>
      </c>
      <c r="V48" s="72">
        <f t="shared" si="50"/>
        <v>0.75</v>
      </c>
      <c r="W48" s="72">
        <f t="shared" si="50"/>
        <v>0.75</v>
      </c>
      <c r="X48" s="72">
        <f t="shared" si="50"/>
        <v>0.75</v>
      </c>
      <c r="Y48" s="72">
        <f t="shared" si="50"/>
        <v>0.75</v>
      </c>
      <c r="Z48" s="72">
        <f t="shared" si="50"/>
        <v>0.75</v>
      </c>
      <c r="AA48" s="72">
        <f t="shared" si="50"/>
        <v>0.75</v>
      </c>
      <c r="AB48" s="72">
        <f t="shared" si="50"/>
        <v>0.75</v>
      </c>
      <c r="AC48" s="72">
        <f t="shared" si="50"/>
        <v>0.75</v>
      </c>
      <c r="AD48" s="72">
        <f t="shared" ref="AD48:CN48" si="51">AD16*AD17/1000</f>
        <v>0.75</v>
      </c>
      <c r="AE48" s="72">
        <f t="shared" si="51"/>
        <v>0.75</v>
      </c>
      <c r="AF48" s="72">
        <f t="shared" si="51"/>
        <v>0.75</v>
      </c>
      <c r="AG48" s="72">
        <f t="shared" si="51"/>
        <v>0.75</v>
      </c>
      <c r="AH48" s="72">
        <f t="shared" si="51"/>
        <v>0.75</v>
      </c>
      <c r="AI48" s="72">
        <f t="shared" si="51"/>
        <v>0.75</v>
      </c>
      <c r="AJ48" s="72">
        <f t="shared" si="51"/>
        <v>0.75</v>
      </c>
      <c r="AK48" s="72">
        <f t="shared" si="51"/>
        <v>0.75</v>
      </c>
      <c r="AL48" s="72">
        <f t="shared" si="51"/>
        <v>0.75</v>
      </c>
      <c r="AM48" s="72">
        <f t="shared" si="51"/>
        <v>0.75</v>
      </c>
      <c r="AN48" s="72">
        <f t="shared" si="51"/>
        <v>0.75</v>
      </c>
      <c r="AO48" s="72">
        <f t="shared" si="51"/>
        <v>0.75</v>
      </c>
      <c r="AP48" s="72">
        <f t="shared" si="51"/>
        <v>0.75</v>
      </c>
      <c r="AQ48" s="72">
        <f t="shared" si="51"/>
        <v>0.75</v>
      </c>
      <c r="AR48" s="72">
        <f t="shared" si="51"/>
        <v>0.75</v>
      </c>
      <c r="AS48" s="72">
        <f t="shared" si="51"/>
        <v>0.75</v>
      </c>
      <c r="AT48" s="72">
        <f t="shared" si="51"/>
        <v>0.75</v>
      </c>
      <c r="AU48" s="72">
        <f t="shared" si="51"/>
        <v>0.75</v>
      </c>
      <c r="AV48" s="72">
        <f t="shared" si="51"/>
        <v>0.75</v>
      </c>
      <c r="AW48" s="72">
        <f t="shared" si="51"/>
        <v>0.75</v>
      </c>
      <c r="AX48" s="72">
        <f t="shared" si="51"/>
        <v>0.75</v>
      </c>
      <c r="AY48" s="72">
        <f t="shared" si="51"/>
        <v>0.75</v>
      </c>
      <c r="AZ48" s="72">
        <f t="shared" si="51"/>
        <v>0.75</v>
      </c>
      <c r="BA48" s="72">
        <f t="shared" si="51"/>
        <v>0.75</v>
      </c>
      <c r="BB48" s="72">
        <f t="shared" si="51"/>
        <v>0.75</v>
      </c>
      <c r="BC48" s="72">
        <f t="shared" si="51"/>
        <v>0.75</v>
      </c>
      <c r="BD48" s="72">
        <f t="shared" si="51"/>
        <v>0.75</v>
      </c>
      <c r="BE48" s="72">
        <f t="shared" si="51"/>
        <v>0.75</v>
      </c>
      <c r="BF48" s="72">
        <f t="shared" si="51"/>
        <v>0.75</v>
      </c>
      <c r="BG48" s="72">
        <f t="shared" si="51"/>
        <v>0.75</v>
      </c>
      <c r="BH48" s="72">
        <f t="shared" si="51"/>
        <v>0.75</v>
      </c>
      <c r="BI48" s="72">
        <f t="shared" si="51"/>
        <v>0.75</v>
      </c>
      <c r="BJ48" s="72">
        <f t="shared" si="51"/>
        <v>0.75</v>
      </c>
      <c r="BK48" s="72">
        <f t="shared" si="51"/>
        <v>0.75</v>
      </c>
      <c r="BL48" s="72">
        <f t="shared" si="51"/>
        <v>0.75</v>
      </c>
      <c r="BM48" s="72">
        <f t="shared" si="51"/>
        <v>0.75</v>
      </c>
      <c r="BN48" s="72">
        <f t="shared" si="51"/>
        <v>0.75</v>
      </c>
      <c r="BO48" s="72">
        <f t="shared" si="51"/>
        <v>0.75</v>
      </c>
      <c r="BP48" s="72">
        <f t="shared" si="51"/>
        <v>0.75</v>
      </c>
      <c r="BQ48" s="72">
        <f t="shared" si="51"/>
        <v>0.75</v>
      </c>
      <c r="BR48" s="72">
        <f t="shared" si="51"/>
        <v>0.75</v>
      </c>
      <c r="BS48" s="72">
        <f t="shared" si="51"/>
        <v>0.75</v>
      </c>
      <c r="BT48" s="72">
        <f t="shared" si="51"/>
        <v>0.75</v>
      </c>
      <c r="BU48" s="72">
        <f t="shared" si="51"/>
        <v>0.75</v>
      </c>
      <c r="BV48" s="72">
        <f t="shared" si="51"/>
        <v>0.75</v>
      </c>
      <c r="BW48" s="72">
        <f t="shared" si="51"/>
        <v>0.75</v>
      </c>
      <c r="BX48" s="72">
        <f t="shared" si="51"/>
        <v>0.75</v>
      </c>
      <c r="BY48" s="72">
        <f t="shared" si="51"/>
        <v>0.75</v>
      </c>
      <c r="BZ48" s="72">
        <f t="shared" si="51"/>
        <v>0.75</v>
      </c>
      <c r="CA48" s="72">
        <f t="shared" si="51"/>
        <v>0.75</v>
      </c>
      <c r="CB48" s="72">
        <f t="shared" si="51"/>
        <v>0.75</v>
      </c>
      <c r="CC48" s="72">
        <f t="shared" si="51"/>
        <v>0.75</v>
      </c>
      <c r="CD48" s="72">
        <f t="shared" si="51"/>
        <v>0.75</v>
      </c>
      <c r="CE48" s="72">
        <f t="shared" si="51"/>
        <v>0.75</v>
      </c>
      <c r="CF48" s="72">
        <f t="shared" si="51"/>
        <v>0.75</v>
      </c>
      <c r="CG48" s="72">
        <f t="shared" si="51"/>
        <v>0.75</v>
      </c>
      <c r="CH48" s="72">
        <f t="shared" si="51"/>
        <v>0.75</v>
      </c>
      <c r="CI48" s="72">
        <f t="shared" si="51"/>
        <v>0.75</v>
      </c>
      <c r="CJ48" s="72">
        <f t="shared" si="51"/>
        <v>0.75</v>
      </c>
      <c r="CK48" s="72">
        <f t="shared" si="51"/>
        <v>0.75</v>
      </c>
      <c r="CL48" s="72">
        <f t="shared" si="51"/>
        <v>0.75</v>
      </c>
      <c r="CM48" s="72">
        <f t="shared" si="51"/>
        <v>0.75</v>
      </c>
      <c r="CN48" s="72">
        <f t="shared" si="51"/>
        <v>0.75</v>
      </c>
      <c r="CO48" s="72">
        <f t="shared" ref="CO48:CT48" si="52">CO16*CO17/1000</f>
        <v>0.75</v>
      </c>
      <c r="CP48" s="72">
        <f t="shared" si="52"/>
        <v>0.75</v>
      </c>
      <c r="CQ48" s="72">
        <f t="shared" si="52"/>
        <v>0.75</v>
      </c>
      <c r="CR48" s="72">
        <f t="shared" si="52"/>
        <v>0.75</v>
      </c>
      <c r="CS48" s="72">
        <f t="shared" si="52"/>
        <v>0.75</v>
      </c>
      <c r="CT48" s="72">
        <f t="shared" si="52"/>
        <v>0.75</v>
      </c>
    </row>
    <row r="49" spans="1:98" ht="15.75" customHeight="1">
      <c r="A49" s="1" t="s">
        <v>82</v>
      </c>
      <c r="B49" s="89" t="s">
        <v>48</v>
      </c>
      <c r="C49" s="72">
        <f t="shared" ref="C49:D49" si="53">C17/(C88+1)</f>
        <v>7.5</v>
      </c>
      <c r="D49" s="72">
        <f t="shared" ref="D49:E49" si="54">D17/(D88+1)</f>
        <v>7.5</v>
      </c>
      <c r="E49" s="72">
        <f t="shared" si="54"/>
        <v>7.5</v>
      </c>
      <c r="F49" s="72">
        <f t="shared" ref="F49:K49" si="55">F17/(F88+1)</f>
        <v>7.5</v>
      </c>
      <c r="G49" s="72">
        <f t="shared" si="55"/>
        <v>7.5</v>
      </c>
      <c r="H49" s="72">
        <f t="shared" si="55"/>
        <v>7.5</v>
      </c>
      <c r="I49" s="72">
        <f t="shared" si="55"/>
        <v>7.5</v>
      </c>
      <c r="J49" s="72">
        <f t="shared" si="55"/>
        <v>7.5</v>
      </c>
      <c r="K49" s="72">
        <f t="shared" si="55"/>
        <v>7.5</v>
      </c>
      <c r="L49" s="72">
        <f t="shared" ref="L49:AC49" si="56">L17/(L88+1)</f>
        <v>7.5</v>
      </c>
      <c r="M49" s="72">
        <f t="shared" si="56"/>
        <v>7.5</v>
      </c>
      <c r="N49" s="72">
        <f t="shared" si="56"/>
        <v>7.5</v>
      </c>
      <c r="O49" s="72">
        <f t="shared" si="56"/>
        <v>7.5</v>
      </c>
      <c r="P49" s="72">
        <f t="shared" si="56"/>
        <v>7.5</v>
      </c>
      <c r="Q49" s="72">
        <f t="shared" si="56"/>
        <v>7.5</v>
      </c>
      <c r="R49" s="72">
        <f t="shared" si="56"/>
        <v>7.5</v>
      </c>
      <c r="S49" s="72">
        <f t="shared" si="56"/>
        <v>7.5</v>
      </c>
      <c r="T49" s="72">
        <f t="shared" si="56"/>
        <v>7.5</v>
      </c>
      <c r="U49" s="72">
        <f t="shared" si="56"/>
        <v>7.5</v>
      </c>
      <c r="V49" s="72">
        <f t="shared" si="56"/>
        <v>7.5</v>
      </c>
      <c r="W49" s="72">
        <f t="shared" si="56"/>
        <v>7.5</v>
      </c>
      <c r="X49" s="72">
        <f t="shared" si="56"/>
        <v>7.5</v>
      </c>
      <c r="Y49" s="72">
        <f t="shared" si="56"/>
        <v>7.5</v>
      </c>
      <c r="Z49" s="72">
        <f t="shared" si="56"/>
        <v>7.5</v>
      </c>
      <c r="AA49" s="72">
        <f t="shared" si="56"/>
        <v>7.5</v>
      </c>
      <c r="AB49" s="72">
        <f t="shared" si="56"/>
        <v>7.5</v>
      </c>
      <c r="AC49" s="72">
        <f t="shared" si="56"/>
        <v>7.5</v>
      </c>
      <c r="AD49" s="72">
        <f t="shared" ref="AD49:CN49" si="57">AD17/(AD88+1)</f>
        <v>7.5</v>
      </c>
      <c r="AE49" s="72">
        <f t="shared" si="57"/>
        <v>7.5</v>
      </c>
      <c r="AF49" s="72">
        <f t="shared" si="57"/>
        <v>7.5</v>
      </c>
      <c r="AG49" s="72">
        <f t="shared" si="57"/>
        <v>7.5</v>
      </c>
      <c r="AH49" s="72">
        <f t="shared" si="57"/>
        <v>7.5</v>
      </c>
      <c r="AI49" s="72">
        <f t="shared" si="57"/>
        <v>7.5</v>
      </c>
      <c r="AJ49" s="72">
        <f t="shared" si="57"/>
        <v>7.5</v>
      </c>
      <c r="AK49" s="72">
        <f t="shared" si="57"/>
        <v>7.5</v>
      </c>
      <c r="AL49" s="72">
        <f t="shared" si="57"/>
        <v>7.5</v>
      </c>
      <c r="AM49" s="72">
        <f t="shared" si="57"/>
        <v>7.5</v>
      </c>
      <c r="AN49" s="72">
        <f t="shared" si="57"/>
        <v>7.5</v>
      </c>
      <c r="AO49" s="72">
        <f t="shared" si="57"/>
        <v>7.5</v>
      </c>
      <c r="AP49" s="72">
        <f t="shared" si="57"/>
        <v>7.5</v>
      </c>
      <c r="AQ49" s="72">
        <f t="shared" si="57"/>
        <v>7.5</v>
      </c>
      <c r="AR49" s="72">
        <f t="shared" si="57"/>
        <v>7.5</v>
      </c>
      <c r="AS49" s="72">
        <f t="shared" si="57"/>
        <v>7.5</v>
      </c>
      <c r="AT49" s="72">
        <f t="shared" si="57"/>
        <v>7.5</v>
      </c>
      <c r="AU49" s="72">
        <f t="shared" si="57"/>
        <v>7.5</v>
      </c>
      <c r="AV49" s="72">
        <f t="shared" si="57"/>
        <v>7.5</v>
      </c>
      <c r="AW49" s="72">
        <f t="shared" si="57"/>
        <v>7.5</v>
      </c>
      <c r="AX49" s="72">
        <f t="shared" si="57"/>
        <v>7.5</v>
      </c>
      <c r="AY49" s="72">
        <f t="shared" si="57"/>
        <v>7.5</v>
      </c>
      <c r="AZ49" s="72">
        <f t="shared" si="57"/>
        <v>7.5</v>
      </c>
      <c r="BA49" s="72">
        <f t="shared" si="57"/>
        <v>7.5</v>
      </c>
      <c r="BB49" s="72">
        <f t="shared" si="57"/>
        <v>7.5</v>
      </c>
      <c r="BC49" s="72">
        <f t="shared" si="57"/>
        <v>7.5</v>
      </c>
      <c r="BD49" s="72">
        <f t="shared" si="57"/>
        <v>7.5</v>
      </c>
      <c r="BE49" s="72">
        <f t="shared" si="57"/>
        <v>7.5</v>
      </c>
      <c r="BF49" s="72">
        <f t="shared" si="57"/>
        <v>7.5</v>
      </c>
      <c r="BG49" s="72">
        <f t="shared" si="57"/>
        <v>7.5</v>
      </c>
      <c r="BH49" s="72">
        <f t="shared" si="57"/>
        <v>7.5</v>
      </c>
      <c r="BI49" s="72">
        <f t="shared" si="57"/>
        <v>7.5</v>
      </c>
      <c r="BJ49" s="72">
        <f t="shared" si="57"/>
        <v>7.5</v>
      </c>
      <c r="BK49" s="72">
        <f t="shared" si="57"/>
        <v>7.5</v>
      </c>
      <c r="BL49" s="72">
        <f t="shared" si="57"/>
        <v>7.5</v>
      </c>
      <c r="BM49" s="72">
        <f t="shared" si="57"/>
        <v>7.5</v>
      </c>
      <c r="BN49" s="72">
        <f t="shared" si="57"/>
        <v>7.5</v>
      </c>
      <c r="BO49" s="72">
        <f t="shared" si="57"/>
        <v>7.5</v>
      </c>
      <c r="BP49" s="72">
        <f t="shared" si="57"/>
        <v>7.5</v>
      </c>
      <c r="BQ49" s="72">
        <f t="shared" si="57"/>
        <v>7.5</v>
      </c>
      <c r="BR49" s="72">
        <f t="shared" si="57"/>
        <v>7.5</v>
      </c>
      <c r="BS49" s="72">
        <f t="shared" si="57"/>
        <v>7.5</v>
      </c>
      <c r="BT49" s="72">
        <f t="shared" si="57"/>
        <v>7.5</v>
      </c>
      <c r="BU49" s="72">
        <f t="shared" si="57"/>
        <v>7.5</v>
      </c>
      <c r="BV49" s="72">
        <f t="shared" si="57"/>
        <v>7.5</v>
      </c>
      <c r="BW49" s="72">
        <f t="shared" si="57"/>
        <v>7.5</v>
      </c>
      <c r="BX49" s="72">
        <f t="shared" si="57"/>
        <v>7.5</v>
      </c>
      <c r="BY49" s="72">
        <f t="shared" si="57"/>
        <v>7.5</v>
      </c>
      <c r="BZ49" s="72">
        <f t="shared" si="57"/>
        <v>7.5</v>
      </c>
      <c r="CA49" s="72">
        <f t="shared" si="57"/>
        <v>7.5</v>
      </c>
      <c r="CB49" s="72">
        <f t="shared" si="57"/>
        <v>7.5</v>
      </c>
      <c r="CC49" s="72">
        <f t="shared" si="57"/>
        <v>7.5</v>
      </c>
      <c r="CD49" s="72">
        <f t="shared" si="57"/>
        <v>7.5</v>
      </c>
      <c r="CE49" s="72">
        <f t="shared" si="57"/>
        <v>7.5</v>
      </c>
      <c r="CF49" s="72">
        <f t="shared" si="57"/>
        <v>7.5</v>
      </c>
      <c r="CG49" s="72">
        <f t="shared" si="57"/>
        <v>7.5</v>
      </c>
      <c r="CH49" s="72">
        <f t="shared" si="57"/>
        <v>7.5</v>
      </c>
      <c r="CI49" s="72">
        <f t="shared" si="57"/>
        <v>7.5</v>
      </c>
      <c r="CJ49" s="72">
        <f t="shared" si="57"/>
        <v>7.5</v>
      </c>
      <c r="CK49" s="72">
        <f t="shared" si="57"/>
        <v>7.5</v>
      </c>
      <c r="CL49" s="72">
        <f t="shared" si="57"/>
        <v>7.5</v>
      </c>
      <c r="CM49" s="72">
        <f t="shared" si="57"/>
        <v>7.5</v>
      </c>
      <c r="CN49" s="72">
        <f t="shared" si="57"/>
        <v>7.5</v>
      </c>
      <c r="CO49" s="72">
        <f t="shared" ref="CO49:CT49" si="58">CO17/(CO88+1)</f>
        <v>7.5</v>
      </c>
      <c r="CP49" s="72">
        <f t="shared" si="58"/>
        <v>7.5</v>
      </c>
      <c r="CQ49" s="72">
        <f t="shared" si="58"/>
        <v>7.5</v>
      </c>
      <c r="CR49" s="72">
        <f t="shared" si="58"/>
        <v>7.5</v>
      </c>
      <c r="CS49" s="72">
        <f t="shared" si="58"/>
        <v>7.5</v>
      </c>
      <c r="CT49" s="72">
        <f t="shared" si="58"/>
        <v>7.5</v>
      </c>
    </row>
    <row r="50" spans="1:98" ht="15.75" customHeight="1">
      <c r="A50" s="1" t="s">
        <v>83</v>
      </c>
      <c r="B50" s="89" t="s">
        <v>48</v>
      </c>
      <c r="C50" s="72">
        <f t="shared" ref="C50:D50" si="59">C17*C88/(C88+1)</f>
        <v>22.5</v>
      </c>
      <c r="D50" s="72">
        <f t="shared" ref="D50:E50" si="60">D17*D88/(D88+1)</f>
        <v>22.5</v>
      </c>
      <c r="E50" s="72">
        <f t="shared" si="60"/>
        <v>22.5</v>
      </c>
      <c r="F50" s="72">
        <f t="shared" ref="F50:K50" si="61">F17*F88/(F88+1)</f>
        <v>22.5</v>
      </c>
      <c r="G50" s="72">
        <f t="shared" si="61"/>
        <v>22.5</v>
      </c>
      <c r="H50" s="72">
        <f t="shared" si="61"/>
        <v>22.5</v>
      </c>
      <c r="I50" s="72">
        <f t="shared" si="61"/>
        <v>22.5</v>
      </c>
      <c r="J50" s="72">
        <f t="shared" si="61"/>
        <v>22.5</v>
      </c>
      <c r="K50" s="72">
        <f t="shared" si="61"/>
        <v>22.5</v>
      </c>
      <c r="L50" s="72">
        <f t="shared" ref="L50:AC50" si="62">L17*L88/(L88+1)</f>
        <v>22.5</v>
      </c>
      <c r="M50" s="72">
        <f t="shared" si="62"/>
        <v>22.5</v>
      </c>
      <c r="N50" s="72">
        <f t="shared" si="62"/>
        <v>22.5</v>
      </c>
      <c r="O50" s="72">
        <f t="shared" si="62"/>
        <v>22.5</v>
      </c>
      <c r="P50" s="72">
        <f t="shared" si="62"/>
        <v>22.5</v>
      </c>
      <c r="Q50" s="72">
        <f t="shared" si="62"/>
        <v>22.5</v>
      </c>
      <c r="R50" s="72">
        <f t="shared" si="62"/>
        <v>22.5</v>
      </c>
      <c r="S50" s="72">
        <f t="shared" si="62"/>
        <v>22.5</v>
      </c>
      <c r="T50" s="72">
        <f t="shared" si="62"/>
        <v>22.5</v>
      </c>
      <c r="U50" s="72">
        <f t="shared" si="62"/>
        <v>22.5</v>
      </c>
      <c r="V50" s="72">
        <f t="shared" si="62"/>
        <v>22.5</v>
      </c>
      <c r="W50" s="72">
        <f t="shared" si="62"/>
        <v>22.5</v>
      </c>
      <c r="X50" s="72">
        <f t="shared" si="62"/>
        <v>22.5</v>
      </c>
      <c r="Y50" s="72">
        <f t="shared" si="62"/>
        <v>22.5</v>
      </c>
      <c r="Z50" s="72">
        <f t="shared" si="62"/>
        <v>22.5</v>
      </c>
      <c r="AA50" s="72">
        <f t="shared" si="62"/>
        <v>22.5</v>
      </c>
      <c r="AB50" s="72">
        <f t="shared" si="62"/>
        <v>22.5</v>
      </c>
      <c r="AC50" s="72">
        <f t="shared" si="62"/>
        <v>22.5</v>
      </c>
      <c r="AD50" s="72">
        <f t="shared" ref="AD50:CN50" si="63">AD17*AD88/(AD88+1)</f>
        <v>22.5</v>
      </c>
      <c r="AE50" s="72">
        <f t="shared" si="63"/>
        <v>22.5</v>
      </c>
      <c r="AF50" s="72">
        <f t="shared" si="63"/>
        <v>22.5</v>
      </c>
      <c r="AG50" s="72">
        <f t="shared" si="63"/>
        <v>22.5</v>
      </c>
      <c r="AH50" s="72">
        <f t="shared" si="63"/>
        <v>22.5</v>
      </c>
      <c r="AI50" s="72">
        <f t="shared" si="63"/>
        <v>22.5</v>
      </c>
      <c r="AJ50" s="72">
        <f t="shared" si="63"/>
        <v>22.5</v>
      </c>
      <c r="AK50" s="72">
        <f t="shared" si="63"/>
        <v>22.5</v>
      </c>
      <c r="AL50" s="72">
        <f t="shared" si="63"/>
        <v>22.5</v>
      </c>
      <c r="AM50" s="72">
        <f t="shared" si="63"/>
        <v>22.5</v>
      </c>
      <c r="AN50" s="72">
        <f t="shared" si="63"/>
        <v>22.5</v>
      </c>
      <c r="AO50" s="72">
        <f t="shared" si="63"/>
        <v>22.5</v>
      </c>
      <c r="AP50" s="72">
        <f t="shared" si="63"/>
        <v>22.5</v>
      </c>
      <c r="AQ50" s="72">
        <f t="shared" si="63"/>
        <v>22.5</v>
      </c>
      <c r="AR50" s="72">
        <f t="shared" si="63"/>
        <v>22.5</v>
      </c>
      <c r="AS50" s="72">
        <f t="shared" si="63"/>
        <v>22.5</v>
      </c>
      <c r="AT50" s="72">
        <f t="shared" si="63"/>
        <v>22.5</v>
      </c>
      <c r="AU50" s="72">
        <f t="shared" si="63"/>
        <v>22.5</v>
      </c>
      <c r="AV50" s="72">
        <f t="shared" si="63"/>
        <v>22.5</v>
      </c>
      <c r="AW50" s="72">
        <f t="shared" si="63"/>
        <v>22.5</v>
      </c>
      <c r="AX50" s="72">
        <f t="shared" si="63"/>
        <v>22.5</v>
      </c>
      <c r="AY50" s="72">
        <f t="shared" si="63"/>
        <v>22.5</v>
      </c>
      <c r="AZ50" s="72">
        <f t="shared" si="63"/>
        <v>22.5</v>
      </c>
      <c r="BA50" s="72">
        <f t="shared" si="63"/>
        <v>22.5</v>
      </c>
      <c r="BB50" s="72">
        <f t="shared" si="63"/>
        <v>22.5</v>
      </c>
      <c r="BC50" s="72">
        <f t="shared" si="63"/>
        <v>22.5</v>
      </c>
      <c r="BD50" s="72">
        <f t="shared" si="63"/>
        <v>22.5</v>
      </c>
      <c r="BE50" s="72">
        <f t="shared" si="63"/>
        <v>22.5</v>
      </c>
      <c r="BF50" s="72">
        <f t="shared" si="63"/>
        <v>22.5</v>
      </c>
      <c r="BG50" s="72">
        <f t="shared" si="63"/>
        <v>22.5</v>
      </c>
      <c r="BH50" s="72">
        <f t="shared" si="63"/>
        <v>22.5</v>
      </c>
      <c r="BI50" s="72">
        <f t="shared" si="63"/>
        <v>22.5</v>
      </c>
      <c r="BJ50" s="72">
        <f t="shared" si="63"/>
        <v>22.5</v>
      </c>
      <c r="BK50" s="72">
        <f t="shared" si="63"/>
        <v>22.5</v>
      </c>
      <c r="BL50" s="72">
        <f t="shared" si="63"/>
        <v>22.5</v>
      </c>
      <c r="BM50" s="72">
        <f t="shared" si="63"/>
        <v>22.5</v>
      </c>
      <c r="BN50" s="72">
        <f t="shared" si="63"/>
        <v>22.5</v>
      </c>
      <c r="BO50" s="72">
        <f t="shared" si="63"/>
        <v>22.5</v>
      </c>
      <c r="BP50" s="72">
        <f t="shared" si="63"/>
        <v>22.5</v>
      </c>
      <c r="BQ50" s="72">
        <f t="shared" si="63"/>
        <v>22.5</v>
      </c>
      <c r="BR50" s="72">
        <f t="shared" si="63"/>
        <v>22.5</v>
      </c>
      <c r="BS50" s="72">
        <f t="shared" si="63"/>
        <v>22.5</v>
      </c>
      <c r="BT50" s="72">
        <f t="shared" si="63"/>
        <v>22.5</v>
      </c>
      <c r="BU50" s="72">
        <f t="shared" si="63"/>
        <v>22.5</v>
      </c>
      <c r="BV50" s="72">
        <f t="shared" si="63"/>
        <v>22.5</v>
      </c>
      <c r="BW50" s="72">
        <f t="shared" si="63"/>
        <v>22.5</v>
      </c>
      <c r="BX50" s="72">
        <f t="shared" si="63"/>
        <v>22.5</v>
      </c>
      <c r="BY50" s="72">
        <f t="shared" si="63"/>
        <v>22.5</v>
      </c>
      <c r="BZ50" s="72">
        <f t="shared" si="63"/>
        <v>22.5</v>
      </c>
      <c r="CA50" s="72">
        <f t="shared" si="63"/>
        <v>22.5</v>
      </c>
      <c r="CB50" s="72">
        <f t="shared" si="63"/>
        <v>22.5</v>
      </c>
      <c r="CC50" s="72">
        <f t="shared" si="63"/>
        <v>22.5</v>
      </c>
      <c r="CD50" s="72">
        <f t="shared" si="63"/>
        <v>22.5</v>
      </c>
      <c r="CE50" s="72">
        <f t="shared" si="63"/>
        <v>22.5</v>
      </c>
      <c r="CF50" s="72">
        <f t="shared" si="63"/>
        <v>22.5</v>
      </c>
      <c r="CG50" s="72">
        <f t="shared" si="63"/>
        <v>22.5</v>
      </c>
      <c r="CH50" s="72">
        <f t="shared" si="63"/>
        <v>22.5</v>
      </c>
      <c r="CI50" s="72">
        <f t="shared" si="63"/>
        <v>22.5</v>
      </c>
      <c r="CJ50" s="72">
        <f t="shared" si="63"/>
        <v>22.5</v>
      </c>
      <c r="CK50" s="72">
        <f t="shared" si="63"/>
        <v>22.5</v>
      </c>
      <c r="CL50" s="72">
        <f t="shared" si="63"/>
        <v>22.5</v>
      </c>
      <c r="CM50" s="72">
        <f t="shared" si="63"/>
        <v>22.5</v>
      </c>
      <c r="CN50" s="72">
        <f t="shared" si="63"/>
        <v>22.5</v>
      </c>
      <c r="CO50" s="72">
        <f t="shared" ref="CO50:CT50" si="64">CO17*CO88/(CO88+1)</f>
        <v>22.5</v>
      </c>
      <c r="CP50" s="72">
        <f t="shared" si="64"/>
        <v>22.5</v>
      </c>
      <c r="CQ50" s="72">
        <f t="shared" si="64"/>
        <v>22.5</v>
      </c>
      <c r="CR50" s="72">
        <f t="shared" si="64"/>
        <v>22.5</v>
      </c>
      <c r="CS50" s="72">
        <f t="shared" si="64"/>
        <v>22.5</v>
      </c>
      <c r="CT50" s="72">
        <f t="shared" si="64"/>
        <v>22.5</v>
      </c>
    </row>
    <row r="51" spans="1:98" ht="15.75" customHeight="1">
      <c r="B51" s="89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  <c r="AM51" s="72"/>
      <c r="AN51" s="72"/>
      <c r="AO51" s="72"/>
      <c r="AP51" s="72"/>
      <c r="AQ51" s="72"/>
      <c r="AR51" s="72"/>
      <c r="AS51" s="72"/>
      <c r="AT51" s="72"/>
      <c r="AU51" s="72"/>
      <c r="AV51" s="72"/>
      <c r="AW51" s="72"/>
      <c r="AX51" s="72"/>
      <c r="AY51" s="72"/>
      <c r="AZ51" s="72"/>
      <c r="BA51" s="72"/>
      <c r="BB51" s="72"/>
      <c r="BC51" s="72"/>
      <c r="BD51" s="72"/>
      <c r="BE51" s="72"/>
      <c r="BF51" s="72"/>
      <c r="BG51" s="72"/>
      <c r="BH51" s="72"/>
      <c r="BI51" s="72"/>
      <c r="BJ51" s="72"/>
      <c r="BK51" s="72"/>
      <c r="BL51" s="72"/>
      <c r="BM51" s="72"/>
      <c r="BN51" s="72"/>
      <c r="BO51" s="72"/>
      <c r="BP51" s="72"/>
      <c r="BQ51" s="72"/>
      <c r="BR51" s="72"/>
      <c r="BS51" s="72"/>
      <c r="BT51" s="72"/>
      <c r="BU51" s="72"/>
      <c r="BV51" s="72"/>
      <c r="BW51" s="72"/>
      <c r="BX51" s="72"/>
      <c r="BY51" s="72"/>
      <c r="BZ51" s="72"/>
      <c r="CA51" s="72"/>
      <c r="CB51" s="72"/>
      <c r="CC51" s="72"/>
      <c r="CD51" s="72"/>
      <c r="CE51" s="72"/>
      <c r="CF51" s="72"/>
      <c r="CG51" s="72"/>
      <c r="CH51" s="72"/>
      <c r="CI51" s="72"/>
      <c r="CJ51" s="72"/>
      <c r="CK51" s="72"/>
      <c r="CL51" s="72"/>
      <c r="CM51" s="72"/>
      <c r="CN51" s="72"/>
      <c r="CO51" s="72"/>
      <c r="CP51" s="72"/>
      <c r="CQ51" s="72"/>
      <c r="CR51" s="72"/>
      <c r="CS51" s="72"/>
      <c r="CT51" s="72"/>
    </row>
    <row r="52" spans="1:98" ht="15.75" customHeight="1">
      <c r="B52" s="89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  <c r="AA52" s="72"/>
      <c r="AB52" s="72"/>
      <c r="AC52" s="72"/>
      <c r="AD52" s="72"/>
      <c r="AE52" s="72"/>
      <c r="AF52" s="72"/>
      <c r="AG52" s="72"/>
      <c r="AH52" s="72"/>
      <c r="AI52" s="72"/>
      <c r="AJ52" s="72"/>
      <c r="AK52" s="72"/>
      <c r="AL52" s="72"/>
      <c r="AM52" s="72"/>
      <c r="AN52" s="72"/>
      <c r="AO52" s="72"/>
      <c r="AP52" s="72"/>
      <c r="AQ52" s="72"/>
      <c r="AR52" s="72"/>
      <c r="AS52" s="72"/>
      <c r="AT52" s="72"/>
      <c r="AU52" s="72"/>
      <c r="AV52" s="72"/>
      <c r="AW52" s="72"/>
      <c r="AX52" s="72"/>
      <c r="AY52" s="72"/>
      <c r="AZ52" s="72"/>
      <c r="BA52" s="72"/>
      <c r="BB52" s="72"/>
      <c r="BC52" s="72"/>
      <c r="BD52" s="72"/>
      <c r="BE52" s="72"/>
      <c r="BF52" s="72"/>
      <c r="BG52" s="72"/>
      <c r="BH52" s="72"/>
      <c r="BI52" s="72"/>
      <c r="BJ52" s="72"/>
      <c r="BK52" s="72"/>
      <c r="BL52" s="72"/>
      <c r="BM52" s="72"/>
      <c r="BN52" s="72"/>
      <c r="BO52" s="72"/>
      <c r="BP52" s="72"/>
      <c r="BQ52" s="72"/>
      <c r="BR52" s="72"/>
      <c r="BS52" s="72"/>
      <c r="BT52" s="72"/>
      <c r="BU52" s="72"/>
      <c r="BV52" s="72"/>
      <c r="BW52" s="72"/>
      <c r="BX52" s="72"/>
      <c r="BY52" s="72"/>
      <c r="BZ52" s="72"/>
      <c r="CA52" s="72"/>
      <c r="CB52" s="72"/>
      <c r="CC52" s="72"/>
      <c r="CD52" s="72"/>
      <c r="CE52" s="72"/>
      <c r="CF52" s="72"/>
      <c r="CG52" s="72"/>
      <c r="CH52" s="72"/>
      <c r="CI52" s="72"/>
      <c r="CJ52" s="72"/>
      <c r="CK52" s="72"/>
      <c r="CL52" s="72"/>
      <c r="CM52" s="72"/>
      <c r="CN52" s="72"/>
      <c r="CO52" s="72"/>
      <c r="CP52" s="72"/>
      <c r="CQ52" s="72"/>
      <c r="CR52" s="72"/>
      <c r="CS52" s="72"/>
      <c r="CT52" s="72"/>
    </row>
    <row r="53" spans="1:98" ht="15.75" customHeight="1">
      <c r="A53" s="1" t="s">
        <v>84</v>
      </c>
      <c r="B53" s="89" t="s">
        <v>85</v>
      </c>
      <c r="C53" s="72">
        <f t="shared" ref="C53:D53" si="65">C15</f>
        <v>0</v>
      </c>
      <c r="D53" s="72">
        <f t="shared" ref="D53:E53" si="66">D15</f>
        <v>0</v>
      </c>
      <c r="E53" s="72">
        <f t="shared" si="66"/>
        <v>0</v>
      </c>
      <c r="F53" s="72">
        <f t="shared" ref="F53:K53" si="67">F15</f>
        <v>0</v>
      </c>
      <c r="G53" s="72">
        <f t="shared" si="67"/>
        <v>0</v>
      </c>
      <c r="H53" s="72">
        <f t="shared" si="67"/>
        <v>0</v>
      </c>
      <c r="I53" s="72">
        <f t="shared" si="67"/>
        <v>0</v>
      </c>
      <c r="J53" s="72">
        <f t="shared" si="67"/>
        <v>0</v>
      </c>
      <c r="K53" s="72">
        <f t="shared" si="67"/>
        <v>0</v>
      </c>
      <c r="L53" s="72">
        <f t="shared" ref="L53:AC53" si="68">L15</f>
        <v>0</v>
      </c>
      <c r="M53" s="72">
        <f t="shared" si="68"/>
        <v>0</v>
      </c>
      <c r="N53" s="72">
        <f t="shared" si="68"/>
        <v>0</v>
      </c>
      <c r="O53" s="72">
        <f t="shared" si="68"/>
        <v>0</v>
      </c>
      <c r="P53" s="72">
        <f t="shared" si="68"/>
        <v>0</v>
      </c>
      <c r="Q53" s="72">
        <f t="shared" si="68"/>
        <v>0</v>
      </c>
      <c r="R53" s="72">
        <f t="shared" si="68"/>
        <v>0</v>
      </c>
      <c r="S53" s="72">
        <f t="shared" si="68"/>
        <v>0</v>
      </c>
      <c r="T53" s="72">
        <f t="shared" si="68"/>
        <v>0</v>
      </c>
      <c r="U53" s="72">
        <f t="shared" si="68"/>
        <v>0</v>
      </c>
      <c r="V53" s="72">
        <f t="shared" si="68"/>
        <v>0</v>
      </c>
      <c r="W53" s="72">
        <f t="shared" si="68"/>
        <v>0</v>
      </c>
      <c r="X53" s="72">
        <f t="shared" si="68"/>
        <v>0</v>
      </c>
      <c r="Y53" s="72">
        <f t="shared" si="68"/>
        <v>0</v>
      </c>
      <c r="Z53" s="72">
        <f t="shared" si="68"/>
        <v>0</v>
      </c>
      <c r="AA53" s="72">
        <f t="shared" si="68"/>
        <v>0</v>
      </c>
      <c r="AB53" s="72">
        <f t="shared" si="68"/>
        <v>0</v>
      </c>
      <c r="AC53" s="72">
        <f t="shared" si="68"/>
        <v>0</v>
      </c>
      <c r="AD53" s="72">
        <f t="shared" ref="AD53:CN53" si="69">AD15</f>
        <v>0</v>
      </c>
      <c r="AE53" s="72">
        <f t="shared" si="69"/>
        <v>0</v>
      </c>
      <c r="AF53" s="72">
        <f t="shared" si="69"/>
        <v>0</v>
      </c>
      <c r="AG53" s="72">
        <f t="shared" si="69"/>
        <v>0</v>
      </c>
      <c r="AH53" s="72">
        <f t="shared" si="69"/>
        <v>0</v>
      </c>
      <c r="AI53" s="72">
        <f t="shared" si="69"/>
        <v>0</v>
      </c>
      <c r="AJ53" s="72">
        <f t="shared" si="69"/>
        <v>0</v>
      </c>
      <c r="AK53" s="72">
        <f t="shared" si="69"/>
        <v>0</v>
      </c>
      <c r="AL53" s="72">
        <f t="shared" si="69"/>
        <v>0</v>
      </c>
      <c r="AM53" s="72">
        <f t="shared" si="69"/>
        <v>0</v>
      </c>
      <c r="AN53" s="72">
        <f t="shared" si="69"/>
        <v>0</v>
      </c>
      <c r="AO53" s="72">
        <f t="shared" si="69"/>
        <v>0</v>
      </c>
      <c r="AP53" s="72">
        <f t="shared" si="69"/>
        <v>0</v>
      </c>
      <c r="AQ53" s="72">
        <f t="shared" si="69"/>
        <v>0</v>
      </c>
      <c r="AR53" s="72">
        <f t="shared" si="69"/>
        <v>0</v>
      </c>
      <c r="AS53" s="72">
        <f t="shared" si="69"/>
        <v>0</v>
      </c>
      <c r="AT53" s="72">
        <f t="shared" si="69"/>
        <v>0</v>
      </c>
      <c r="AU53" s="72">
        <f t="shared" si="69"/>
        <v>0</v>
      </c>
      <c r="AV53" s="72">
        <f t="shared" si="69"/>
        <v>0</v>
      </c>
      <c r="AW53" s="72">
        <f t="shared" si="69"/>
        <v>0</v>
      </c>
      <c r="AX53" s="72">
        <f t="shared" si="69"/>
        <v>0</v>
      </c>
      <c r="AY53" s="72">
        <f t="shared" si="69"/>
        <v>0</v>
      </c>
      <c r="AZ53" s="72">
        <f t="shared" si="69"/>
        <v>0</v>
      </c>
      <c r="BA53" s="72">
        <f t="shared" si="69"/>
        <v>0</v>
      </c>
      <c r="BB53" s="72">
        <f t="shared" si="69"/>
        <v>0</v>
      </c>
      <c r="BC53" s="72">
        <f t="shared" si="69"/>
        <v>0</v>
      </c>
      <c r="BD53" s="72">
        <f t="shared" si="69"/>
        <v>0</v>
      </c>
      <c r="BE53" s="72">
        <f t="shared" si="69"/>
        <v>0</v>
      </c>
      <c r="BF53" s="72">
        <f t="shared" si="69"/>
        <v>0</v>
      </c>
      <c r="BG53" s="72">
        <f t="shared" si="69"/>
        <v>0</v>
      </c>
      <c r="BH53" s="72">
        <f t="shared" si="69"/>
        <v>0</v>
      </c>
      <c r="BI53" s="72">
        <f t="shared" si="69"/>
        <v>0</v>
      </c>
      <c r="BJ53" s="72">
        <f t="shared" si="69"/>
        <v>0</v>
      </c>
      <c r="BK53" s="72">
        <f t="shared" si="69"/>
        <v>0</v>
      </c>
      <c r="BL53" s="72">
        <f t="shared" si="69"/>
        <v>0</v>
      </c>
      <c r="BM53" s="72">
        <f t="shared" si="69"/>
        <v>0</v>
      </c>
      <c r="BN53" s="72">
        <f t="shared" si="69"/>
        <v>0</v>
      </c>
      <c r="BO53" s="72">
        <f t="shared" si="69"/>
        <v>0</v>
      </c>
      <c r="BP53" s="72">
        <f t="shared" si="69"/>
        <v>0</v>
      </c>
      <c r="BQ53" s="72">
        <f t="shared" si="69"/>
        <v>0</v>
      </c>
      <c r="BR53" s="72">
        <f t="shared" si="69"/>
        <v>0</v>
      </c>
      <c r="BS53" s="72">
        <f t="shared" si="69"/>
        <v>0</v>
      </c>
      <c r="BT53" s="72">
        <f t="shared" si="69"/>
        <v>0</v>
      </c>
      <c r="BU53" s="72">
        <f t="shared" si="69"/>
        <v>0</v>
      </c>
      <c r="BV53" s="72">
        <f t="shared" si="69"/>
        <v>0</v>
      </c>
      <c r="BW53" s="72">
        <f t="shared" si="69"/>
        <v>0</v>
      </c>
      <c r="BX53" s="72">
        <f t="shared" si="69"/>
        <v>0</v>
      </c>
      <c r="BY53" s="72">
        <f t="shared" si="69"/>
        <v>0</v>
      </c>
      <c r="BZ53" s="72">
        <f t="shared" si="69"/>
        <v>0</v>
      </c>
      <c r="CA53" s="72">
        <f t="shared" si="69"/>
        <v>0</v>
      </c>
      <c r="CB53" s="72">
        <f t="shared" si="69"/>
        <v>0</v>
      </c>
      <c r="CC53" s="72">
        <f t="shared" si="69"/>
        <v>0</v>
      </c>
      <c r="CD53" s="72">
        <f t="shared" si="69"/>
        <v>0</v>
      </c>
      <c r="CE53" s="72">
        <f t="shared" si="69"/>
        <v>0</v>
      </c>
      <c r="CF53" s="72">
        <f t="shared" si="69"/>
        <v>0</v>
      </c>
      <c r="CG53" s="72">
        <f t="shared" si="69"/>
        <v>0</v>
      </c>
      <c r="CH53" s="72">
        <f t="shared" si="69"/>
        <v>0</v>
      </c>
      <c r="CI53" s="72">
        <f t="shared" si="69"/>
        <v>0</v>
      </c>
      <c r="CJ53" s="72">
        <f t="shared" si="69"/>
        <v>0</v>
      </c>
      <c r="CK53" s="72">
        <f t="shared" si="69"/>
        <v>0</v>
      </c>
      <c r="CL53" s="72">
        <f t="shared" si="69"/>
        <v>0</v>
      </c>
      <c r="CM53" s="72">
        <f t="shared" si="69"/>
        <v>0</v>
      </c>
      <c r="CN53" s="72">
        <f t="shared" si="69"/>
        <v>0</v>
      </c>
      <c r="CO53" s="72">
        <f t="shared" ref="CO53:CT53" si="70">CO15</f>
        <v>0</v>
      </c>
      <c r="CP53" s="72">
        <f t="shared" si="70"/>
        <v>0</v>
      </c>
      <c r="CQ53" s="72">
        <f t="shared" si="70"/>
        <v>0</v>
      </c>
      <c r="CR53" s="72">
        <f t="shared" si="70"/>
        <v>0</v>
      </c>
      <c r="CS53" s="72">
        <f t="shared" si="70"/>
        <v>0</v>
      </c>
      <c r="CT53" s="72">
        <f t="shared" si="70"/>
        <v>0</v>
      </c>
    </row>
    <row r="54" spans="1:98" ht="15.75" customHeight="1">
      <c r="A54" s="1" t="s">
        <v>86</v>
      </c>
      <c r="B54" s="89" t="s">
        <v>85</v>
      </c>
      <c r="C54" s="72">
        <f>100-C53</f>
        <v>100</v>
      </c>
      <c r="D54" s="72">
        <f>100-D53</f>
        <v>100</v>
      </c>
      <c r="E54" s="72">
        <f>100-E53</f>
        <v>100</v>
      </c>
      <c r="F54" s="72">
        <f>100-F53</f>
        <v>100</v>
      </c>
      <c r="G54" s="72">
        <f>100-G53</f>
        <v>100</v>
      </c>
      <c r="H54" s="72">
        <f>100-H53</f>
        <v>100</v>
      </c>
      <c r="I54" s="72">
        <f>100-I53</f>
        <v>100</v>
      </c>
      <c r="J54" s="72">
        <f>100-J53</f>
        <v>100</v>
      </c>
      <c r="K54" s="72">
        <f>100-K53</f>
        <v>100</v>
      </c>
      <c r="L54" s="72">
        <f>100-L53</f>
        <v>100</v>
      </c>
      <c r="M54" s="72">
        <f>100-M53</f>
        <v>100</v>
      </c>
      <c r="N54" s="72">
        <f>100-N53</f>
        <v>100</v>
      </c>
      <c r="O54" s="72">
        <f>100-O53</f>
        <v>100</v>
      </c>
      <c r="P54" s="72">
        <f>100-P53</f>
        <v>100</v>
      </c>
      <c r="Q54" s="72">
        <f>100-Q53</f>
        <v>100</v>
      </c>
      <c r="R54" s="72">
        <f>100-R53</f>
        <v>100</v>
      </c>
      <c r="S54" s="72">
        <f>100-S53</f>
        <v>100</v>
      </c>
      <c r="T54" s="72">
        <f>100-T53</f>
        <v>100</v>
      </c>
      <c r="U54" s="72">
        <f>100-U53</f>
        <v>100</v>
      </c>
      <c r="V54" s="72">
        <f>100-V53</f>
        <v>100</v>
      </c>
      <c r="W54" s="72">
        <f>100-W53</f>
        <v>100</v>
      </c>
      <c r="X54" s="72">
        <f>100-X53</f>
        <v>100</v>
      </c>
      <c r="Y54" s="72">
        <f>100-Y53</f>
        <v>100</v>
      </c>
      <c r="Z54" s="72">
        <f>100-Z53</f>
        <v>100</v>
      </c>
      <c r="AA54" s="72">
        <f>100-AA53</f>
        <v>100</v>
      </c>
      <c r="AB54" s="72">
        <f>100-AB53</f>
        <v>100</v>
      </c>
      <c r="AC54" s="72">
        <f>100-AC53</f>
        <v>100</v>
      </c>
      <c r="AD54" s="72">
        <f>100-AD53</f>
        <v>100</v>
      </c>
      <c r="AE54" s="72">
        <f>100-AE53</f>
        <v>100</v>
      </c>
      <c r="AF54" s="72">
        <f>100-AF53</f>
        <v>100</v>
      </c>
      <c r="AG54" s="72">
        <f>100-AG53</f>
        <v>100</v>
      </c>
      <c r="AH54" s="72">
        <f>100-AH53</f>
        <v>100</v>
      </c>
      <c r="AI54" s="72">
        <f>100-AI53</f>
        <v>100</v>
      </c>
      <c r="AJ54" s="72">
        <f>100-AJ53</f>
        <v>100</v>
      </c>
      <c r="AK54" s="72">
        <f>100-AK53</f>
        <v>100</v>
      </c>
      <c r="AL54" s="72">
        <f>100-AL53</f>
        <v>100</v>
      </c>
      <c r="AM54" s="72">
        <f>100-AM53</f>
        <v>100</v>
      </c>
      <c r="AN54" s="72">
        <f>100-AN53</f>
        <v>100</v>
      </c>
      <c r="AO54" s="72">
        <f>100-AO53</f>
        <v>100</v>
      </c>
      <c r="AP54" s="72">
        <f>100-AP53</f>
        <v>100</v>
      </c>
      <c r="AQ54" s="72">
        <f>100-AQ53</f>
        <v>100</v>
      </c>
      <c r="AR54" s="72">
        <f>100-AR53</f>
        <v>100</v>
      </c>
      <c r="AS54" s="72">
        <f>100-AS53</f>
        <v>100</v>
      </c>
      <c r="AT54" s="72">
        <f>100-AT53</f>
        <v>100</v>
      </c>
      <c r="AU54" s="72">
        <f>100-AU53</f>
        <v>100</v>
      </c>
      <c r="AV54" s="72">
        <f>100-AV53</f>
        <v>100</v>
      </c>
      <c r="AW54" s="72">
        <f>100-AW53</f>
        <v>100</v>
      </c>
      <c r="AX54" s="72">
        <f>100-AX53</f>
        <v>100</v>
      </c>
      <c r="AY54" s="72">
        <f>100-AY53</f>
        <v>100</v>
      </c>
      <c r="AZ54" s="72">
        <f>100-AZ53</f>
        <v>100</v>
      </c>
      <c r="BA54" s="72">
        <f>100-BA53</f>
        <v>100</v>
      </c>
      <c r="BB54" s="72">
        <f>100-BB53</f>
        <v>100</v>
      </c>
      <c r="BC54" s="72">
        <f>100-BC53</f>
        <v>100</v>
      </c>
      <c r="BD54" s="72">
        <f>100-BD53</f>
        <v>100</v>
      </c>
      <c r="BE54" s="72">
        <f>100-BE53</f>
        <v>100</v>
      </c>
      <c r="BF54" s="72">
        <f>100-BF53</f>
        <v>100</v>
      </c>
      <c r="BG54" s="72">
        <f>100-BG53</f>
        <v>100</v>
      </c>
      <c r="BH54" s="72">
        <f>100-BH53</f>
        <v>100</v>
      </c>
      <c r="BI54" s="72">
        <f>100-BI53</f>
        <v>100</v>
      </c>
      <c r="BJ54" s="72">
        <f>100-BJ53</f>
        <v>100</v>
      </c>
      <c r="BK54" s="72">
        <f>100-BK53</f>
        <v>100</v>
      </c>
      <c r="BL54" s="72">
        <f>100-BL53</f>
        <v>100</v>
      </c>
      <c r="BM54" s="72">
        <f>100-BM53</f>
        <v>100</v>
      </c>
      <c r="BN54" s="72">
        <f>100-BN53</f>
        <v>100</v>
      </c>
      <c r="BO54" s="72">
        <f>100-BO53</f>
        <v>100</v>
      </c>
      <c r="BP54" s="72">
        <f>100-BP53</f>
        <v>100</v>
      </c>
      <c r="BQ54" s="72">
        <f>100-BQ53</f>
        <v>100</v>
      </c>
      <c r="BR54" s="72">
        <f>100-BR53</f>
        <v>100</v>
      </c>
      <c r="BS54" s="72">
        <f>100-BS53</f>
        <v>100</v>
      </c>
      <c r="BT54" s="72">
        <f>100-BT53</f>
        <v>100</v>
      </c>
      <c r="BU54" s="72">
        <f>100-BU53</f>
        <v>100</v>
      </c>
      <c r="BV54" s="72">
        <f>100-BV53</f>
        <v>100</v>
      </c>
      <c r="BW54" s="72">
        <f>100-BW53</f>
        <v>100</v>
      </c>
      <c r="BX54" s="72">
        <f>100-BX53</f>
        <v>100</v>
      </c>
      <c r="BY54" s="72">
        <f>100-BY53</f>
        <v>100</v>
      </c>
      <c r="BZ54" s="72">
        <f>100-BZ53</f>
        <v>100</v>
      </c>
      <c r="CA54" s="72">
        <f>100-CA53</f>
        <v>100</v>
      </c>
      <c r="CB54" s="72">
        <f>100-CB53</f>
        <v>100</v>
      </c>
      <c r="CC54" s="72">
        <f>100-CC53</f>
        <v>100</v>
      </c>
      <c r="CD54" s="72">
        <f>100-CD53</f>
        <v>100</v>
      </c>
      <c r="CE54" s="72">
        <f>100-CE53</f>
        <v>100</v>
      </c>
      <c r="CF54" s="72">
        <f>100-CF53</f>
        <v>100</v>
      </c>
      <c r="CG54" s="72">
        <f>100-CG53</f>
        <v>100</v>
      </c>
      <c r="CH54" s="72">
        <f>100-CH53</f>
        <v>100</v>
      </c>
      <c r="CI54" s="72">
        <f>100-CI53</f>
        <v>100</v>
      </c>
      <c r="CJ54" s="72">
        <f>100-CJ53</f>
        <v>100</v>
      </c>
      <c r="CK54" s="72">
        <f>100-CK53</f>
        <v>100</v>
      </c>
      <c r="CL54" s="72">
        <f>100-CL53</f>
        <v>100</v>
      </c>
      <c r="CM54" s="72">
        <f>100-CM53</f>
        <v>100</v>
      </c>
      <c r="CN54" s="72">
        <f>100-CN53</f>
        <v>100</v>
      </c>
      <c r="CO54" s="72">
        <f>100-CO53</f>
        <v>100</v>
      </c>
      <c r="CP54" s="72">
        <f>100-CP53</f>
        <v>100</v>
      </c>
      <c r="CQ54" s="72">
        <f>100-CQ53</f>
        <v>100</v>
      </c>
      <c r="CR54" s="72">
        <f>100-CR53</f>
        <v>100</v>
      </c>
      <c r="CS54" s="72">
        <f>100-CS53</f>
        <v>100</v>
      </c>
      <c r="CT54" s="72">
        <f>100-CT53</f>
        <v>100</v>
      </c>
    </row>
    <row r="55" spans="1:98" ht="15.75" customHeight="1">
      <c r="A55" s="132" t="s">
        <v>222</v>
      </c>
      <c r="B55" s="89" t="s">
        <v>85</v>
      </c>
      <c r="C55" s="72">
        <f>C54*C12/100</f>
        <v>0</v>
      </c>
      <c r="D55" s="72">
        <f>D54*D12/100</f>
        <v>0</v>
      </c>
      <c r="E55" s="72">
        <f>E54*E12/100</f>
        <v>0</v>
      </c>
      <c r="F55" s="72">
        <f>F54*F12/100</f>
        <v>0</v>
      </c>
      <c r="G55" s="72">
        <f>G54*G12/100</f>
        <v>0</v>
      </c>
      <c r="H55" s="72">
        <f>H54*H12/100</f>
        <v>0</v>
      </c>
      <c r="I55" s="72">
        <f>I54*I12/100</f>
        <v>0</v>
      </c>
      <c r="J55" s="72">
        <f>J54*J12/100</f>
        <v>0</v>
      </c>
      <c r="K55" s="72">
        <f>K54*K12/100</f>
        <v>0</v>
      </c>
      <c r="L55" s="72">
        <f>L54*L12/100</f>
        <v>0</v>
      </c>
      <c r="M55" s="72">
        <f>M54*M12/100</f>
        <v>0</v>
      </c>
      <c r="N55" s="72">
        <f>N54*N12/100</f>
        <v>0</v>
      </c>
      <c r="O55" s="72">
        <f>O54*O12/100</f>
        <v>0</v>
      </c>
      <c r="P55" s="72">
        <f>P54*P12/100</f>
        <v>0</v>
      </c>
      <c r="Q55" s="72">
        <f>Q54*Q12/100</f>
        <v>0</v>
      </c>
      <c r="R55" s="72">
        <f>R54*R12/100</f>
        <v>0</v>
      </c>
      <c r="S55" s="72">
        <f>S54*S12/100</f>
        <v>0</v>
      </c>
      <c r="T55" s="72">
        <f>T54*T12/100</f>
        <v>0</v>
      </c>
      <c r="U55" s="72">
        <f>U54*U12/100</f>
        <v>0</v>
      </c>
      <c r="V55" s="72">
        <f>V54*V12/100</f>
        <v>0</v>
      </c>
      <c r="W55" s="72">
        <f>W54*W12/100</f>
        <v>0</v>
      </c>
      <c r="X55" s="72">
        <f>X54*X12/100</f>
        <v>0</v>
      </c>
      <c r="Y55" s="72">
        <f>Y54*Y12/100</f>
        <v>0</v>
      </c>
      <c r="Z55" s="72">
        <f>Z54*Z12/100</f>
        <v>0</v>
      </c>
      <c r="AA55" s="72">
        <f>AA54*AA12/100</f>
        <v>0</v>
      </c>
      <c r="AB55" s="72">
        <f>AB54*AB12/100</f>
        <v>0</v>
      </c>
      <c r="AC55" s="72">
        <f>AC54*AC12/100</f>
        <v>0</v>
      </c>
      <c r="AD55" s="72">
        <f>AD54*AD12/100</f>
        <v>0</v>
      </c>
      <c r="AE55" s="72">
        <f>AE54*AE12/100</f>
        <v>0</v>
      </c>
      <c r="AF55" s="72">
        <f>AF54*AF12/100</f>
        <v>0</v>
      </c>
      <c r="AG55" s="72">
        <f>AG54*AG12/100</f>
        <v>0</v>
      </c>
      <c r="AH55" s="72">
        <f>AH54*AH12/100</f>
        <v>0</v>
      </c>
      <c r="AI55" s="72">
        <f>AI54*AI12/100</f>
        <v>0</v>
      </c>
      <c r="AJ55" s="72">
        <f>AJ54*AJ12/100</f>
        <v>0</v>
      </c>
      <c r="AK55" s="72">
        <f>AK54*AK12/100</f>
        <v>0</v>
      </c>
      <c r="AL55" s="72">
        <f>AL54*AL12/100</f>
        <v>0</v>
      </c>
      <c r="AM55" s="72">
        <f>AM54*AM12/100</f>
        <v>0</v>
      </c>
      <c r="AN55" s="72">
        <f>AN54*AN12/100</f>
        <v>0</v>
      </c>
      <c r="AO55" s="72">
        <f>AO54*AO12/100</f>
        <v>0</v>
      </c>
      <c r="AP55" s="72">
        <f>AP54*AP12/100</f>
        <v>0</v>
      </c>
      <c r="AQ55" s="72">
        <f>AQ54*AQ12/100</f>
        <v>0</v>
      </c>
      <c r="AR55" s="72">
        <f>AR54*AR12/100</f>
        <v>0</v>
      </c>
      <c r="AS55" s="72">
        <f>AS54*AS12/100</f>
        <v>0</v>
      </c>
      <c r="AT55" s="72">
        <f>AT54*AT12/100</f>
        <v>0</v>
      </c>
      <c r="AU55" s="72">
        <f>AU54*AU12/100</f>
        <v>0</v>
      </c>
      <c r="AV55" s="72">
        <f>AV54*AV12/100</f>
        <v>0</v>
      </c>
      <c r="AW55" s="72">
        <f>AW54*AW12/100</f>
        <v>0</v>
      </c>
      <c r="AX55" s="72">
        <f>AX54*AX12/100</f>
        <v>0</v>
      </c>
      <c r="AY55" s="72">
        <f>AY54*AY12/100</f>
        <v>0</v>
      </c>
      <c r="AZ55" s="72">
        <f>AZ54*AZ12/100</f>
        <v>0</v>
      </c>
      <c r="BA55" s="72">
        <f>BA54*BA12/100</f>
        <v>0</v>
      </c>
      <c r="BB55" s="72">
        <f>BB54*BB12/100</f>
        <v>0</v>
      </c>
      <c r="BC55" s="72">
        <f>BC54*BC12/100</f>
        <v>0</v>
      </c>
      <c r="BD55" s="72">
        <f>BD54*BD12/100</f>
        <v>0</v>
      </c>
      <c r="BE55" s="72">
        <f>BE54*BE12/100</f>
        <v>0</v>
      </c>
      <c r="BF55" s="72">
        <f>BF54*BF12/100</f>
        <v>0</v>
      </c>
      <c r="BG55" s="72">
        <f>BG54*BG12/100</f>
        <v>0</v>
      </c>
      <c r="BH55" s="72">
        <f>BH54*BH12/100</f>
        <v>0</v>
      </c>
      <c r="BI55" s="72">
        <f>BI54*BI12/100</f>
        <v>0</v>
      </c>
      <c r="BJ55" s="72">
        <f>BJ54*BJ12/100</f>
        <v>0</v>
      </c>
      <c r="BK55" s="72">
        <f>BK54*BK12/100</f>
        <v>0</v>
      </c>
      <c r="BL55" s="72">
        <f>BL54*BL12/100</f>
        <v>0</v>
      </c>
      <c r="BM55" s="72">
        <f>BM54*BM12/100</f>
        <v>0</v>
      </c>
      <c r="BN55" s="72">
        <f>BN54*BN12/100</f>
        <v>0</v>
      </c>
      <c r="BO55" s="72">
        <f>BO54*BO12/100</f>
        <v>0</v>
      </c>
      <c r="BP55" s="72">
        <f>BP54*BP12/100</f>
        <v>0</v>
      </c>
      <c r="BQ55" s="72">
        <f>BQ54*BQ12/100</f>
        <v>0</v>
      </c>
      <c r="BR55" s="72">
        <f>BR54*BR12/100</f>
        <v>0</v>
      </c>
      <c r="BS55" s="72">
        <f>BS54*BS12/100</f>
        <v>0</v>
      </c>
      <c r="BT55" s="72">
        <f>BT54*BT12/100</f>
        <v>0</v>
      </c>
      <c r="BU55" s="72">
        <f>BU54*BU12/100</f>
        <v>0</v>
      </c>
      <c r="BV55" s="72">
        <f>BV54*BV12/100</f>
        <v>0</v>
      </c>
      <c r="BW55" s="72">
        <f>BW54*BW12/100</f>
        <v>0</v>
      </c>
      <c r="BX55" s="72">
        <f>BX54*BX12/100</f>
        <v>0</v>
      </c>
      <c r="BY55" s="72">
        <f>BY54*BY12/100</f>
        <v>0</v>
      </c>
      <c r="BZ55" s="72">
        <f>BZ54*BZ12/100</f>
        <v>0</v>
      </c>
      <c r="CA55" s="72">
        <f>CA54*CA12/100</f>
        <v>0</v>
      </c>
      <c r="CB55" s="72">
        <f>CB54*CB12/100</f>
        <v>0</v>
      </c>
      <c r="CC55" s="72">
        <f>CC54*CC12/100</f>
        <v>0</v>
      </c>
      <c r="CD55" s="72">
        <f>CD54*CD12/100</f>
        <v>0</v>
      </c>
      <c r="CE55" s="72">
        <f>CE54*CE12/100</f>
        <v>0</v>
      </c>
      <c r="CF55" s="72">
        <f>CF54*CF12/100</f>
        <v>0</v>
      </c>
      <c r="CG55" s="72">
        <f>CG54*CG12/100</f>
        <v>0</v>
      </c>
      <c r="CH55" s="72">
        <f>CH54*CH12/100</f>
        <v>0</v>
      </c>
      <c r="CI55" s="72">
        <f>CI54*CI12/100</f>
        <v>0</v>
      </c>
      <c r="CJ55" s="72">
        <f>CJ54*CJ12/100</f>
        <v>0</v>
      </c>
      <c r="CK55" s="72">
        <f>CK54*CK12/100</f>
        <v>0</v>
      </c>
      <c r="CL55" s="72">
        <f>CL54*CL12/100</f>
        <v>0</v>
      </c>
      <c r="CM55" s="72">
        <f>CM54*CM12/100</f>
        <v>0</v>
      </c>
      <c r="CN55" s="72">
        <f>CN54*CN12/100</f>
        <v>0</v>
      </c>
      <c r="CO55" s="72">
        <f>CO54*CO12/100</f>
        <v>0</v>
      </c>
      <c r="CP55" s="72">
        <f>CP54*CP12/100</f>
        <v>0</v>
      </c>
      <c r="CQ55" s="72">
        <f>CQ54*CQ12/100</f>
        <v>0</v>
      </c>
      <c r="CR55" s="72">
        <f>CR54*CR12/100</f>
        <v>0</v>
      </c>
      <c r="CS55" s="72">
        <f>CS54*CS12/100</f>
        <v>0</v>
      </c>
      <c r="CT55" s="72">
        <f>CT54*CT12/100</f>
        <v>0</v>
      </c>
    </row>
    <row r="56" spans="1:98" ht="15.75" customHeight="1">
      <c r="A56" s="3"/>
      <c r="B56" s="89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  <c r="AA56" s="72"/>
      <c r="AB56" s="72"/>
      <c r="AC56" s="72"/>
      <c r="AD56" s="72"/>
      <c r="AE56" s="72"/>
      <c r="AF56" s="72"/>
      <c r="AG56" s="72"/>
      <c r="AH56" s="72"/>
      <c r="AI56" s="72"/>
      <c r="AJ56" s="72"/>
      <c r="AK56" s="72"/>
      <c r="AL56" s="72"/>
      <c r="AM56" s="72"/>
      <c r="AN56" s="72"/>
      <c r="AO56" s="72"/>
      <c r="AP56" s="72"/>
      <c r="AQ56" s="72"/>
      <c r="AR56" s="72"/>
      <c r="AS56" s="72"/>
      <c r="AT56" s="72"/>
      <c r="AU56" s="72"/>
      <c r="AV56" s="72"/>
      <c r="AW56" s="72"/>
      <c r="AX56" s="72"/>
      <c r="AY56" s="72"/>
      <c r="AZ56" s="72"/>
      <c r="BA56" s="72"/>
      <c r="BB56" s="72"/>
      <c r="BC56" s="72"/>
      <c r="BD56" s="72"/>
      <c r="BE56" s="72"/>
      <c r="BF56" s="72"/>
      <c r="BG56" s="72"/>
      <c r="BH56" s="72"/>
      <c r="BI56" s="72"/>
      <c r="BJ56" s="72"/>
      <c r="BK56" s="72"/>
      <c r="BL56" s="72"/>
      <c r="BM56" s="72"/>
      <c r="BN56" s="72"/>
      <c r="BO56" s="72"/>
      <c r="BP56" s="72"/>
      <c r="BQ56" s="72"/>
      <c r="BR56" s="72"/>
      <c r="BS56" s="72"/>
      <c r="BT56" s="72"/>
      <c r="BU56" s="72"/>
      <c r="BV56" s="72"/>
      <c r="BW56" s="72"/>
      <c r="BX56" s="72"/>
      <c r="BY56" s="72"/>
      <c r="BZ56" s="72"/>
      <c r="CA56" s="72"/>
      <c r="CB56" s="72"/>
      <c r="CC56" s="72"/>
      <c r="CD56" s="72"/>
      <c r="CE56" s="72"/>
      <c r="CF56" s="72"/>
      <c r="CG56" s="72"/>
      <c r="CH56" s="72"/>
      <c r="CI56" s="72"/>
      <c r="CJ56" s="72"/>
      <c r="CK56" s="72"/>
      <c r="CL56" s="72"/>
      <c r="CM56" s="72"/>
      <c r="CN56" s="72"/>
      <c r="CO56" s="72"/>
      <c r="CP56" s="72"/>
      <c r="CQ56" s="72"/>
      <c r="CR56" s="72"/>
      <c r="CS56" s="72"/>
      <c r="CT56" s="72"/>
    </row>
    <row r="57" spans="1:98" ht="15.75" customHeight="1">
      <c r="A57" s="3" t="s">
        <v>87</v>
      </c>
      <c r="B57" s="79" t="s">
        <v>88</v>
      </c>
      <c r="C57" s="80">
        <f>(C55-C60)</f>
        <v>0</v>
      </c>
      <c r="D57" s="80">
        <f>(D55-D60)</f>
        <v>0</v>
      </c>
      <c r="E57" s="80">
        <f>(E55-E60)</f>
        <v>0</v>
      </c>
      <c r="F57" s="80">
        <f>(F55-F60)</f>
        <v>0</v>
      </c>
      <c r="G57" s="80">
        <f>(G55-G60)</f>
        <v>0</v>
      </c>
      <c r="H57" s="80">
        <f>(H55-H60)</f>
        <v>0</v>
      </c>
      <c r="I57" s="80">
        <f>(I55-I60)</f>
        <v>0</v>
      </c>
      <c r="J57" s="80">
        <f>(J55-J60)</f>
        <v>0</v>
      </c>
      <c r="K57" s="80">
        <f>(K55-K60)</f>
        <v>0</v>
      </c>
      <c r="L57" s="80">
        <f>(L55-L60)</f>
        <v>0</v>
      </c>
      <c r="M57" s="80">
        <f>(M55-M60)</f>
        <v>0</v>
      </c>
      <c r="N57" s="80">
        <f>(N55-N60)</f>
        <v>0</v>
      </c>
      <c r="O57" s="80">
        <f>(O55-O60)</f>
        <v>0</v>
      </c>
      <c r="P57" s="80">
        <f>(P55-P60)</f>
        <v>0</v>
      </c>
      <c r="Q57" s="80">
        <f>(Q55-Q60)</f>
        <v>0</v>
      </c>
      <c r="R57" s="80">
        <f>(R55-R60)</f>
        <v>0</v>
      </c>
      <c r="S57" s="80">
        <f>(S55-S60)</f>
        <v>0</v>
      </c>
      <c r="T57" s="80">
        <f>(T55-T60)</f>
        <v>0</v>
      </c>
      <c r="U57" s="80">
        <f>(U55-U60)</f>
        <v>0</v>
      </c>
      <c r="V57" s="80">
        <f>(V55-V60)</f>
        <v>0</v>
      </c>
      <c r="W57" s="80">
        <f>(W55-W60)</f>
        <v>0</v>
      </c>
      <c r="X57" s="80">
        <f>(X55-X60)</f>
        <v>0</v>
      </c>
      <c r="Y57" s="80">
        <f>(Y55-Y60)</f>
        <v>0</v>
      </c>
      <c r="Z57" s="80">
        <f>(Z55-Z60)</f>
        <v>0</v>
      </c>
      <c r="AA57" s="80">
        <f>(AA55-AA60)</f>
        <v>0</v>
      </c>
      <c r="AB57" s="80">
        <f>(AB55-AB60)</f>
        <v>0</v>
      </c>
      <c r="AC57" s="80">
        <f>(AC55-AC60)</f>
        <v>0</v>
      </c>
      <c r="AD57" s="80">
        <f>(AD55-AD60)</f>
        <v>0</v>
      </c>
      <c r="AE57" s="80">
        <f>(AE55-AE60)</f>
        <v>0</v>
      </c>
      <c r="AF57" s="80">
        <f>(AF55-AF60)</f>
        <v>0</v>
      </c>
      <c r="AG57" s="80">
        <f>(AG55-AG60)</f>
        <v>0</v>
      </c>
      <c r="AH57" s="80">
        <f>(AH55-AH60)</f>
        <v>0</v>
      </c>
      <c r="AI57" s="80">
        <f>(AI55-AI60)</f>
        <v>0</v>
      </c>
      <c r="AJ57" s="80">
        <f>(AJ55-AJ60)</f>
        <v>0</v>
      </c>
      <c r="AK57" s="80">
        <f>(AK55-AK60)</f>
        <v>0</v>
      </c>
      <c r="AL57" s="80">
        <f>(AL55-AL60)</f>
        <v>0</v>
      </c>
      <c r="AM57" s="80">
        <f>(AM55-AM60)</f>
        <v>0</v>
      </c>
      <c r="AN57" s="80">
        <f>(AN55-AN60)</f>
        <v>0</v>
      </c>
      <c r="AO57" s="80">
        <f>(AO55-AO60)</f>
        <v>0</v>
      </c>
      <c r="AP57" s="80">
        <f>(AP55-AP60)</f>
        <v>0</v>
      </c>
      <c r="AQ57" s="80">
        <f>(AQ55-AQ60)</f>
        <v>0</v>
      </c>
      <c r="AR57" s="80">
        <f>(AR55-AR60)</f>
        <v>0</v>
      </c>
      <c r="AS57" s="80">
        <f>(AS55-AS60)</f>
        <v>0</v>
      </c>
      <c r="AT57" s="80">
        <f>(AT55-AT60)</f>
        <v>0</v>
      </c>
      <c r="AU57" s="80">
        <f>(AU55-AU60)</f>
        <v>0</v>
      </c>
      <c r="AV57" s="80">
        <f>(AV55-AV60)</f>
        <v>0</v>
      </c>
      <c r="AW57" s="80">
        <f>(AW55-AW60)</f>
        <v>0</v>
      </c>
      <c r="AX57" s="80">
        <f>(AX55-AX60)</f>
        <v>0</v>
      </c>
      <c r="AY57" s="80">
        <f>(AY55-AY60)</f>
        <v>0</v>
      </c>
      <c r="AZ57" s="80">
        <f>(AZ55-AZ60)</f>
        <v>0</v>
      </c>
      <c r="BA57" s="80">
        <f>(BA55-BA60)</f>
        <v>0</v>
      </c>
      <c r="BB57" s="80">
        <f>(BB55-BB60)</f>
        <v>0</v>
      </c>
      <c r="BC57" s="80">
        <f>(BC55-BC60)</f>
        <v>0</v>
      </c>
      <c r="BD57" s="80">
        <f>(BD55-BD60)</f>
        <v>0</v>
      </c>
      <c r="BE57" s="80">
        <f>(BE55-BE60)</f>
        <v>0</v>
      </c>
      <c r="BF57" s="80">
        <f>(BF55-BF60)</f>
        <v>0</v>
      </c>
      <c r="BG57" s="80">
        <f>(BG55-BG60)</f>
        <v>0</v>
      </c>
      <c r="BH57" s="80">
        <f>(BH55-BH60)</f>
        <v>0</v>
      </c>
      <c r="BI57" s="80">
        <f>(BI55-BI60)</f>
        <v>0</v>
      </c>
      <c r="BJ57" s="80">
        <f>(BJ55-BJ60)</f>
        <v>0</v>
      </c>
      <c r="BK57" s="80">
        <f>(BK55-BK60)</f>
        <v>0</v>
      </c>
      <c r="BL57" s="80">
        <f>(BL55-BL60)</f>
        <v>0</v>
      </c>
      <c r="BM57" s="80">
        <f>(BM55-BM60)</f>
        <v>0</v>
      </c>
      <c r="BN57" s="80">
        <f>(BN55-BN60)</f>
        <v>0</v>
      </c>
      <c r="BO57" s="80">
        <f>(BO55-BO60)</f>
        <v>0</v>
      </c>
      <c r="BP57" s="80">
        <f>(BP55-BP60)</f>
        <v>0</v>
      </c>
      <c r="BQ57" s="80">
        <f>(BQ55-BQ60)</f>
        <v>0</v>
      </c>
      <c r="BR57" s="80">
        <f>(BR55-BR60)</f>
        <v>0</v>
      </c>
      <c r="BS57" s="80">
        <f>(BS55-BS60)</f>
        <v>0</v>
      </c>
      <c r="BT57" s="80">
        <f>(BT55-BT60)</f>
        <v>0</v>
      </c>
      <c r="BU57" s="80">
        <f>(BU55-BU60)</f>
        <v>0</v>
      </c>
      <c r="BV57" s="80">
        <f>(BV55-BV60)</f>
        <v>0</v>
      </c>
      <c r="BW57" s="80">
        <f>(BW55-BW60)</f>
        <v>0</v>
      </c>
      <c r="BX57" s="80">
        <f>(BX55-BX60)</f>
        <v>0</v>
      </c>
      <c r="BY57" s="80">
        <f>(BY55-BY60)</f>
        <v>0</v>
      </c>
      <c r="BZ57" s="80">
        <f>(BZ55-BZ60)</f>
        <v>0</v>
      </c>
      <c r="CA57" s="80">
        <f>(CA55-CA60)</f>
        <v>0</v>
      </c>
      <c r="CB57" s="80">
        <f>(CB55-CB60)</f>
        <v>0</v>
      </c>
      <c r="CC57" s="80">
        <f>(CC55-CC60)</f>
        <v>0</v>
      </c>
      <c r="CD57" s="80">
        <f>(CD55-CD60)</f>
        <v>0</v>
      </c>
      <c r="CE57" s="80">
        <f>(CE55-CE60)</f>
        <v>0</v>
      </c>
      <c r="CF57" s="80">
        <f>(CF55-CF60)</f>
        <v>0</v>
      </c>
      <c r="CG57" s="80">
        <f>(CG55-CG60)</f>
        <v>0</v>
      </c>
      <c r="CH57" s="80">
        <f>(CH55-CH60)</f>
        <v>0</v>
      </c>
      <c r="CI57" s="80">
        <f>(CI55-CI60)</f>
        <v>0</v>
      </c>
      <c r="CJ57" s="80">
        <f>(CJ55-CJ60)</f>
        <v>0</v>
      </c>
      <c r="CK57" s="80">
        <f>(CK55-CK60)</f>
        <v>0</v>
      </c>
      <c r="CL57" s="80">
        <f>(CL55-CL60)</f>
        <v>0</v>
      </c>
      <c r="CM57" s="80">
        <f>(CM55-CM60)</f>
        <v>0</v>
      </c>
      <c r="CN57" s="80">
        <f>(CN55-CN60)</f>
        <v>0</v>
      </c>
      <c r="CO57" s="80">
        <f>(CO55-CO60)</f>
        <v>0</v>
      </c>
      <c r="CP57" s="80">
        <f>(CP55-CP60)</f>
        <v>0</v>
      </c>
      <c r="CQ57" s="80">
        <f>(CQ55-CQ60)</f>
        <v>0</v>
      </c>
      <c r="CR57" s="80">
        <f>(CR55-CR60)</f>
        <v>0</v>
      </c>
      <c r="CS57" s="80">
        <f>(CS55-CS60)</f>
        <v>0</v>
      </c>
      <c r="CT57" s="80">
        <f>(CT55-CT60)</f>
        <v>0</v>
      </c>
    </row>
    <row r="58" spans="1:98" ht="15.75" customHeight="1">
      <c r="A58" s="3" t="s">
        <v>89</v>
      </c>
      <c r="B58" s="79" t="s">
        <v>90</v>
      </c>
      <c r="C58" s="80" t="e">
        <f t="shared" ref="C58:D58" si="71">C46*C57/100</f>
        <v>#DIV/0!</v>
      </c>
      <c r="D58" s="80" t="e">
        <f t="shared" ref="D58:E58" si="72">D46*D57/100</f>
        <v>#DIV/0!</v>
      </c>
      <c r="E58" s="80" t="e">
        <f t="shared" si="72"/>
        <v>#DIV/0!</v>
      </c>
      <c r="F58" s="80" t="e">
        <f t="shared" ref="F58:K58" si="73">F46*F57/100</f>
        <v>#DIV/0!</v>
      </c>
      <c r="G58" s="80" t="e">
        <f t="shared" si="73"/>
        <v>#DIV/0!</v>
      </c>
      <c r="H58" s="80" t="e">
        <f t="shared" si="73"/>
        <v>#DIV/0!</v>
      </c>
      <c r="I58" s="80" t="e">
        <f t="shared" si="73"/>
        <v>#DIV/0!</v>
      </c>
      <c r="J58" s="80" t="e">
        <f t="shared" si="73"/>
        <v>#DIV/0!</v>
      </c>
      <c r="K58" s="80" t="e">
        <f t="shared" si="73"/>
        <v>#DIV/0!</v>
      </c>
      <c r="L58" s="80" t="e">
        <f t="shared" ref="L58:AC58" si="74">L46*L57/100</f>
        <v>#DIV/0!</v>
      </c>
      <c r="M58" s="80" t="e">
        <f t="shared" si="74"/>
        <v>#DIV/0!</v>
      </c>
      <c r="N58" s="80" t="e">
        <f t="shared" si="74"/>
        <v>#DIV/0!</v>
      </c>
      <c r="O58" s="80" t="e">
        <f t="shared" si="74"/>
        <v>#DIV/0!</v>
      </c>
      <c r="P58" s="80" t="e">
        <f t="shared" si="74"/>
        <v>#DIV/0!</v>
      </c>
      <c r="Q58" s="80" t="e">
        <f t="shared" si="74"/>
        <v>#DIV/0!</v>
      </c>
      <c r="R58" s="80" t="e">
        <f t="shared" si="74"/>
        <v>#DIV/0!</v>
      </c>
      <c r="S58" s="80" t="e">
        <f t="shared" si="74"/>
        <v>#DIV/0!</v>
      </c>
      <c r="T58" s="80" t="e">
        <f t="shared" si="74"/>
        <v>#DIV/0!</v>
      </c>
      <c r="U58" s="80" t="e">
        <f t="shared" si="74"/>
        <v>#DIV/0!</v>
      </c>
      <c r="V58" s="80" t="e">
        <f t="shared" si="74"/>
        <v>#DIV/0!</v>
      </c>
      <c r="W58" s="80" t="e">
        <f t="shared" si="74"/>
        <v>#DIV/0!</v>
      </c>
      <c r="X58" s="80" t="e">
        <f t="shared" si="74"/>
        <v>#DIV/0!</v>
      </c>
      <c r="Y58" s="80" t="e">
        <f t="shared" si="74"/>
        <v>#DIV/0!</v>
      </c>
      <c r="Z58" s="80" t="e">
        <f t="shared" si="74"/>
        <v>#DIV/0!</v>
      </c>
      <c r="AA58" s="80" t="e">
        <f t="shared" si="74"/>
        <v>#DIV/0!</v>
      </c>
      <c r="AB58" s="80" t="e">
        <f t="shared" si="74"/>
        <v>#DIV/0!</v>
      </c>
      <c r="AC58" s="80" t="e">
        <f t="shared" si="74"/>
        <v>#DIV/0!</v>
      </c>
      <c r="AD58" s="80" t="e">
        <f t="shared" ref="AD58:CN58" si="75">AD46*AD57/100</f>
        <v>#DIV/0!</v>
      </c>
      <c r="AE58" s="80" t="e">
        <f t="shared" si="75"/>
        <v>#DIV/0!</v>
      </c>
      <c r="AF58" s="80" t="e">
        <f t="shared" si="75"/>
        <v>#DIV/0!</v>
      </c>
      <c r="AG58" s="80" t="e">
        <f t="shared" si="75"/>
        <v>#DIV/0!</v>
      </c>
      <c r="AH58" s="80" t="e">
        <f t="shared" si="75"/>
        <v>#DIV/0!</v>
      </c>
      <c r="AI58" s="80" t="e">
        <f t="shared" si="75"/>
        <v>#DIV/0!</v>
      </c>
      <c r="AJ58" s="80" t="e">
        <f t="shared" si="75"/>
        <v>#DIV/0!</v>
      </c>
      <c r="AK58" s="80" t="e">
        <f t="shared" si="75"/>
        <v>#DIV/0!</v>
      </c>
      <c r="AL58" s="80" t="e">
        <f t="shared" si="75"/>
        <v>#DIV/0!</v>
      </c>
      <c r="AM58" s="80" t="e">
        <f t="shared" si="75"/>
        <v>#DIV/0!</v>
      </c>
      <c r="AN58" s="80" t="e">
        <f t="shared" si="75"/>
        <v>#DIV/0!</v>
      </c>
      <c r="AO58" s="80" t="e">
        <f t="shared" si="75"/>
        <v>#DIV/0!</v>
      </c>
      <c r="AP58" s="80" t="e">
        <f t="shared" si="75"/>
        <v>#DIV/0!</v>
      </c>
      <c r="AQ58" s="80" t="e">
        <f t="shared" si="75"/>
        <v>#DIV/0!</v>
      </c>
      <c r="AR58" s="80" t="e">
        <f t="shared" si="75"/>
        <v>#DIV/0!</v>
      </c>
      <c r="AS58" s="80" t="e">
        <f t="shared" si="75"/>
        <v>#DIV/0!</v>
      </c>
      <c r="AT58" s="80" t="e">
        <f t="shared" si="75"/>
        <v>#DIV/0!</v>
      </c>
      <c r="AU58" s="80" t="e">
        <f t="shared" si="75"/>
        <v>#DIV/0!</v>
      </c>
      <c r="AV58" s="80" t="e">
        <f t="shared" si="75"/>
        <v>#DIV/0!</v>
      </c>
      <c r="AW58" s="80" t="e">
        <f t="shared" si="75"/>
        <v>#DIV/0!</v>
      </c>
      <c r="AX58" s="80" t="e">
        <f t="shared" si="75"/>
        <v>#DIV/0!</v>
      </c>
      <c r="AY58" s="80" t="e">
        <f t="shared" si="75"/>
        <v>#DIV/0!</v>
      </c>
      <c r="AZ58" s="80" t="e">
        <f t="shared" si="75"/>
        <v>#DIV/0!</v>
      </c>
      <c r="BA58" s="80" t="e">
        <f t="shared" si="75"/>
        <v>#DIV/0!</v>
      </c>
      <c r="BB58" s="80" t="e">
        <f t="shared" si="75"/>
        <v>#DIV/0!</v>
      </c>
      <c r="BC58" s="80" t="e">
        <f t="shared" si="75"/>
        <v>#DIV/0!</v>
      </c>
      <c r="BD58" s="80" t="e">
        <f t="shared" si="75"/>
        <v>#DIV/0!</v>
      </c>
      <c r="BE58" s="80" t="e">
        <f t="shared" si="75"/>
        <v>#DIV/0!</v>
      </c>
      <c r="BF58" s="80" t="e">
        <f t="shared" si="75"/>
        <v>#DIV/0!</v>
      </c>
      <c r="BG58" s="80" t="e">
        <f t="shared" si="75"/>
        <v>#DIV/0!</v>
      </c>
      <c r="BH58" s="80" t="e">
        <f t="shared" si="75"/>
        <v>#DIV/0!</v>
      </c>
      <c r="BI58" s="80" t="e">
        <f t="shared" si="75"/>
        <v>#DIV/0!</v>
      </c>
      <c r="BJ58" s="80" t="e">
        <f t="shared" si="75"/>
        <v>#DIV/0!</v>
      </c>
      <c r="BK58" s="80" t="e">
        <f t="shared" si="75"/>
        <v>#DIV/0!</v>
      </c>
      <c r="BL58" s="80" t="e">
        <f t="shared" si="75"/>
        <v>#DIV/0!</v>
      </c>
      <c r="BM58" s="80" t="e">
        <f t="shared" si="75"/>
        <v>#DIV/0!</v>
      </c>
      <c r="BN58" s="80" t="e">
        <f t="shared" si="75"/>
        <v>#DIV/0!</v>
      </c>
      <c r="BO58" s="80" t="e">
        <f t="shared" si="75"/>
        <v>#DIV/0!</v>
      </c>
      <c r="BP58" s="80" t="e">
        <f t="shared" si="75"/>
        <v>#DIV/0!</v>
      </c>
      <c r="BQ58" s="80" t="e">
        <f t="shared" si="75"/>
        <v>#DIV/0!</v>
      </c>
      <c r="BR58" s="80" t="e">
        <f t="shared" si="75"/>
        <v>#DIV/0!</v>
      </c>
      <c r="BS58" s="80" t="e">
        <f t="shared" si="75"/>
        <v>#DIV/0!</v>
      </c>
      <c r="BT58" s="80" t="e">
        <f t="shared" si="75"/>
        <v>#DIV/0!</v>
      </c>
      <c r="BU58" s="80" t="e">
        <f t="shared" si="75"/>
        <v>#DIV/0!</v>
      </c>
      <c r="BV58" s="80" t="e">
        <f t="shared" si="75"/>
        <v>#DIV/0!</v>
      </c>
      <c r="BW58" s="80" t="e">
        <f t="shared" si="75"/>
        <v>#DIV/0!</v>
      </c>
      <c r="BX58" s="80" t="e">
        <f t="shared" si="75"/>
        <v>#DIV/0!</v>
      </c>
      <c r="BY58" s="80" t="e">
        <f t="shared" si="75"/>
        <v>#DIV/0!</v>
      </c>
      <c r="BZ58" s="80" t="e">
        <f t="shared" si="75"/>
        <v>#DIV/0!</v>
      </c>
      <c r="CA58" s="80" t="e">
        <f t="shared" si="75"/>
        <v>#DIV/0!</v>
      </c>
      <c r="CB58" s="80" t="e">
        <f t="shared" si="75"/>
        <v>#DIV/0!</v>
      </c>
      <c r="CC58" s="80" t="e">
        <f t="shared" si="75"/>
        <v>#DIV/0!</v>
      </c>
      <c r="CD58" s="80" t="e">
        <f t="shared" si="75"/>
        <v>#DIV/0!</v>
      </c>
      <c r="CE58" s="80" t="e">
        <f t="shared" si="75"/>
        <v>#DIV/0!</v>
      </c>
      <c r="CF58" s="80" t="e">
        <f t="shared" si="75"/>
        <v>#DIV/0!</v>
      </c>
      <c r="CG58" s="80" t="e">
        <f t="shared" si="75"/>
        <v>#DIV/0!</v>
      </c>
      <c r="CH58" s="80" t="e">
        <f t="shared" si="75"/>
        <v>#DIV/0!</v>
      </c>
      <c r="CI58" s="80" t="e">
        <f t="shared" si="75"/>
        <v>#DIV/0!</v>
      </c>
      <c r="CJ58" s="80" t="e">
        <f t="shared" si="75"/>
        <v>#DIV/0!</v>
      </c>
      <c r="CK58" s="80" t="e">
        <f t="shared" si="75"/>
        <v>#DIV/0!</v>
      </c>
      <c r="CL58" s="80" t="e">
        <f t="shared" si="75"/>
        <v>#DIV/0!</v>
      </c>
      <c r="CM58" s="80" t="e">
        <f t="shared" si="75"/>
        <v>#DIV/0!</v>
      </c>
      <c r="CN58" s="80" t="e">
        <f t="shared" si="75"/>
        <v>#DIV/0!</v>
      </c>
      <c r="CO58" s="80" t="e">
        <f t="shared" ref="CO58:CT58" si="76">CO46*CO57/100</f>
        <v>#DIV/0!</v>
      </c>
      <c r="CP58" s="80" t="e">
        <f t="shared" si="76"/>
        <v>#DIV/0!</v>
      </c>
      <c r="CQ58" s="80" t="e">
        <f t="shared" si="76"/>
        <v>#DIV/0!</v>
      </c>
      <c r="CR58" s="80" t="e">
        <f t="shared" si="76"/>
        <v>#DIV/0!</v>
      </c>
      <c r="CS58" s="80" t="e">
        <f t="shared" si="76"/>
        <v>#DIV/0!</v>
      </c>
      <c r="CT58" s="80" t="e">
        <f t="shared" si="76"/>
        <v>#DIV/0!</v>
      </c>
    </row>
    <row r="59" spans="1:98" ht="15.75" customHeight="1">
      <c r="A59" s="3"/>
      <c r="B59" s="79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80"/>
      <c r="AH59" s="80"/>
      <c r="AI59" s="80"/>
      <c r="AJ59" s="80"/>
      <c r="AK59" s="80"/>
      <c r="AL59" s="80"/>
      <c r="AM59" s="80"/>
      <c r="AN59" s="80"/>
      <c r="AO59" s="80"/>
      <c r="AP59" s="80"/>
      <c r="AQ59" s="80"/>
      <c r="AR59" s="80"/>
      <c r="AS59" s="80"/>
      <c r="AT59" s="80"/>
      <c r="AU59" s="80"/>
      <c r="AV59" s="80"/>
      <c r="AW59" s="80"/>
      <c r="AX59" s="80"/>
      <c r="AY59" s="80"/>
      <c r="AZ59" s="80"/>
      <c r="BA59" s="80"/>
      <c r="BB59" s="80"/>
      <c r="BC59" s="80"/>
      <c r="BD59" s="80"/>
      <c r="BE59" s="80"/>
      <c r="BF59" s="80"/>
      <c r="BG59" s="80"/>
      <c r="BH59" s="80"/>
      <c r="BI59" s="80"/>
      <c r="BJ59" s="80"/>
      <c r="BK59" s="80"/>
      <c r="BL59" s="80"/>
      <c r="BM59" s="80"/>
      <c r="BN59" s="80"/>
      <c r="BO59" s="80"/>
      <c r="BP59" s="80"/>
      <c r="BQ59" s="80"/>
      <c r="BR59" s="80"/>
      <c r="BS59" s="80"/>
      <c r="BT59" s="80"/>
      <c r="BU59" s="80"/>
      <c r="BV59" s="80"/>
      <c r="BW59" s="80"/>
      <c r="BX59" s="80"/>
      <c r="BY59" s="80"/>
      <c r="BZ59" s="80"/>
      <c r="CA59" s="80"/>
      <c r="CB59" s="80"/>
      <c r="CC59" s="80"/>
      <c r="CD59" s="80"/>
      <c r="CE59" s="80"/>
      <c r="CF59" s="80"/>
      <c r="CG59" s="80"/>
      <c r="CH59" s="80"/>
      <c r="CI59" s="80"/>
      <c r="CJ59" s="80"/>
      <c r="CK59" s="80"/>
      <c r="CL59" s="80"/>
      <c r="CM59" s="80"/>
      <c r="CN59" s="80"/>
      <c r="CO59" s="80"/>
      <c r="CP59" s="80"/>
      <c r="CQ59" s="80"/>
      <c r="CR59" s="80"/>
      <c r="CS59" s="80"/>
      <c r="CT59" s="80"/>
    </row>
    <row r="60" spans="1:98" ht="15.75" customHeight="1">
      <c r="A60" s="3" t="s">
        <v>91</v>
      </c>
      <c r="B60" s="79" t="s">
        <v>88</v>
      </c>
      <c r="C60" s="80">
        <f>C55*C13/100</f>
        <v>0</v>
      </c>
      <c r="D60" s="80">
        <f>D55*D13/100</f>
        <v>0</v>
      </c>
      <c r="E60" s="80">
        <f>E55*E13/100</f>
        <v>0</v>
      </c>
      <c r="F60" s="80">
        <f>F55*F13/100</f>
        <v>0</v>
      </c>
      <c r="G60" s="80">
        <f>G55*G13/100</f>
        <v>0</v>
      </c>
      <c r="H60" s="80">
        <f>H55*H13/100</f>
        <v>0</v>
      </c>
      <c r="I60" s="80">
        <f>I55*I13/100</f>
        <v>0</v>
      </c>
      <c r="J60" s="80">
        <f>J55*J13/100</f>
        <v>0</v>
      </c>
      <c r="K60" s="80">
        <f>K55*K13/100</f>
        <v>0</v>
      </c>
      <c r="L60" s="80">
        <f>L55*L13/100</f>
        <v>0</v>
      </c>
      <c r="M60" s="80">
        <f>M55*M13/100</f>
        <v>0</v>
      </c>
      <c r="N60" s="80">
        <f>N55*N13/100</f>
        <v>0</v>
      </c>
      <c r="O60" s="80">
        <f>O55*O13/100</f>
        <v>0</v>
      </c>
      <c r="P60" s="80">
        <f>P55*P13/100</f>
        <v>0</v>
      </c>
      <c r="Q60" s="80">
        <f>Q55*Q13/100</f>
        <v>0</v>
      </c>
      <c r="R60" s="80">
        <f>R55*R13/100</f>
        <v>0</v>
      </c>
      <c r="S60" s="80">
        <f>S55*S13/100</f>
        <v>0</v>
      </c>
      <c r="T60" s="80">
        <f>T55*T13/100</f>
        <v>0</v>
      </c>
      <c r="U60" s="80">
        <f>U55*U13/100</f>
        <v>0</v>
      </c>
      <c r="V60" s="80">
        <f>V55*V13/100</f>
        <v>0</v>
      </c>
      <c r="W60" s="80">
        <f>W55*W13/100</f>
        <v>0</v>
      </c>
      <c r="X60" s="80">
        <f>X55*X13/100</f>
        <v>0</v>
      </c>
      <c r="Y60" s="80">
        <f>Y55*Y13/100</f>
        <v>0</v>
      </c>
      <c r="Z60" s="80">
        <f>Z55*Z13/100</f>
        <v>0</v>
      </c>
      <c r="AA60" s="80">
        <f>AA55*AA13/100</f>
        <v>0</v>
      </c>
      <c r="AB60" s="80">
        <f>AB55*AB13/100</f>
        <v>0</v>
      </c>
      <c r="AC60" s="80">
        <f>AC55*AC13/100</f>
        <v>0</v>
      </c>
      <c r="AD60" s="80">
        <f>AD55*AD13/100</f>
        <v>0</v>
      </c>
      <c r="AE60" s="80">
        <f>AE55*AE13/100</f>
        <v>0</v>
      </c>
      <c r="AF60" s="80">
        <f>AF55*AF13/100</f>
        <v>0</v>
      </c>
      <c r="AG60" s="80">
        <f>AG55*AG13/100</f>
        <v>0</v>
      </c>
      <c r="AH60" s="80">
        <f>AH55*AH13/100</f>
        <v>0</v>
      </c>
      <c r="AI60" s="80">
        <f>AI55*AI13/100</f>
        <v>0</v>
      </c>
      <c r="AJ60" s="80">
        <f>AJ55*AJ13/100</f>
        <v>0</v>
      </c>
      <c r="AK60" s="80">
        <f>AK55*AK13/100</f>
        <v>0</v>
      </c>
      <c r="AL60" s="80">
        <f>AL55*AL13/100</f>
        <v>0</v>
      </c>
      <c r="AM60" s="80">
        <f>AM55*AM13/100</f>
        <v>0</v>
      </c>
      <c r="AN60" s="80">
        <f>AN55*AN13/100</f>
        <v>0</v>
      </c>
      <c r="AO60" s="80">
        <f>AO55*AO13/100</f>
        <v>0</v>
      </c>
      <c r="AP60" s="80">
        <f>AP55*AP13/100</f>
        <v>0</v>
      </c>
      <c r="AQ60" s="80">
        <f>AQ55*AQ13/100</f>
        <v>0</v>
      </c>
      <c r="AR60" s="80">
        <f>AR55*AR13/100</f>
        <v>0</v>
      </c>
      <c r="AS60" s="80">
        <f>AS55*AS13/100</f>
        <v>0</v>
      </c>
      <c r="AT60" s="80">
        <f>AT55*AT13/100</f>
        <v>0</v>
      </c>
      <c r="AU60" s="80">
        <f>AU55*AU13/100</f>
        <v>0</v>
      </c>
      <c r="AV60" s="80">
        <f>AV55*AV13/100</f>
        <v>0</v>
      </c>
      <c r="AW60" s="80">
        <f>AW55*AW13/100</f>
        <v>0</v>
      </c>
      <c r="AX60" s="80">
        <f>AX55*AX13/100</f>
        <v>0</v>
      </c>
      <c r="AY60" s="80">
        <f>AY55*AY13/100</f>
        <v>0</v>
      </c>
      <c r="AZ60" s="80">
        <f>AZ55*AZ13/100</f>
        <v>0</v>
      </c>
      <c r="BA60" s="80">
        <f>BA55*BA13/100</f>
        <v>0</v>
      </c>
      <c r="BB60" s="80">
        <f>BB55*BB13/100</f>
        <v>0</v>
      </c>
      <c r="BC60" s="80">
        <f>BC55*BC13/100</f>
        <v>0</v>
      </c>
      <c r="BD60" s="80">
        <f>BD55*BD13/100</f>
        <v>0</v>
      </c>
      <c r="BE60" s="80">
        <f>BE55*BE13/100</f>
        <v>0</v>
      </c>
      <c r="BF60" s="80">
        <f>BF55*BF13/100</f>
        <v>0</v>
      </c>
      <c r="BG60" s="80">
        <f>BG55*BG13/100</f>
        <v>0</v>
      </c>
      <c r="BH60" s="80">
        <f>BH55*BH13/100</f>
        <v>0</v>
      </c>
      <c r="BI60" s="80">
        <f>BI55*BI13/100</f>
        <v>0</v>
      </c>
      <c r="BJ60" s="80">
        <f>BJ55*BJ13/100</f>
        <v>0</v>
      </c>
      <c r="BK60" s="80">
        <f>BK55*BK13/100</f>
        <v>0</v>
      </c>
      <c r="BL60" s="80">
        <f>BL55*BL13/100</f>
        <v>0</v>
      </c>
      <c r="BM60" s="80">
        <f>BM55*BM13/100</f>
        <v>0</v>
      </c>
      <c r="BN60" s="80">
        <f>BN55*BN13/100</f>
        <v>0</v>
      </c>
      <c r="BO60" s="80">
        <f>BO55*BO13/100</f>
        <v>0</v>
      </c>
      <c r="BP60" s="80">
        <f>BP55*BP13/100</f>
        <v>0</v>
      </c>
      <c r="BQ60" s="80">
        <f>BQ55*BQ13/100</f>
        <v>0</v>
      </c>
      <c r="BR60" s="80">
        <f>BR55*BR13/100</f>
        <v>0</v>
      </c>
      <c r="BS60" s="80">
        <f>BS55*BS13/100</f>
        <v>0</v>
      </c>
      <c r="BT60" s="80">
        <f>BT55*BT13/100</f>
        <v>0</v>
      </c>
      <c r="BU60" s="80">
        <f>BU55*BU13/100</f>
        <v>0</v>
      </c>
      <c r="BV60" s="80">
        <f>BV55*BV13/100</f>
        <v>0</v>
      </c>
      <c r="BW60" s="80">
        <f>BW55*BW13/100</f>
        <v>0</v>
      </c>
      <c r="BX60" s="80">
        <f>BX55*BX13/100</f>
        <v>0</v>
      </c>
      <c r="BY60" s="80">
        <f>BY55*BY13/100</f>
        <v>0</v>
      </c>
      <c r="BZ60" s="80">
        <f>BZ55*BZ13/100</f>
        <v>0</v>
      </c>
      <c r="CA60" s="80">
        <f>CA55*CA13/100</f>
        <v>0</v>
      </c>
      <c r="CB60" s="80">
        <f>CB55*CB13/100</f>
        <v>0</v>
      </c>
      <c r="CC60" s="80">
        <f>CC55*CC13/100</f>
        <v>0</v>
      </c>
      <c r="CD60" s="80">
        <f>CD55*CD13/100</f>
        <v>0</v>
      </c>
      <c r="CE60" s="80">
        <f>CE55*CE13/100</f>
        <v>0</v>
      </c>
      <c r="CF60" s="80">
        <f>CF55*CF13/100</f>
        <v>0</v>
      </c>
      <c r="CG60" s="80">
        <f>CG55*CG13/100</f>
        <v>0</v>
      </c>
      <c r="CH60" s="80">
        <f>CH55*CH13/100</f>
        <v>0</v>
      </c>
      <c r="CI60" s="80">
        <f>CI55*CI13/100</f>
        <v>0</v>
      </c>
      <c r="CJ60" s="80">
        <f>CJ55*CJ13/100</f>
        <v>0</v>
      </c>
      <c r="CK60" s="80">
        <f>CK55*CK13/100</f>
        <v>0</v>
      </c>
      <c r="CL60" s="80">
        <f>CL55*CL13/100</f>
        <v>0</v>
      </c>
      <c r="CM60" s="80">
        <f>CM55*CM13/100</f>
        <v>0</v>
      </c>
      <c r="CN60" s="80">
        <f>CN55*CN13/100</f>
        <v>0</v>
      </c>
      <c r="CO60" s="80">
        <f>CO55*CO13/100</f>
        <v>0</v>
      </c>
      <c r="CP60" s="80">
        <f>CP55*CP13/100</f>
        <v>0</v>
      </c>
      <c r="CQ60" s="80">
        <f>CQ55*CQ13/100</f>
        <v>0</v>
      </c>
      <c r="CR60" s="80">
        <f>CR55*CR13/100</f>
        <v>0</v>
      </c>
      <c r="CS60" s="80">
        <f>CS55*CS13/100</f>
        <v>0</v>
      </c>
      <c r="CT60" s="80">
        <f>CT55*CT13/100</f>
        <v>0</v>
      </c>
    </row>
    <row r="61" spans="1:98" ht="15.75" customHeight="1">
      <c r="A61" s="3" t="s">
        <v>92</v>
      </c>
      <c r="B61" s="79" t="s">
        <v>90</v>
      </c>
      <c r="C61" s="80" t="e">
        <f>C46*C60/100</f>
        <v>#DIV/0!</v>
      </c>
      <c r="D61" s="80" t="e">
        <f>D46*D60/100</f>
        <v>#DIV/0!</v>
      </c>
      <c r="E61" s="80" t="e">
        <f>E46*E60/100</f>
        <v>#DIV/0!</v>
      </c>
      <c r="F61" s="80" t="e">
        <f>F46*F60/100</f>
        <v>#DIV/0!</v>
      </c>
      <c r="G61" s="80" t="e">
        <f>G46*G60/100</f>
        <v>#DIV/0!</v>
      </c>
      <c r="H61" s="80" t="e">
        <f>H46*H60/100</f>
        <v>#DIV/0!</v>
      </c>
      <c r="I61" s="80" t="e">
        <f>I46*I60/100</f>
        <v>#DIV/0!</v>
      </c>
      <c r="J61" s="80" t="e">
        <f>J46*J60/100</f>
        <v>#DIV/0!</v>
      </c>
      <c r="K61" s="80" t="e">
        <f>K46*K60/100</f>
        <v>#DIV/0!</v>
      </c>
      <c r="L61" s="80" t="e">
        <f>L46*L60/100</f>
        <v>#DIV/0!</v>
      </c>
      <c r="M61" s="80" t="e">
        <f>M46*M60/100</f>
        <v>#DIV/0!</v>
      </c>
      <c r="N61" s="80" t="e">
        <f>N46*N60/100</f>
        <v>#DIV/0!</v>
      </c>
      <c r="O61" s="80" t="e">
        <f>O46*O60/100</f>
        <v>#DIV/0!</v>
      </c>
      <c r="P61" s="80" t="e">
        <f>P46*P60/100</f>
        <v>#DIV/0!</v>
      </c>
      <c r="Q61" s="80" t="e">
        <f>Q46*Q60/100</f>
        <v>#DIV/0!</v>
      </c>
      <c r="R61" s="80" t="e">
        <f>R46*R60/100</f>
        <v>#DIV/0!</v>
      </c>
      <c r="S61" s="80" t="e">
        <f>S46*S60/100</f>
        <v>#DIV/0!</v>
      </c>
      <c r="T61" s="80" t="e">
        <f>T46*T60/100</f>
        <v>#DIV/0!</v>
      </c>
      <c r="U61" s="80" t="e">
        <f>U46*U60/100</f>
        <v>#DIV/0!</v>
      </c>
      <c r="V61" s="80" t="e">
        <f>V46*V60/100</f>
        <v>#DIV/0!</v>
      </c>
      <c r="W61" s="80" t="e">
        <f>W46*W60/100</f>
        <v>#DIV/0!</v>
      </c>
      <c r="X61" s="80" t="e">
        <f>X46*X60/100</f>
        <v>#DIV/0!</v>
      </c>
      <c r="Y61" s="80" t="e">
        <f>Y46*Y60/100</f>
        <v>#DIV/0!</v>
      </c>
      <c r="Z61" s="80" t="e">
        <f>Z46*Z60/100</f>
        <v>#DIV/0!</v>
      </c>
      <c r="AA61" s="80" t="e">
        <f>AA46*AA60/100</f>
        <v>#DIV/0!</v>
      </c>
      <c r="AB61" s="80" t="e">
        <f>AB46*AB60/100</f>
        <v>#DIV/0!</v>
      </c>
      <c r="AC61" s="80" t="e">
        <f>AC46*AC60/100</f>
        <v>#DIV/0!</v>
      </c>
      <c r="AD61" s="80" t="e">
        <f>AD46*AD60/100</f>
        <v>#DIV/0!</v>
      </c>
      <c r="AE61" s="80" t="e">
        <f>AE46*AE60/100</f>
        <v>#DIV/0!</v>
      </c>
      <c r="AF61" s="80" t="e">
        <f>AF46*AF60/100</f>
        <v>#DIV/0!</v>
      </c>
      <c r="AG61" s="80" t="e">
        <f>AG46*AG60/100</f>
        <v>#DIV/0!</v>
      </c>
      <c r="AH61" s="80" t="e">
        <f>AH46*AH60/100</f>
        <v>#DIV/0!</v>
      </c>
      <c r="AI61" s="80" t="e">
        <f>AI46*AI60/100</f>
        <v>#DIV/0!</v>
      </c>
      <c r="AJ61" s="80" t="e">
        <f>AJ46*AJ60/100</f>
        <v>#DIV/0!</v>
      </c>
      <c r="AK61" s="80" t="e">
        <f>AK46*AK60/100</f>
        <v>#DIV/0!</v>
      </c>
      <c r="AL61" s="80" t="e">
        <f>AL46*AL60/100</f>
        <v>#DIV/0!</v>
      </c>
      <c r="AM61" s="80" t="e">
        <f>AM46*AM60/100</f>
        <v>#DIV/0!</v>
      </c>
      <c r="AN61" s="80" t="e">
        <f>AN46*AN60/100</f>
        <v>#DIV/0!</v>
      </c>
      <c r="AO61" s="80" t="e">
        <f>AO46*AO60/100</f>
        <v>#DIV/0!</v>
      </c>
      <c r="AP61" s="80" t="e">
        <f>AP46*AP60/100</f>
        <v>#DIV/0!</v>
      </c>
      <c r="AQ61" s="80" t="e">
        <f>AQ46*AQ60/100</f>
        <v>#DIV/0!</v>
      </c>
      <c r="AR61" s="80" t="e">
        <f>AR46*AR60/100</f>
        <v>#DIV/0!</v>
      </c>
      <c r="AS61" s="80" t="e">
        <f>AS46*AS60/100</f>
        <v>#DIV/0!</v>
      </c>
      <c r="AT61" s="80" t="e">
        <f>AT46*AT60/100</f>
        <v>#DIV/0!</v>
      </c>
      <c r="AU61" s="80" t="e">
        <f>AU46*AU60/100</f>
        <v>#DIV/0!</v>
      </c>
      <c r="AV61" s="80" t="e">
        <f>AV46*AV60/100</f>
        <v>#DIV/0!</v>
      </c>
      <c r="AW61" s="80" t="e">
        <f>AW46*AW60/100</f>
        <v>#DIV/0!</v>
      </c>
      <c r="AX61" s="80" t="e">
        <f>AX46*AX60/100</f>
        <v>#DIV/0!</v>
      </c>
      <c r="AY61" s="80" t="e">
        <f>AY46*AY60/100</f>
        <v>#DIV/0!</v>
      </c>
      <c r="AZ61" s="80" t="e">
        <f>AZ46*AZ60/100</f>
        <v>#DIV/0!</v>
      </c>
      <c r="BA61" s="80" t="e">
        <f>BA46*BA60/100</f>
        <v>#DIV/0!</v>
      </c>
      <c r="BB61" s="80" t="e">
        <f>BB46*BB60/100</f>
        <v>#DIV/0!</v>
      </c>
      <c r="BC61" s="80" t="e">
        <f>BC46*BC60/100</f>
        <v>#DIV/0!</v>
      </c>
      <c r="BD61" s="80" t="e">
        <f>BD46*BD60/100</f>
        <v>#DIV/0!</v>
      </c>
      <c r="BE61" s="80" t="e">
        <f>BE46*BE60/100</f>
        <v>#DIV/0!</v>
      </c>
      <c r="BF61" s="80" t="e">
        <f>BF46*BF60/100</f>
        <v>#DIV/0!</v>
      </c>
      <c r="BG61" s="80" t="e">
        <f>BG46*BG60/100</f>
        <v>#DIV/0!</v>
      </c>
      <c r="BH61" s="80" t="e">
        <f>BH46*BH60/100</f>
        <v>#DIV/0!</v>
      </c>
      <c r="BI61" s="80" t="e">
        <f>BI46*BI60/100</f>
        <v>#DIV/0!</v>
      </c>
      <c r="BJ61" s="80" t="e">
        <f>BJ46*BJ60/100</f>
        <v>#DIV/0!</v>
      </c>
      <c r="BK61" s="80" t="e">
        <f>BK46*BK60/100</f>
        <v>#DIV/0!</v>
      </c>
      <c r="BL61" s="80" t="e">
        <f>BL46*BL60/100</f>
        <v>#DIV/0!</v>
      </c>
      <c r="BM61" s="80" t="e">
        <f>BM46*BM60/100</f>
        <v>#DIV/0!</v>
      </c>
      <c r="BN61" s="80" t="e">
        <f>BN46*BN60/100</f>
        <v>#DIV/0!</v>
      </c>
      <c r="BO61" s="80" t="e">
        <f>BO46*BO60/100</f>
        <v>#DIV/0!</v>
      </c>
      <c r="BP61" s="80" t="e">
        <f>BP46*BP60/100</f>
        <v>#DIV/0!</v>
      </c>
      <c r="BQ61" s="80" t="e">
        <f>BQ46*BQ60/100</f>
        <v>#DIV/0!</v>
      </c>
      <c r="BR61" s="80" t="e">
        <f>BR46*BR60/100</f>
        <v>#DIV/0!</v>
      </c>
      <c r="BS61" s="80" t="e">
        <f>BS46*BS60/100</f>
        <v>#DIV/0!</v>
      </c>
      <c r="BT61" s="80" t="e">
        <f>BT46*BT60/100</f>
        <v>#DIV/0!</v>
      </c>
      <c r="BU61" s="80" t="e">
        <f>BU46*BU60/100</f>
        <v>#DIV/0!</v>
      </c>
      <c r="BV61" s="80" t="e">
        <f>BV46*BV60/100</f>
        <v>#DIV/0!</v>
      </c>
      <c r="BW61" s="80" t="e">
        <f>BW46*BW60/100</f>
        <v>#DIV/0!</v>
      </c>
      <c r="BX61" s="80" t="e">
        <f>BX46*BX60/100</f>
        <v>#DIV/0!</v>
      </c>
      <c r="BY61" s="80" t="e">
        <f>BY46*BY60/100</f>
        <v>#DIV/0!</v>
      </c>
      <c r="BZ61" s="80" t="e">
        <f>BZ46*BZ60/100</f>
        <v>#DIV/0!</v>
      </c>
      <c r="CA61" s="80" t="e">
        <f>CA46*CA60/100</f>
        <v>#DIV/0!</v>
      </c>
      <c r="CB61" s="80" t="e">
        <f>CB46*CB60/100</f>
        <v>#DIV/0!</v>
      </c>
      <c r="CC61" s="80" t="e">
        <f>CC46*CC60/100</f>
        <v>#DIV/0!</v>
      </c>
      <c r="CD61" s="80" t="e">
        <f>CD46*CD60/100</f>
        <v>#DIV/0!</v>
      </c>
      <c r="CE61" s="80" t="e">
        <f>CE46*CE60/100</f>
        <v>#DIV/0!</v>
      </c>
      <c r="CF61" s="80" t="e">
        <f>CF46*CF60/100</f>
        <v>#DIV/0!</v>
      </c>
      <c r="CG61" s="80" t="e">
        <f>CG46*CG60/100</f>
        <v>#DIV/0!</v>
      </c>
      <c r="CH61" s="80" t="e">
        <f>CH46*CH60/100</f>
        <v>#DIV/0!</v>
      </c>
      <c r="CI61" s="80" t="e">
        <f>CI46*CI60/100</f>
        <v>#DIV/0!</v>
      </c>
      <c r="CJ61" s="80" t="e">
        <f>CJ46*CJ60/100</f>
        <v>#DIV/0!</v>
      </c>
      <c r="CK61" s="80" t="e">
        <f>CK46*CK60/100</f>
        <v>#DIV/0!</v>
      </c>
      <c r="CL61" s="80" t="e">
        <f>CL46*CL60/100</f>
        <v>#DIV/0!</v>
      </c>
      <c r="CM61" s="80" t="e">
        <f>CM46*CM60/100</f>
        <v>#DIV/0!</v>
      </c>
      <c r="CN61" s="80" t="e">
        <f>CN46*CN60/100</f>
        <v>#DIV/0!</v>
      </c>
      <c r="CO61" s="80" t="e">
        <f>CO46*CO60/100</f>
        <v>#DIV/0!</v>
      </c>
      <c r="CP61" s="80" t="e">
        <f>CP46*CP60/100</f>
        <v>#DIV/0!</v>
      </c>
      <c r="CQ61" s="80" t="e">
        <f>CQ46*CQ60/100</f>
        <v>#DIV/0!</v>
      </c>
      <c r="CR61" s="80" t="e">
        <f>CR46*CR60/100</f>
        <v>#DIV/0!</v>
      </c>
      <c r="CS61" s="80" t="e">
        <f>CS46*CS60/100</f>
        <v>#DIV/0!</v>
      </c>
      <c r="CT61" s="80" t="e">
        <f>CT46*CT60/100</f>
        <v>#DIV/0!</v>
      </c>
    </row>
    <row r="62" spans="1:98" ht="15.75" customHeight="1">
      <c r="A62" s="3"/>
      <c r="B62" s="79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/>
      <c r="AC62" s="80"/>
      <c r="AD62" s="80"/>
      <c r="AE62" s="80"/>
      <c r="AF62" s="80"/>
      <c r="AG62" s="80"/>
      <c r="AH62" s="80"/>
      <c r="AI62" s="80"/>
      <c r="AJ62" s="80"/>
      <c r="AK62" s="80"/>
      <c r="AL62" s="80"/>
      <c r="AM62" s="80"/>
      <c r="AN62" s="80"/>
      <c r="AO62" s="80"/>
      <c r="AP62" s="80"/>
      <c r="AQ62" s="80"/>
      <c r="AR62" s="80"/>
      <c r="AS62" s="80"/>
      <c r="AT62" s="80"/>
      <c r="AU62" s="80"/>
      <c r="AV62" s="80"/>
      <c r="AW62" s="80"/>
      <c r="AX62" s="80"/>
      <c r="AY62" s="80"/>
      <c r="AZ62" s="80"/>
      <c r="BA62" s="80"/>
      <c r="BB62" s="80"/>
      <c r="BC62" s="80"/>
      <c r="BD62" s="80"/>
      <c r="BE62" s="80"/>
      <c r="BF62" s="80"/>
      <c r="BG62" s="80"/>
      <c r="BH62" s="80"/>
      <c r="BI62" s="80"/>
      <c r="BJ62" s="80"/>
      <c r="BK62" s="80"/>
      <c r="BL62" s="80"/>
      <c r="BM62" s="80"/>
      <c r="BN62" s="80"/>
      <c r="BO62" s="80"/>
      <c r="BP62" s="80"/>
      <c r="BQ62" s="80"/>
      <c r="BR62" s="80"/>
      <c r="BS62" s="80"/>
      <c r="BT62" s="80"/>
      <c r="BU62" s="80"/>
      <c r="BV62" s="80"/>
      <c r="BW62" s="80"/>
      <c r="BX62" s="80"/>
      <c r="BY62" s="80"/>
      <c r="BZ62" s="80"/>
      <c r="CA62" s="80"/>
      <c r="CB62" s="80"/>
      <c r="CC62" s="80"/>
      <c r="CD62" s="80"/>
      <c r="CE62" s="80"/>
      <c r="CF62" s="80"/>
      <c r="CG62" s="80"/>
      <c r="CH62" s="80"/>
      <c r="CI62" s="80"/>
      <c r="CJ62" s="80"/>
      <c r="CK62" s="80"/>
      <c r="CL62" s="80"/>
      <c r="CM62" s="80"/>
      <c r="CN62" s="80"/>
      <c r="CO62" s="80"/>
      <c r="CP62" s="80"/>
      <c r="CQ62" s="80"/>
      <c r="CR62" s="80"/>
      <c r="CS62" s="80"/>
      <c r="CT62" s="80"/>
    </row>
    <row r="63" spans="1:98" ht="15.75" customHeight="1">
      <c r="A63" s="3" t="s">
        <v>93</v>
      </c>
      <c r="B63" s="79" t="s">
        <v>88</v>
      </c>
      <c r="C63" s="80">
        <f>(C54-C57-C60)*(100-C14)/100</f>
        <v>100</v>
      </c>
      <c r="D63" s="80">
        <f>(D54-D57-D60)*(100-D14)/100</f>
        <v>100</v>
      </c>
      <c r="E63" s="80">
        <f>(E54-E57-E60)*(100-E14)/100</f>
        <v>100</v>
      </c>
      <c r="F63" s="80">
        <f>(F54-F57-F60)*(100-F14)/100</f>
        <v>100</v>
      </c>
      <c r="G63" s="80">
        <f>(G54-G57-G60)*(100-G14)/100</f>
        <v>100</v>
      </c>
      <c r="H63" s="80">
        <f>(H54-H57-H60)*(100-H14)/100</f>
        <v>100</v>
      </c>
      <c r="I63" s="80">
        <f>(I54-I57-I60)*(100-I14)/100</f>
        <v>100</v>
      </c>
      <c r="J63" s="80">
        <f>(J54-J57-J60)*(100-J14)/100</f>
        <v>100</v>
      </c>
      <c r="K63" s="80">
        <f>(K54-K57-K60)*(100-K14)/100</f>
        <v>100</v>
      </c>
      <c r="L63" s="80">
        <f>(L54-L57-L60)*(100-L14)/100</f>
        <v>100</v>
      </c>
      <c r="M63" s="80">
        <f>(M54-M57-M60)*(100-M14)/100</f>
        <v>100</v>
      </c>
      <c r="N63" s="80">
        <f>(N54-N57-N60)*(100-N14)/100</f>
        <v>100</v>
      </c>
      <c r="O63" s="80">
        <f>(O54-O57-O60)*(100-O14)/100</f>
        <v>100</v>
      </c>
      <c r="P63" s="80">
        <f>(P54-P57-P60)*(100-P14)/100</f>
        <v>100</v>
      </c>
      <c r="Q63" s="80">
        <f>(Q54-Q57-Q60)*(100-Q14)/100</f>
        <v>100</v>
      </c>
      <c r="R63" s="80">
        <f>(R54-R57-R60)*(100-R14)/100</f>
        <v>100</v>
      </c>
      <c r="S63" s="80">
        <f>(S54-S57-S60)*(100-S14)/100</f>
        <v>100</v>
      </c>
      <c r="T63" s="80">
        <f>(T54-T57-T60)*(100-T14)/100</f>
        <v>100</v>
      </c>
      <c r="U63" s="80">
        <f>(U54-U57-U60)*(100-U14)/100</f>
        <v>100</v>
      </c>
      <c r="V63" s="80">
        <f>(V54-V57-V60)*(100-V14)/100</f>
        <v>100</v>
      </c>
      <c r="W63" s="80">
        <f>(W54-W57-W60)*(100-W14)/100</f>
        <v>100</v>
      </c>
      <c r="X63" s="80">
        <f>(X54-X57-X60)*(100-X14)/100</f>
        <v>100</v>
      </c>
      <c r="Y63" s="80">
        <f>(Y54-Y57-Y60)*(100-Y14)/100</f>
        <v>100</v>
      </c>
      <c r="Z63" s="80">
        <f>(Z54-Z57-Z60)*(100-Z14)/100</f>
        <v>100</v>
      </c>
      <c r="AA63" s="80">
        <f>(AA54-AA57-AA60)*(100-AA14)/100</f>
        <v>100</v>
      </c>
      <c r="AB63" s="80">
        <f>(AB54-AB57-AB60)*(100-AB14)/100</f>
        <v>100</v>
      </c>
      <c r="AC63" s="80">
        <f>(AC54-AC57-AC60)*(100-AC14)/100</f>
        <v>100</v>
      </c>
      <c r="AD63" s="80">
        <f>(AD54-AD57-AD60)*(100-AD14)/100</f>
        <v>100</v>
      </c>
      <c r="AE63" s="80">
        <f>(AE54-AE57-AE60)*(100-AE14)/100</f>
        <v>100</v>
      </c>
      <c r="AF63" s="80">
        <f>(AF54-AF57-AF60)*(100-AF14)/100</f>
        <v>100</v>
      </c>
      <c r="AG63" s="80">
        <f>(AG54-AG57-AG60)*(100-AG14)/100</f>
        <v>100</v>
      </c>
      <c r="AH63" s="80">
        <f>(AH54-AH57-AH60)*(100-AH14)/100</f>
        <v>100</v>
      </c>
      <c r="AI63" s="80">
        <f>(AI54-AI57-AI60)*(100-AI14)/100</f>
        <v>100</v>
      </c>
      <c r="AJ63" s="80">
        <f>(AJ54-AJ57-AJ60)*(100-AJ14)/100</f>
        <v>100</v>
      </c>
      <c r="AK63" s="80">
        <f>(AK54-AK57-AK60)*(100-AK14)/100</f>
        <v>100</v>
      </c>
      <c r="AL63" s="80">
        <f>(AL54-AL57-AL60)*(100-AL14)/100</f>
        <v>100</v>
      </c>
      <c r="AM63" s="80">
        <f>(AM54-AM57-AM60)*(100-AM14)/100</f>
        <v>100</v>
      </c>
      <c r="AN63" s="80">
        <f>(AN54-AN57-AN60)*(100-AN14)/100</f>
        <v>100</v>
      </c>
      <c r="AO63" s="80">
        <f>(AO54-AO57-AO60)*(100-AO14)/100</f>
        <v>100</v>
      </c>
      <c r="AP63" s="80">
        <f>(AP54-AP57-AP60)*(100-AP14)/100</f>
        <v>100</v>
      </c>
      <c r="AQ63" s="80">
        <f>(AQ54-AQ57-AQ60)*(100-AQ14)/100</f>
        <v>100</v>
      </c>
      <c r="AR63" s="80">
        <f>(AR54-AR57-AR60)*(100-AR14)/100</f>
        <v>100</v>
      </c>
      <c r="AS63" s="80">
        <f>(AS54-AS57-AS60)*(100-AS14)/100</f>
        <v>100</v>
      </c>
      <c r="AT63" s="80">
        <f>(AT54-AT57-AT60)*(100-AT14)/100</f>
        <v>100</v>
      </c>
      <c r="AU63" s="80">
        <f>(AU54-AU57-AU60)*(100-AU14)/100</f>
        <v>100</v>
      </c>
      <c r="AV63" s="80">
        <f>(AV54-AV57-AV60)*(100-AV14)/100</f>
        <v>100</v>
      </c>
      <c r="AW63" s="80">
        <f>(AW54-AW57-AW60)*(100-AW14)/100</f>
        <v>100</v>
      </c>
      <c r="AX63" s="80">
        <f>(AX54-AX57-AX60)*(100-AX14)/100</f>
        <v>100</v>
      </c>
      <c r="AY63" s="80">
        <f>(AY54-AY57-AY60)*(100-AY14)/100</f>
        <v>100</v>
      </c>
      <c r="AZ63" s="80">
        <f>(AZ54-AZ57-AZ60)*(100-AZ14)/100</f>
        <v>100</v>
      </c>
      <c r="BA63" s="80">
        <f>(BA54-BA57-BA60)*(100-BA14)/100</f>
        <v>100</v>
      </c>
      <c r="BB63" s="80">
        <f>(BB54-BB57-BB60)*(100-BB14)/100</f>
        <v>100</v>
      </c>
      <c r="BC63" s="80">
        <f>(BC54-BC57-BC60)*(100-BC14)/100</f>
        <v>100</v>
      </c>
      <c r="BD63" s="80">
        <f>(BD54-BD57-BD60)*(100-BD14)/100</f>
        <v>100</v>
      </c>
      <c r="BE63" s="80">
        <f>(BE54-BE57-BE60)*(100-BE14)/100</f>
        <v>100</v>
      </c>
      <c r="BF63" s="80">
        <f>(BF54-BF57-BF60)*(100-BF14)/100</f>
        <v>100</v>
      </c>
      <c r="BG63" s="80">
        <f>(BG54-BG57-BG60)*(100-BG14)/100</f>
        <v>100</v>
      </c>
      <c r="BH63" s="80">
        <f>(BH54-BH57-BH60)*(100-BH14)/100</f>
        <v>100</v>
      </c>
      <c r="BI63" s="80">
        <f>(BI54-BI57-BI60)*(100-BI14)/100</f>
        <v>100</v>
      </c>
      <c r="BJ63" s="80">
        <f>(BJ54-BJ57-BJ60)*(100-BJ14)/100</f>
        <v>100</v>
      </c>
      <c r="BK63" s="80">
        <f>(BK54-BK57-BK60)*(100-BK14)/100</f>
        <v>100</v>
      </c>
      <c r="BL63" s="80">
        <f>(BL54-BL57-BL60)*(100-BL14)/100</f>
        <v>100</v>
      </c>
      <c r="BM63" s="80">
        <f>(BM54-BM57-BM60)*(100-BM14)/100</f>
        <v>100</v>
      </c>
      <c r="BN63" s="80">
        <f>(BN54-BN57-BN60)*(100-BN14)/100</f>
        <v>100</v>
      </c>
      <c r="BO63" s="80">
        <f>(BO54-BO57-BO60)*(100-BO14)/100</f>
        <v>100</v>
      </c>
      <c r="BP63" s="80">
        <f>(BP54-BP57-BP60)*(100-BP14)/100</f>
        <v>100</v>
      </c>
      <c r="BQ63" s="80">
        <f>(BQ54-BQ57-BQ60)*(100-BQ14)/100</f>
        <v>100</v>
      </c>
      <c r="BR63" s="80">
        <f>(BR54-BR57-BR60)*(100-BR14)/100</f>
        <v>100</v>
      </c>
      <c r="BS63" s="80">
        <f>(BS54-BS57-BS60)*(100-BS14)/100</f>
        <v>100</v>
      </c>
      <c r="BT63" s="80">
        <f>(BT54-BT57-BT60)*(100-BT14)/100</f>
        <v>100</v>
      </c>
      <c r="BU63" s="80">
        <f>(BU54-BU57-BU60)*(100-BU14)/100</f>
        <v>100</v>
      </c>
      <c r="BV63" s="80">
        <f>(BV54-BV57-BV60)*(100-BV14)/100</f>
        <v>100</v>
      </c>
      <c r="BW63" s="80">
        <f>(BW54-BW57-BW60)*(100-BW14)/100</f>
        <v>100</v>
      </c>
      <c r="BX63" s="80">
        <f>(BX54-BX57-BX60)*(100-BX14)/100</f>
        <v>100</v>
      </c>
      <c r="BY63" s="80">
        <f>(BY54-BY57-BY60)*(100-BY14)/100</f>
        <v>100</v>
      </c>
      <c r="BZ63" s="80">
        <f>(BZ54-BZ57-BZ60)*(100-BZ14)/100</f>
        <v>100</v>
      </c>
      <c r="CA63" s="80">
        <f>(CA54-CA57-CA60)*(100-CA14)/100</f>
        <v>100</v>
      </c>
      <c r="CB63" s="80">
        <f>(CB54-CB57-CB60)*(100-CB14)/100</f>
        <v>100</v>
      </c>
      <c r="CC63" s="80">
        <f>(CC54-CC57-CC60)*(100-CC14)/100</f>
        <v>100</v>
      </c>
      <c r="CD63" s="80">
        <f>(CD54-CD57-CD60)*(100-CD14)/100</f>
        <v>100</v>
      </c>
      <c r="CE63" s="80">
        <f>(CE54-CE57-CE60)*(100-CE14)/100</f>
        <v>100</v>
      </c>
      <c r="CF63" s="80">
        <f>(CF54-CF57-CF60)*(100-CF14)/100</f>
        <v>100</v>
      </c>
      <c r="CG63" s="80">
        <f>(CG54-CG57-CG60)*(100-CG14)/100</f>
        <v>100</v>
      </c>
      <c r="CH63" s="80">
        <f>(CH54-CH57-CH60)*(100-CH14)/100</f>
        <v>100</v>
      </c>
      <c r="CI63" s="80">
        <f>(CI54-CI57-CI60)*(100-CI14)/100</f>
        <v>100</v>
      </c>
      <c r="CJ63" s="80">
        <f>(CJ54-CJ57-CJ60)*(100-CJ14)/100</f>
        <v>100</v>
      </c>
      <c r="CK63" s="80">
        <f>(CK54-CK57-CK60)*(100-CK14)/100</f>
        <v>100</v>
      </c>
      <c r="CL63" s="80">
        <f>(CL54-CL57-CL60)*(100-CL14)/100</f>
        <v>100</v>
      </c>
      <c r="CM63" s="80">
        <f>(CM54-CM57-CM60)*(100-CM14)/100</f>
        <v>100</v>
      </c>
      <c r="CN63" s="80">
        <f>(CN54-CN57-CN60)*(100-CN14)/100</f>
        <v>100</v>
      </c>
      <c r="CO63" s="80">
        <f>(CO54-CO57-CO60)*(100-CO14)/100</f>
        <v>100</v>
      </c>
      <c r="CP63" s="80">
        <f>(CP54-CP57-CP60)*(100-CP14)/100</f>
        <v>100</v>
      </c>
      <c r="CQ63" s="80">
        <f>(CQ54-CQ57-CQ60)*(100-CQ14)/100</f>
        <v>100</v>
      </c>
      <c r="CR63" s="80">
        <f>(CR54-CR57-CR60)*(100-CR14)/100</f>
        <v>100</v>
      </c>
      <c r="CS63" s="80">
        <f>(CS54-CS57-CS60)*(100-CS14)/100</f>
        <v>100</v>
      </c>
      <c r="CT63" s="80">
        <f>(CT54-CT57-CT60)*(100-CT14)/100</f>
        <v>100</v>
      </c>
    </row>
    <row r="64" spans="1:98" ht="15.75" customHeight="1">
      <c r="A64" s="3" t="s">
        <v>94</v>
      </c>
      <c r="B64" s="79" t="s">
        <v>95</v>
      </c>
      <c r="C64" s="80" t="e">
        <f t="shared" ref="C64:D64" si="77">C46*C63/100*C32/10^6</f>
        <v>#DIV/0!</v>
      </c>
      <c r="D64" s="80" t="e">
        <f t="shared" ref="D64:E64" si="78">D46*D63/100*D32/10^6</f>
        <v>#DIV/0!</v>
      </c>
      <c r="E64" s="80" t="e">
        <f t="shared" si="78"/>
        <v>#DIV/0!</v>
      </c>
      <c r="F64" s="80" t="e">
        <f t="shared" ref="F64:K64" si="79">F46*F63/100*F32/10^6</f>
        <v>#DIV/0!</v>
      </c>
      <c r="G64" s="80" t="e">
        <f t="shared" si="79"/>
        <v>#DIV/0!</v>
      </c>
      <c r="H64" s="80" t="e">
        <f t="shared" si="79"/>
        <v>#DIV/0!</v>
      </c>
      <c r="I64" s="80" t="e">
        <f t="shared" si="79"/>
        <v>#DIV/0!</v>
      </c>
      <c r="J64" s="80" t="e">
        <f t="shared" si="79"/>
        <v>#DIV/0!</v>
      </c>
      <c r="K64" s="80" t="e">
        <f t="shared" si="79"/>
        <v>#DIV/0!</v>
      </c>
      <c r="L64" s="80" t="e">
        <f t="shared" ref="L64:AC64" si="80">L46*L63/100*L32/10^6</f>
        <v>#DIV/0!</v>
      </c>
      <c r="M64" s="80" t="e">
        <f t="shared" si="80"/>
        <v>#DIV/0!</v>
      </c>
      <c r="N64" s="80" t="e">
        <f t="shared" si="80"/>
        <v>#DIV/0!</v>
      </c>
      <c r="O64" s="80" t="e">
        <f t="shared" si="80"/>
        <v>#DIV/0!</v>
      </c>
      <c r="P64" s="80" t="e">
        <f t="shared" si="80"/>
        <v>#DIV/0!</v>
      </c>
      <c r="Q64" s="80" t="e">
        <f t="shared" si="80"/>
        <v>#DIV/0!</v>
      </c>
      <c r="R64" s="80" t="e">
        <f t="shared" si="80"/>
        <v>#DIV/0!</v>
      </c>
      <c r="S64" s="80" t="e">
        <f t="shared" si="80"/>
        <v>#DIV/0!</v>
      </c>
      <c r="T64" s="80" t="e">
        <f t="shared" si="80"/>
        <v>#DIV/0!</v>
      </c>
      <c r="U64" s="80" t="e">
        <f t="shared" si="80"/>
        <v>#DIV/0!</v>
      </c>
      <c r="V64" s="80" t="e">
        <f t="shared" si="80"/>
        <v>#DIV/0!</v>
      </c>
      <c r="W64" s="80" t="e">
        <f t="shared" si="80"/>
        <v>#DIV/0!</v>
      </c>
      <c r="X64" s="80" t="e">
        <f t="shared" si="80"/>
        <v>#DIV/0!</v>
      </c>
      <c r="Y64" s="80" t="e">
        <f t="shared" si="80"/>
        <v>#DIV/0!</v>
      </c>
      <c r="Z64" s="80" t="e">
        <f t="shared" si="80"/>
        <v>#DIV/0!</v>
      </c>
      <c r="AA64" s="80" t="e">
        <f t="shared" si="80"/>
        <v>#DIV/0!</v>
      </c>
      <c r="AB64" s="80" t="e">
        <f t="shared" si="80"/>
        <v>#DIV/0!</v>
      </c>
      <c r="AC64" s="80" t="e">
        <f t="shared" si="80"/>
        <v>#DIV/0!</v>
      </c>
      <c r="AD64" s="80" t="e">
        <f t="shared" ref="AD64:CN64" si="81">AD46*AD63/100*AD32/10^6</f>
        <v>#DIV/0!</v>
      </c>
      <c r="AE64" s="80" t="e">
        <f t="shared" si="81"/>
        <v>#DIV/0!</v>
      </c>
      <c r="AF64" s="80" t="e">
        <f t="shared" si="81"/>
        <v>#DIV/0!</v>
      </c>
      <c r="AG64" s="80" t="e">
        <f t="shared" si="81"/>
        <v>#DIV/0!</v>
      </c>
      <c r="AH64" s="80" t="e">
        <f t="shared" si="81"/>
        <v>#DIV/0!</v>
      </c>
      <c r="AI64" s="80" t="e">
        <f t="shared" si="81"/>
        <v>#DIV/0!</v>
      </c>
      <c r="AJ64" s="80" t="e">
        <f t="shared" si="81"/>
        <v>#DIV/0!</v>
      </c>
      <c r="AK64" s="80" t="e">
        <f t="shared" si="81"/>
        <v>#DIV/0!</v>
      </c>
      <c r="AL64" s="80" t="e">
        <f t="shared" si="81"/>
        <v>#DIV/0!</v>
      </c>
      <c r="AM64" s="80" t="e">
        <f t="shared" si="81"/>
        <v>#DIV/0!</v>
      </c>
      <c r="AN64" s="80" t="e">
        <f t="shared" si="81"/>
        <v>#DIV/0!</v>
      </c>
      <c r="AO64" s="80" t="e">
        <f t="shared" si="81"/>
        <v>#DIV/0!</v>
      </c>
      <c r="AP64" s="80" t="e">
        <f t="shared" si="81"/>
        <v>#DIV/0!</v>
      </c>
      <c r="AQ64" s="80" t="e">
        <f t="shared" si="81"/>
        <v>#DIV/0!</v>
      </c>
      <c r="AR64" s="80" t="e">
        <f t="shared" si="81"/>
        <v>#DIV/0!</v>
      </c>
      <c r="AS64" s="80" t="e">
        <f t="shared" si="81"/>
        <v>#DIV/0!</v>
      </c>
      <c r="AT64" s="80" t="e">
        <f t="shared" si="81"/>
        <v>#DIV/0!</v>
      </c>
      <c r="AU64" s="80" t="e">
        <f t="shared" si="81"/>
        <v>#DIV/0!</v>
      </c>
      <c r="AV64" s="80" t="e">
        <f t="shared" si="81"/>
        <v>#DIV/0!</v>
      </c>
      <c r="AW64" s="80" t="e">
        <f t="shared" si="81"/>
        <v>#DIV/0!</v>
      </c>
      <c r="AX64" s="80" t="e">
        <f t="shared" si="81"/>
        <v>#DIV/0!</v>
      </c>
      <c r="AY64" s="80" t="e">
        <f t="shared" si="81"/>
        <v>#DIV/0!</v>
      </c>
      <c r="AZ64" s="80" t="e">
        <f t="shared" si="81"/>
        <v>#DIV/0!</v>
      </c>
      <c r="BA64" s="80" t="e">
        <f t="shared" si="81"/>
        <v>#DIV/0!</v>
      </c>
      <c r="BB64" s="80" t="e">
        <f t="shared" si="81"/>
        <v>#DIV/0!</v>
      </c>
      <c r="BC64" s="80" t="e">
        <f t="shared" si="81"/>
        <v>#DIV/0!</v>
      </c>
      <c r="BD64" s="80" t="e">
        <f t="shared" si="81"/>
        <v>#DIV/0!</v>
      </c>
      <c r="BE64" s="80" t="e">
        <f t="shared" si="81"/>
        <v>#DIV/0!</v>
      </c>
      <c r="BF64" s="80" t="e">
        <f t="shared" si="81"/>
        <v>#DIV/0!</v>
      </c>
      <c r="BG64" s="80" t="e">
        <f t="shared" si="81"/>
        <v>#DIV/0!</v>
      </c>
      <c r="BH64" s="80" t="e">
        <f t="shared" si="81"/>
        <v>#DIV/0!</v>
      </c>
      <c r="BI64" s="80" t="e">
        <f t="shared" si="81"/>
        <v>#DIV/0!</v>
      </c>
      <c r="BJ64" s="80" t="e">
        <f t="shared" si="81"/>
        <v>#DIV/0!</v>
      </c>
      <c r="BK64" s="80" t="e">
        <f t="shared" si="81"/>
        <v>#DIV/0!</v>
      </c>
      <c r="BL64" s="80" t="e">
        <f t="shared" si="81"/>
        <v>#DIV/0!</v>
      </c>
      <c r="BM64" s="80" t="e">
        <f t="shared" si="81"/>
        <v>#DIV/0!</v>
      </c>
      <c r="BN64" s="80" t="e">
        <f t="shared" si="81"/>
        <v>#DIV/0!</v>
      </c>
      <c r="BO64" s="80" t="e">
        <f t="shared" si="81"/>
        <v>#DIV/0!</v>
      </c>
      <c r="BP64" s="80" t="e">
        <f t="shared" si="81"/>
        <v>#DIV/0!</v>
      </c>
      <c r="BQ64" s="80" t="e">
        <f t="shared" si="81"/>
        <v>#DIV/0!</v>
      </c>
      <c r="BR64" s="80" t="e">
        <f t="shared" si="81"/>
        <v>#DIV/0!</v>
      </c>
      <c r="BS64" s="80" t="e">
        <f t="shared" si="81"/>
        <v>#DIV/0!</v>
      </c>
      <c r="BT64" s="80" t="e">
        <f t="shared" si="81"/>
        <v>#DIV/0!</v>
      </c>
      <c r="BU64" s="80" t="e">
        <f t="shared" si="81"/>
        <v>#DIV/0!</v>
      </c>
      <c r="BV64" s="80" t="e">
        <f t="shared" si="81"/>
        <v>#DIV/0!</v>
      </c>
      <c r="BW64" s="80" t="e">
        <f t="shared" si="81"/>
        <v>#DIV/0!</v>
      </c>
      <c r="BX64" s="80" t="e">
        <f t="shared" si="81"/>
        <v>#DIV/0!</v>
      </c>
      <c r="BY64" s="80" t="e">
        <f t="shared" si="81"/>
        <v>#DIV/0!</v>
      </c>
      <c r="BZ64" s="80" t="e">
        <f t="shared" si="81"/>
        <v>#DIV/0!</v>
      </c>
      <c r="CA64" s="80" t="e">
        <f t="shared" si="81"/>
        <v>#DIV/0!</v>
      </c>
      <c r="CB64" s="80" t="e">
        <f t="shared" si="81"/>
        <v>#DIV/0!</v>
      </c>
      <c r="CC64" s="80" t="e">
        <f t="shared" si="81"/>
        <v>#DIV/0!</v>
      </c>
      <c r="CD64" s="80" t="e">
        <f t="shared" si="81"/>
        <v>#DIV/0!</v>
      </c>
      <c r="CE64" s="80" t="e">
        <f t="shared" si="81"/>
        <v>#DIV/0!</v>
      </c>
      <c r="CF64" s="80" t="e">
        <f t="shared" si="81"/>
        <v>#DIV/0!</v>
      </c>
      <c r="CG64" s="80" t="e">
        <f t="shared" si="81"/>
        <v>#DIV/0!</v>
      </c>
      <c r="CH64" s="80" t="e">
        <f t="shared" si="81"/>
        <v>#DIV/0!</v>
      </c>
      <c r="CI64" s="80" t="e">
        <f t="shared" si="81"/>
        <v>#DIV/0!</v>
      </c>
      <c r="CJ64" s="80" t="e">
        <f t="shared" si="81"/>
        <v>#DIV/0!</v>
      </c>
      <c r="CK64" s="80" t="e">
        <f t="shared" si="81"/>
        <v>#DIV/0!</v>
      </c>
      <c r="CL64" s="80" t="e">
        <f t="shared" si="81"/>
        <v>#DIV/0!</v>
      </c>
      <c r="CM64" s="80" t="e">
        <f t="shared" si="81"/>
        <v>#DIV/0!</v>
      </c>
      <c r="CN64" s="80" t="e">
        <f t="shared" si="81"/>
        <v>#DIV/0!</v>
      </c>
      <c r="CO64" s="80" t="e">
        <f t="shared" ref="CO64:CT64" si="82">CO46*CO63/100*CO32/10^6</f>
        <v>#DIV/0!</v>
      </c>
      <c r="CP64" s="80" t="e">
        <f t="shared" si="82"/>
        <v>#DIV/0!</v>
      </c>
      <c r="CQ64" s="80" t="e">
        <f t="shared" si="82"/>
        <v>#DIV/0!</v>
      </c>
      <c r="CR64" s="80" t="e">
        <f t="shared" si="82"/>
        <v>#DIV/0!</v>
      </c>
      <c r="CS64" s="80" t="e">
        <f t="shared" si="82"/>
        <v>#DIV/0!</v>
      </c>
      <c r="CT64" s="80" t="e">
        <f t="shared" si="82"/>
        <v>#DIV/0!</v>
      </c>
    </row>
    <row r="65" spans="1:98" ht="15.75" customHeight="1">
      <c r="A65" s="3"/>
      <c r="B65" s="79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  <c r="AA65" s="80"/>
      <c r="AB65" s="80"/>
      <c r="AC65" s="80"/>
      <c r="AD65" s="80"/>
      <c r="AE65" s="80"/>
      <c r="AF65" s="80"/>
      <c r="AG65" s="80"/>
      <c r="AH65" s="80"/>
      <c r="AI65" s="80"/>
      <c r="AJ65" s="80"/>
      <c r="AK65" s="80"/>
      <c r="AL65" s="80"/>
      <c r="AM65" s="80"/>
      <c r="AN65" s="80"/>
      <c r="AO65" s="80"/>
      <c r="AP65" s="80"/>
      <c r="AQ65" s="80"/>
      <c r="AR65" s="80"/>
      <c r="AS65" s="80"/>
      <c r="AT65" s="80"/>
      <c r="AU65" s="80"/>
      <c r="AV65" s="80"/>
      <c r="AW65" s="80"/>
      <c r="AX65" s="80"/>
      <c r="AY65" s="80"/>
      <c r="AZ65" s="80"/>
      <c r="BA65" s="80"/>
      <c r="BB65" s="80"/>
      <c r="BC65" s="80"/>
      <c r="BD65" s="80"/>
      <c r="BE65" s="80"/>
      <c r="BF65" s="80"/>
      <c r="BG65" s="80"/>
      <c r="BH65" s="80"/>
      <c r="BI65" s="80"/>
      <c r="BJ65" s="80"/>
      <c r="BK65" s="80"/>
      <c r="BL65" s="80"/>
      <c r="BM65" s="80"/>
      <c r="BN65" s="80"/>
      <c r="BO65" s="80"/>
      <c r="BP65" s="80"/>
      <c r="BQ65" s="80"/>
      <c r="BR65" s="80"/>
      <c r="BS65" s="80"/>
      <c r="BT65" s="80"/>
      <c r="BU65" s="80"/>
      <c r="BV65" s="80"/>
      <c r="BW65" s="80"/>
      <c r="BX65" s="80"/>
      <c r="BY65" s="80"/>
      <c r="BZ65" s="80"/>
      <c r="CA65" s="80"/>
      <c r="CB65" s="80"/>
      <c r="CC65" s="80"/>
      <c r="CD65" s="80"/>
      <c r="CE65" s="80"/>
      <c r="CF65" s="80"/>
      <c r="CG65" s="80"/>
      <c r="CH65" s="80"/>
      <c r="CI65" s="80"/>
      <c r="CJ65" s="80"/>
      <c r="CK65" s="80"/>
      <c r="CL65" s="80"/>
      <c r="CM65" s="80"/>
      <c r="CN65" s="80"/>
      <c r="CO65" s="80"/>
      <c r="CP65" s="80"/>
      <c r="CQ65" s="80"/>
      <c r="CR65" s="80"/>
      <c r="CS65" s="80"/>
      <c r="CT65" s="80"/>
    </row>
    <row r="66" spans="1:98" ht="15.75" customHeight="1">
      <c r="A66" s="3"/>
      <c r="B66" s="79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ht="15.75" customHeight="1">
      <c r="A67" s="3" t="s">
        <v>96</v>
      </c>
      <c r="B67" s="79" t="s">
        <v>88</v>
      </c>
      <c r="C67" s="3">
        <f>(C54-C57-C60)*(C14)/100</f>
        <v>0</v>
      </c>
      <c r="D67" s="3">
        <f>(D54-D57-D60)*(D14)/100</f>
        <v>0</v>
      </c>
      <c r="E67" s="3">
        <f>(E54-E57-E60)*(E14)/100</f>
        <v>0</v>
      </c>
      <c r="F67" s="3">
        <f>(F54-F57-F60)*(F14)/100</f>
        <v>0</v>
      </c>
      <c r="G67" s="3">
        <f>(G54-G57-G60)*(G14)/100</f>
        <v>0</v>
      </c>
      <c r="H67" s="3">
        <f>(H54-H57-H60)*(H14)/100</f>
        <v>0</v>
      </c>
      <c r="I67" s="3">
        <f>(I54-I57-I60)*(I14)/100</f>
        <v>0</v>
      </c>
      <c r="J67" s="3">
        <f>(J54-J57-J60)*(J14)/100</f>
        <v>0</v>
      </c>
      <c r="K67" s="3">
        <f>(K54-K57-K60)*(K14)/100</f>
        <v>0</v>
      </c>
      <c r="L67" s="3">
        <f>(L54-L57-L60)*(L14)/100</f>
        <v>0</v>
      </c>
      <c r="M67" s="3">
        <f>(M54-M57-M60)*(M14)/100</f>
        <v>0</v>
      </c>
      <c r="N67" s="3">
        <f>(N54-N57-N60)*(N14)/100</f>
        <v>0</v>
      </c>
      <c r="O67" s="3">
        <f>(O54-O57-O60)*(O14)/100</f>
        <v>0</v>
      </c>
      <c r="P67" s="3">
        <f>(P54-P57-P60)*(P14)/100</f>
        <v>0</v>
      </c>
      <c r="Q67" s="3">
        <f>(Q54-Q57-Q60)*(Q14)/100</f>
        <v>0</v>
      </c>
      <c r="R67" s="3">
        <f>(R54-R57-R60)*(R14)/100</f>
        <v>0</v>
      </c>
      <c r="S67" s="3">
        <f>(S54-S57-S60)*(S14)/100</f>
        <v>0</v>
      </c>
      <c r="T67" s="3">
        <f>(T54-T57-T60)*(T14)/100</f>
        <v>0</v>
      </c>
      <c r="U67" s="3">
        <f>(U54-U57-U60)*(U14)/100</f>
        <v>0</v>
      </c>
      <c r="V67" s="3">
        <f>(V54-V57-V60)*(V14)/100</f>
        <v>0</v>
      </c>
      <c r="W67" s="3">
        <f>(W54-W57-W60)*(W14)/100</f>
        <v>0</v>
      </c>
      <c r="X67" s="3">
        <f>(X54-X57-X60)*(X14)/100</f>
        <v>0</v>
      </c>
      <c r="Y67" s="3">
        <f>(Y54-Y57-Y60)*(Y14)/100</f>
        <v>0</v>
      </c>
      <c r="Z67" s="3">
        <f>(Z54-Z57-Z60)*(Z14)/100</f>
        <v>0</v>
      </c>
      <c r="AA67" s="3">
        <f>(AA54-AA57-AA60)*(AA14)/100</f>
        <v>0</v>
      </c>
      <c r="AB67" s="3">
        <f>(AB54-AB57-AB60)*(AB14)/100</f>
        <v>0</v>
      </c>
      <c r="AC67" s="3">
        <f>(AC54-AC57-AC60)*(AC14)/100</f>
        <v>0</v>
      </c>
      <c r="AD67" s="3">
        <f>(AD54-AD57-AD60)*(AD14)/100</f>
        <v>0</v>
      </c>
      <c r="AE67" s="3">
        <f>(AE54-AE57-AE60)*(AE14)/100</f>
        <v>0</v>
      </c>
      <c r="AF67" s="3">
        <f>(AF54-AF57-AF60)*(AF14)/100</f>
        <v>0</v>
      </c>
      <c r="AG67" s="3">
        <f>(AG54-AG57-AG60)*(AG14)/100</f>
        <v>0</v>
      </c>
      <c r="AH67" s="3">
        <f>(AH54-AH57-AH60)*(AH14)/100</f>
        <v>0</v>
      </c>
      <c r="AI67" s="3">
        <f>(AI54-AI57-AI60)*(AI14)/100</f>
        <v>0</v>
      </c>
      <c r="AJ67" s="3">
        <f>(AJ54-AJ57-AJ60)*(AJ14)/100</f>
        <v>0</v>
      </c>
      <c r="AK67" s="3">
        <f>(AK54-AK57-AK60)*(AK14)/100</f>
        <v>0</v>
      </c>
      <c r="AL67" s="3">
        <f>(AL54-AL57-AL60)*(AL14)/100</f>
        <v>0</v>
      </c>
      <c r="AM67" s="3">
        <f>(AM54-AM57-AM60)*(AM14)/100</f>
        <v>0</v>
      </c>
      <c r="AN67" s="3">
        <f>(AN54-AN57-AN60)*(AN14)/100</f>
        <v>0</v>
      </c>
      <c r="AO67" s="3">
        <f>(AO54-AO57-AO60)*(AO14)/100</f>
        <v>0</v>
      </c>
      <c r="AP67" s="3">
        <f>(AP54-AP57-AP60)*(AP14)/100</f>
        <v>0</v>
      </c>
      <c r="AQ67" s="3">
        <f>(AQ54-AQ57-AQ60)*(AQ14)/100</f>
        <v>0</v>
      </c>
      <c r="AR67" s="3">
        <f>(AR54-AR57-AR60)*(AR14)/100</f>
        <v>0</v>
      </c>
      <c r="AS67" s="3">
        <f>(AS54-AS57-AS60)*(AS14)/100</f>
        <v>0</v>
      </c>
      <c r="AT67" s="3">
        <f>(AT54-AT57-AT60)*(AT14)/100</f>
        <v>0</v>
      </c>
      <c r="AU67" s="3">
        <f>(AU54-AU57-AU60)*(AU14)/100</f>
        <v>0</v>
      </c>
      <c r="AV67" s="3">
        <f>(AV54-AV57-AV60)*(AV14)/100</f>
        <v>0</v>
      </c>
      <c r="AW67" s="3">
        <f>(AW54-AW57-AW60)*(AW14)/100</f>
        <v>0</v>
      </c>
      <c r="AX67" s="3">
        <f>(AX54-AX57-AX60)*(AX14)/100</f>
        <v>0</v>
      </c>
      <c r="AY67" s="3">
        <f>(AY54-AY57-AY60)*(AY14)/100</f>
        <v>0</v>
      </c>
      <c r="AZ67" s="3">
        <f>(AZ54-AZ57-AZ60)*(AZ14)/100</f>
        <v>0</v>
      </c>
      <c r="BA67" s="3">
        <f>(BA54-BA57-BA60)*(BA14)/100</f>
        <v>0</v>
      </c>
      <c r="BB67" s="3">
        <f>(BB54-BB57-BB60)*(BB14)/100</f>
        <v>0</v>
      </c>
      <c r="BC67" s="3">
        <f>(BC54-BC57-BC60)*(BC14)/100</f>
        <v>0</v>
      </c>
      <c r="BD67" s="3">
        <f>(BD54-BD57-BD60)*(BD14)/100</f>
        <v>0</v>
      </c>
      <c r="BE67" s="3">
        <f>(BE54-BE57-BE60)*(BE14)/100</f>
        <v>0</v>
      </c>
      <c r="BF67" s="3">
        <f>(BF54-BF57-BF60)*(BF14)/100</f>
        <v>0</v>
      </c>
      <c r="BG67" s="3">
        <f>(BG54-BG57-BG60)*(BG14)/100</f>
        <v>0</v>
      </c>
      <c r="BH67" s="3">
        <f>(BH54-BH57-BH60)*(BH14)/100</f>
        <v>0</v>
      </c>
      <c r="BI67" s="3">
        <f>(BI54-BI57-BI60)*(BI14)/100</f>
        <v>0</v>
      </c>
      <c r="BJ67" s="3">
        <f>(BJ54-BJ57-BJ60)*(BJ14)/100</f>
        <v>0</v>
      </c>
      <c r="BK67" s="3">
        <f>(BK54-BK57-BK60)*(BK14)/100</f>
        <v>0</v>
      </c>
      <c r="BL67" s="3">
        <f>(BL54-BL57-BL60)*(BL14)/100</f>
        <v>0</v>
      </c>
      <c r="BM67" s="3">
        <f>(BM54-BM57-BM60)*(BM14)/100</f>
        <v>0</v>
      </c>
      <c r="BN67" s="3">
        <f>(BN54-BN57-BN60)*(BN14)/100</f>
        <v>0</v>
      </c>
      <c r="BO67" s="3">
        <f>(BO54-BO57-BO60)*(BO14)/100</f>
        <v>0</v>
      </c>
      <c r="BP67" s="3">
        <f>(BP54-BP57-BP60)*(BP14)/100</f>
        <v>0</v>
      </c>
      <c r="BQ67" s="3">
        <f>(BQ54-BQ57-BQ60)*(BQ14)/100</f>
        <v>0</v>
      </c>
      <c r="BR67" s="3">
        <f>(BR54-BR57-BR60)*(BR14)/100</f>
        <v>0</v>
      </c>
      <c r="BS67" s="3">
        <f>(BS54-BS57-BS60)*(BS14)/100</f>
        <v>0</v>
      </c>
      <c r="BT67" s="3">
        <f>(BT54-BT57-BT60)*(BT14)/100</f>
        <v>0</v>
      </c>
      <c r="BU67" s="3">
        <f>(BU54-BU57-BU60)*(BU14)/100</f>
        <v>0</v>
      </c>
      <c r="BV67" s="3">
        <f>(BV54-BV57-BV60)*(BV14)/100</f>
        <v>0</v>
      </c>
      <c r="BW67" s="3">
        <f>(BW54-BW57-BW60)*(BW14)/100</f>
        <v>0</v>
      </c>
      <c r="BX67" s="3">
        <f>(BX54-BX57-BX60)*(BX14)/100</f>
        <v>0</v>
      </c>
      <c r="BY67" s="3">
        <f>(BY54-BY57-BY60)*(BY14)/100</f>
        <v>0</v>
      </c>
      <c r="BZ67" s="3">
        <f>(BZ54-BZ57-BZ60)*(BZ14)/100</f>
        <v>0</v>
      </c>
      <c r="CA67" s="3">
        <f>(CA54-CA57-CA60)*(CA14)/100</f>
        <v>0</v>
      </c>
      <c r="CB67" s="3">
        <f>(CB54-CB57-CB60)*(CB14)/100</f>
        <v>0</v>
      </c>
      <c r="CC67" s="3">
        <f>(CC54-CC57-CC60)*(CC14)/100</f>
        <v>0</v>
      </c>
      <c r="CD67" s="3">
        <f>(CD54-CD57-CD60)*(CD14)/100</f>
        <v>0</v>
      </c>
      <c r="CE67" s="3">
        <f>(CE54-CE57-CE60)*(CE14)/100</f>
        <v>0</v>
      </c>
      <c r="CF67" s="3">
        <f>(CF54-CF57-CF60)*(CF14)/100</f>
        <v>0</v>
      </c>
      <c r="CG67" s="3">
        <f>(CG54-CG57-CG60)*(CG14)/100</f>
        <v>0</v>
      </c>
      <c r="CH67" s="3">
        <f>(CH54-CH57-CH60)*(CH14)/100</f>
        <v>0</v>
      </c>
      <c r="CI67" s="3">
        <f>(CI54-CI57-CI60)*(CI14)/100</f>
        <v>0</v>
      </c>
      <c r="CJ67" s="3">
        <f>(CJ54-CJ57-CJ60)*(CJ14)/100</f>
        <v>0</v>
      </c>
      <c r="CK67" s="3">
        <f>(CK54-CK57-CK60)*(CK14)/100</f>
        <v>0</v>
      </c>
      <c r="CL67" s="3">
        <f>(CL54-CL57-CL60)*(CL14)/100</f>
        <v>0</v>
      </c>
      <c r="CM67" s="3">
        <f>(CM54-CM57-CM60)*(CM14)/100</f>
        <v>0</v>
      </c>
      <c r="CN67" s="3">
        <f>(CN54-CN57-CN60)*(CN14)/100</f>
        <v>0</v>
      </c>
      <c r="CO67" s="3">
        <f>(CO54-CO57-CO60)*(CO14)/100</f>
        <v>0</v>
      </c>
      <c r="CP67" s="3">
        <f>(CP54-CP57-CP60)*(CP14)/100</f>
        <v>0</v>
      </c>
      <c r="CQ67" s="3">
        <f>(CQ54-CQ57-CQ60)*(CQ14)/100</f>
        <v>0</v>
      </c>
      <c r="CR67" s="3">
        <f>(CR54-CR57-CR60)*(CR14)/100</f>
        <v>0</v>
      </c>
      <c r="CS67" s="3">
        <f>(CS54-CS57-CS60)*(CS14)/100</f>
        <v>0</v>
      </c>
      <c r="CT67" s="3">
        <f>(CT54-CT57-CT60)*(CT14)/100</f>
        <v>0</v>
      </c>
    </row>
    <row r="68" spans="1:98" ht="15.75" customHeight="1">
      <c r="A68" s="3" t="s">
        <v>97</v>
      </c>
      <c r="B68" s="79" t="s">
        <v>88</v>
      </c>
      <c r="C68" s="3" t="e">
        <f t="shared" ref="C68:D68" si="83">C67-C71</f>
        <v>#DIV/0!</v>
      </c>
      <c r="D68" s="3" t="e">
        <f t="shared" ref="D68:E68" si="84">D67-D71</f>
        <v>#DIV/0!</v>
      </c>
      <c r="E68" s="3" t="e">
        <f t="shared" si="84"/>
        <v>#DIV/0!</v>
      </c>
      <c r="F68" s="3" t="e">
        <f t="shared" ref="F68:K68" si="85">F67-F71</f>
        <v>#DIV/0!</v>
      </c>
      <c r="G68" s="3" t="e">
        <f t="shared" si="85"/>
        <v>#DIV/0!</v>
      </c>
      <c r="H68" s="3" t="e">
        <f t="shared" si="85"/>
        <v>#DIV/0!</v>
      </c>
      <c r="I68" s="3" t="e">
        <f t="shared" si="85"/>
        <v>#DIV/0!</v>
      </c>
      <c r="J68" s="3" t="e">
        <f t="shared" si="85"/>
        <v>#DIV/0!</v>
      </c>
      <c r="K68" s="3" t="e">
        <f t="shared" si="85"/>
        <v>#DIV/0!</v>
      </c>
      <c r="L68" s="3" t="e">
        <f t="shared" ref="L68:AC68" si="86">L67-L71</f>
        <v>#DIV/0!</v>
      </c>
      <c r="M68" s="3" t="e">
        <f t="shared" si="86"/>
        <v>#DIV/0!</v>
      </c>
      <c r="N68" s="3" t="e">
        <f t="shared" si="86"/>
        <v>#DIV/0!</v>
      </c>
      <c r="O68" s="3" t="e">
        <f t="shared" si="86"/>
        <v>#DIV/0!</v>
      </c>
      <c r="P68" s="3" t="e">
        <f t="shared" si="86"/>
        <v>#DIV/0!</v>
      </c>
      <c r="Q68" s="3" t="e">
        <f t="shared" si="86"/>
        <v>#DIV/0!</v>
      </c>
      <c r="R68" s="3" t="e">
        <f t="shared" si="86"/>
        <v>#DIV/0!</v>
      </c>
      <c r="S68" s="3" t="e">
        <f t="shared" si="86"/>
        <v>#DIV/0!</v>
      </c>
      <c r="T68" s="3" t="e">
        <f t="shared" si="86"/>
        <v>#DIV/0!</v>
      </c>
      <c r="U68" s="3" t="e">
        <f t="shared" si="86"/>
        <v>#DIV/0!</v>
      </c>
      <c r="V68" s="3" t="e">
        <f t="shared" si="86"/>
        <v>#DIV/0!</v>
      </c>
      <c r="W68" s="3" t="e">
        <f t="shared" si="86"/>
        <v>#DIV/0!</v>
      </c>
      <c r="X68" s="3" t="e">
        <f t="shared" si="86"/>
        <v>#DIV/0!</v>
      </c>
      <c r="Y68" s="3" t="e">
        <f t="shared" si="86"/>
        <v>#DIV/0!</v>
      </c>
      <c r="Z68" s="3" t="e">
        <f t="shared" si="86"/>
        <v>#DIV/0!</v>
      </c>
      <c r="AA68" s="3" t="e">
        <f t="shared" si="86"/>
        <v>#DIV/0!</v>
      </c>
      <c r="AB68" s="3" t="e">
        <f t="shared" si="86"/>
        <v>#DIV/0!</v>
      </c>
      <c r="AC68" s="3" t="e">
        <f t="shared" si="86"/>
        <v>#DIV/0!</v>
      </c>
      <c r="AD68" s="3" t="e">
        <f t="shared" ref="AD68:CN68" si="87">AD67-AD71</f>
        <v>#DIV/0!</v>
      </c>
      <c r="AE68" s="3" t="e">
        <f t="shared" si="87"/>
        <v>#DIV/0!</v>
      </c>
      <c r="AF68" s="3" t="e">
        <f t="shared" si="87"/>
        <v>#DIV/0!</v>
      </c>
      <c r="AG68" s="3" t="e">
        <f t="shared" si="87"/>
        <v>#DIV/0!</v>
      </c>
      <c r="AH68" s="3" t="e">
        <f t="shared" si="87"/>
        <v>#DIV/0!</v>
      </c>
      <c r="AI68" s="3" t="e">
        <f t="shared" si="87"/>
        <v>#DIV/0!</v>
      </c>
      <c r="AJ68" s="3" t="e">
        <f t="shared" si="87"/>
        <v>#DIV/0!</v>
      </c>
      <c r="AK68" s="3" t="e">
        <f t="shared" si="87"/>
        <v>#DIV/0!</v>
      </c>
      <c r="AL68" s="3" t="e">
        <f t="shared" si="87"/>
        <v>#DIV/0!</v>
      </c>
      <c r="AM68" s="3" t="e">
        <f t="shared" si="87"/>
        <v>#DIV/0!</v>
      </c>
      <c r="AN68" s="3" t="e">
        <f t="shared" si="87"/>
        <v>#DIV/0!</v>
      </c>
      <c r="AO68" s="3" t="e">
        <f t="shared" si="87"/>
        <v>#DIV/0!</v>
      </c>
      <c r="AP68" s="3" t="e">
        <f t="shared" si="87"/>
        <v>#DIV/0!</v>
      </c>
      <c r="AQ68" s="3" t="e">
        <f t="shared" si="87"/>
        <v>#DIV/0!</v>
      </c>
      <c r="AR68" s="3" t="e">
        <f t="shared" si="87"/>
        <v>#DIV/0!</v>
      </c>
      <c r="AS68" s="3" t="e">
        <f t="shared" si="87"/>
        <v>#DIV/0!</v>
      </c>
      <c r="AT68" s="3" t="e">
        <f t="shared" si="87"/>
        <v>#DIV/0!</v>
      </c>
      <c r="AU68" s="3" t="e">
        <f t="shared" si="87"/>
        <v>#DIV/0!</v>
      </c>
      <c r="AV68" s="3" t="e">
        <f t="shared" si="87"/>
        <v>#DIV/0!</v>
      </c>
      <c r="AW68" s="3" t="e">
        <f t="shared" si="87"/>
        <v>#DIV/0!</v>
      </c>
      <c r="AX68" s="3" t="e">
        <f t="shared" si="87"/>
        <v>#DIV/0!</v>
      </c>
      <c r="AY68" s="3" t="e">
        <f t="shared" si="87"/>
        <v>#DIV/0!</v>
      </c>
      <c r="AZ68" s="3" t="e">
        <f t="shared" si="87"/>
        <v>#DIV/0!</v>
      </c>
      <c r="BA68" s="3" t="e">
        <f t="shared" si="87"/>
        <v>#DIV/0!</v>
      </c>
      <c r="BB68" s="3" t="e">
        <f t="shared" si="87"/>
        <v>#DIV/0!</v>
      </c>
      <c r="BC68" s="3" t="e">
        <f t="shared" si="87"/>
        <v>#DIV/0!</v>
      </c>
      <c r="BD68" s="3" t="e">
        <f t="shared" si="87"/>
        <v>#DIV/0!</v>
      </c>
      <c r="BE68" s="3" t="e">
        <f t="shared" si="87"/>
        <v>#DIV/0!</v>
      </c>
      <c r="BF68" s="3" t="e">
        <f t="shared" si="87"/>
        <v>#DIV/0!</v>
      </c>
      <c r="BG68" s="3" t="e">
        <f t="shared" si="87"/>
        <v>#DIV/0!</v>
      </c>
      <c r="BH68" s="3" t="e">
        <f t="shared" si="87"/>
        <v>#DIV/0!</v>
      </c>
      <c r="BI68" s="3" t="e">
        <f t="shared" si="87"/>
        <v>#DIV/0!</v>
      </c>
      <c r="BJ68" s="3" t="e">
        <f t="shared" si="87"/>
        <v>#DIV/0!</v>
      </c>
      <c r="BK68" s="3" t="e">
        <f t="shared" si="87"/>
        <v>#DIV/0!</v>
      </c>
      <c r="BL68" s="3" t="e">
        <f t="shared" si="87"/>
        <v>#DIV/0!</v>
      </c>
      <c r="BM68" s="3" t="e">
        <f t="shared" si="87"/>
        <v>#DIV/0!</v>
      </c>
      <c r="BN68" s="3" t="e">
        <f t="shared" si="87"/>
        <v>#DIV/0!</v>
      </c>
      <c r="BO68" s="3" t="e">
        <f t="shared" si="87"/>
        <v>#DIV/0!</v>
      </c>
      <c r="BP68" s="3" t="e">
        <f t="shared" si="87"/>
        <v>#DIV/0!</v>
      </c>
      <c r="BQ68" s="3" t="e">
        <f t="shared" si="87"/>
        <v>#DIV/0!</v>
      </c>
      <c r="BR68" s="3" t="e">
        <f t="shared" si="87"/>
        <v>#DIV/0!</v>
      </c>
      <c r="BS68" s="3" t="e">
        <f t="shared" si="87"/>
        <v>#DIV/0!</v>
      </c>
      <c r="BT68" s="3" t="e">
        <f t="shared" si="87"/>
        <v>#DIV/0!</v>
      </c>
      <c r="BU68" s="3" t="e">
        <f t="shared" si="87"/>
        <v>#DIV/0!</v>
      </c>
      <c r="BV68" s="3" t="e">
        <f t="shared" si="87"/>
        <v>#DIV/0!</v>
      </c>
      <c r="BW68" s="3" t="e">
        <f t="shared" si="87"/>
        <v>#DIV/0!</v>
      </c>
      <c r="BX68" s="3" t="e">
        <f t="shared" si="87"/>
        <v>#DIV/0!</v>
      </c>
      <c r="BY68" s="3" t="e">
        <f t="shared" si="87"/>
        <v>#DIV/0!</v>
      </c>
      <c r="BZ68" s="3" t="e">
        <f t="shared" si="87"/>
        <v>#DIV/0!</v>
      </c>
      <c r="CA68" s="3" t="e">
        <f t="shared" si="87"/>
        <v>#DIV/0!</v>
      </c>
      <c r="CB68" s="3" t="e">
        <f t="shared" si="87"/>
        <v>#DIV/0!</v>
      </c>
      <c r="CC68" s="3" t="e">
        <f t="shared" si="87"/>
        <v>#DIV/0!</v>
      </c>
      <c r="CD68" s="3" t="e">
        <f t="shared" si="87"/>
        <v>#DIV/0!</v>
      </c>
      <c r="CE68" s="3" t="e">
        <f t="shared" si="87"/>
        <v>#DIV/0!</v>
      </c>
      <c r="CF68" s="3" t="e">
        <f t="shared" si="87"/>
        <v>#DIV/0!</v>
      </c>
      <c r="CG68" s="3" t="e">
        <f t="shared" si="87"/>
        <v>#DIV/0!</v>
      </c>
      <c r="CH68" s="3" t="e">
        <f t="shared" si="87"/>
        <v>#DIV/0!</v>
      </c>
      <c r="CI68" s="3" t="e">
        <f t="shared" si="87"/>
        <v>#DIV/0!</v>
      </c>
      <c r="CJ68" s="3" t="e">
        <f t="shared" si="87"/>
        <v>#DIV/0!</v>
      </c>
      <c r="CK68" s="3" t="e">
        <f t="shared" si="87"/>
        <v>#DIV/0!</v>
      </c>
      <c r="CL68" s="3" t="e">
        <f t="shared" si="87"/>
        <v>#DIV/0!</v>
      </c>
      <c r="CM68" s="3" t="e">
        <f t="shared" si="87"/>
        <v>#DIV/0!</v>
      </c>
      <c r="CN68" s="3" t="e">
        <f t="shared" si="87"/>
        <v>#DIV/0!</v>
      </c>
      <c r="CO68" s="3" t="e">
        <f t="shared" ref="CO68:CT68" si="88">CO67-CO71</f>
        <v>#DIV/0!</v>
      </c>
      <c r="CP68" s="3" t="e">
        <f t="shared" si="88"/>
        <v>#DIV/0!</v>
      </c>
      <c r="CQ68" s="3" t="e">
        <f t="shared" si="88"/>
        <v>#DIV/0!</v>
      </c>
      <c r="CR68" s="3" t="e">
        <f t="shared" si="88"/>
        <v>#DIV/0!</v>
      </c>
      <c r="CS68" s="3" t="e">
        <f t="shared" si="88"/>
        <v>#DIV/0!</v>
      </c>
      <c r="CT68" s="3" t="e">
        <f t="shared" si="88"/>
        <v>#DIV/0!</v>
      </c>
    </row>
    <row r="69" spans="1:98" ht="15.75" customHeight="1">
      <c r="A69" s="3" t="s">
        <v>98</v>
      </c>
      <c r="B69" s="79" t="s">
        <v>95</v>
      </c>
      <c r="C69" s="3" t="e">
        <f t="shared" ref="C69:D69" si="89">C46*C68/100*C33/10^6</f>
        <v>#DIV/0!</v>
      </c>
      <c r="D69" s="3" t="e">
        <f t="shared" ref="D69:E69" si="90">D46*D68/100*D33/10^6</f>
        <v>#DIV/0!</v>
      </c>
      <c r="E69" s="3" t="e">
        <f t="shared" si="90"/>
        <v>#DIV/0!</v>
      </c>
      <c r="F69" s="3" t="e">
        <f t="shared" ref="F69:K69" si="91">F46*F68/100*F33/10^6</f>
        <v>#DIV/0!</v>
      </c>
      <c r="G69" s="3" t="e">
        <f t="shared" si="91"/>
        <v>#DIV/0!</v>
      </c>
      <c r="H69" s="3" t="e">
        <f t="shared" si="91"/>
        <v>#DIV/0!</v>
      </c>
      <c r="I69" s="3" t="e">
        <f t="shared" si="91"/>
        <v>#DIV/0!</v>
      </c>
      <c r="J69" s="3" t="e">
        <f t="shared" si="91"/>
        <v>#DIV/0!</v>
      </c>
      <c r="K69" s="3" t="e">
        <f t="shared" si="91"/>
        <v>#DIV/0!</v>
      </c>
      <c r="L69" s="3" t="e">
        <f t="shared" ref="L69:AC69" si="92">L46*L68/100*L33/10^6</f>
        <v>#DIV/0!</v>
      </c>
      <c r="M69" s="3" t="e">
        <f t="shared" si="92"/>
        <v>#DIV/0!</v>
      </c>
      <c r="N69" s="3" t="e">
        <f t="shared" si="92"/>
        <v>#DIV/0!</v>
      </c>
      <c r="O69" s="3" t="e">
        <f t="shared" si="92"/>
        <v>#DIV/0!</v>
      </c>
      <c r="P69" s="3" t="e">
        <f t="shared" si="92"/>
        <v>#DIV/0!</v>
      </c>
      <c r="Q69" s="3" t="e">
        <f t="shared" si="92"/>
        <v>#DIV/0!</v>
      </c>
      <c r="R69" s="3" t="e">
        <f t="shared" si="92"/>
        <v>#DIV/0!</v>
      </c>
      <c r="S69" s="3" t="e">
        <f t="shared" si="92"/>
        <v>#DIV/0!</v>
      </c>
      <c r="T69" s="3" t="e">
        <f t="shared" si="92"/>
        <v>#DIV/0!</v>
      </c>
      <c r="U69" s="3" t="e">
        <f t="shared" si="92"/>
        <v>#DIV/0!</v>
      </c>
      <c r="V69" s="3" t="e">
        <f t="shared" si="92"/>
        <v>#DIV/0!</v>
      </c>
      <c r="W69" s="3" t="e">
        <f t="shared" si="92"/>
        <v>#DIV/0!</v>
      </c>
      <c r="X69" s="3" t="e">
        <f t="shared" si="92"/>
        <v>#DIV/0!</v>
      </c>
      <c r="Y69" s="3" t="e">
        <f t="shared" si="92"/>
        <v>#DIV/0!</v>
      </c>
      <c r="Z69" s="3" t="e">
        <f t="shared" si="92"/>
        <v>#DIV/0!</v>
      </c>
      <c r="AA69" s="3" t="e">
        <f t="shared" si="92"/>
        <v>#DIV/0!</v>
      </c>
      <c r="AB69" s="3" t="e">
        <f t="shared" si="92"/>
        <v>#DIV/0!</v>
      </c>
      <c r="AC69" s="3" t="e">
        <f t="shared" si="92"/>
        <v>#DIV/0!</v>
      </c>
      <c r="AD69" s="3" t="e">
        <f t="shared" ref="AD69:CN69" si="93">AD46*AD68/100*AD33/10^6</f>
        <v>#DIV/0!</v>
      </c>
      <c r="AE69" s="3" t="e">
        <f t="shared" si="93"/>
        <v>#DIV/0!</v>
      </c>
      <c r="AF69" s="3" t="e">
        <f t="shared" si="93"/>
        <v>#DIV/0!</v>
      </c>
      <c r="AG69" s="3" t="e">
        <f t="shared" si="93"/>
        <v>#DIV/0!</v>
      </c>
      <c r="AH69" s="3" t="e">
        <f t="shared" si="93"/>
        <v>#DIV/0!</v>
      </c>
      <c r="AI69" s="3" t="e">
        <f t="shared" si="93"/>
        <v>#DIV/0!</v>
      </c>
      <c r="AJ69" s="3" t="e">
        <f t="shared" si="93"/>
        <v>#DIV/0!</v>
      </c>
      <c r="AK69" s="3" t="e">
        <f t="shared" si="93"/>
        <v>#DIV/0!</v>
      </c>
      <c r="AL69" s="3" t="e">
        <f t="shared" si="93"/>
        <v>#DIV/0!</v>
      </c>
      <c r="AM69" s="3" t="e">
        <f t="shared" si="93"/>
        <v>#DIV/0!</v>
      </c>
      <c r="AN69" s="3" t="e">
        <f t="shared" si="93"/>
        <v>#DIV/0!</v>
      </c>
      <c r="AO69" s="3" t="e">
        <f t="shared" si="93"/>
        <v>#DIV/0!</v>
      </c>
      <c r="AP69" s="3" t="e">
        <f t="shared" si="93"/>
        <v>#DIV/0!</v>
      </c>
      <c r="AQ69" s="3" t="e">
        <f t="shared" si="93"/>
        <v>#DIV/0!</v>
      </c>
      <c r="AR69" s="3" t="e">
        <f t="shared" si="93"/>
        <v>#DIV/0!</v>
      </c>
      <c r="AS69" s="3" t="e">
        <f t="shared" si="93"/>
        <v>#DIV/0!</v>
      </c>
      <c r="AT69" s="3" t="e">
        <f t="shared" si="93"/>
        <v>#DIV/0!</v>
      </c>
      <c r="AU69" s="3" t="e">
        <f t="shared" si="93"/>
        <v>#DIV/0!</v>
      </c>
      <c r="AV69" s="3" t="e">
        <f t="shared" si="93"/>
        <v>#DIV/0!</v>
      </c>
      <c r="AW69" s="3" t="e">
        <f t="shared" si="93"/>
        <v>#DIV/0!</v>
      </c>
      <c r="AX69" s="3" t="e">
        <f t="shared" si="93"/>
        <v>#DIV/0!</v>
      </c>
      <c r="AY69" s="3" t="e">
        <f t="shared" si="93"/>
        <v>#DIV/0!</v>
      </c>
      <c r="AZ69" s="3" t="e">
        <f t="shared" si="93"/>
        <v>#DIV/0!</v>
      </c>
      <c r="BA69" s="3" t="e">
        <f t="shared" si="93"/>
        <v>#DIV/0!</v>
      </c>
      <c r="BB69" s="3" t="e">
        <f t="shared" si="93"/>
        <v>#DIV/0!</v>
      </c>
      <c r="BC69" s="3" t="e">
        <f t="shared" si="93"/>
        <v>#DIV/0!</v>
      </c>
      <c r="BD69" s="3" t="e">
        <f t="shared" si="93"/>
        <v>#DIV/0!</v>
      </c>
      <c r="BE69" s="3" t="e">
        <f t="shared" si="93"/>
        <v>#DIV/0!</v>
      </c>
      <c r="BF69" s="3" t="e">
        <f t="shared" si="93"/>
        <v>#DIV/0!</v>
      </c>
      <c r="BG69" s="3" t="e">
        <f t="shared" si="93"/>
        <v>#DIV/0!</v>
      </c>
      <c r="BH69" s="3" t="e">
        <f t="shared" si="93"/>
        <v>#DIV/0!</v>
      </c>
      <c r="BI69" s="3" t="e">
        <f t="shared" si="93"/>
        <v>#DIV/0!</v>
      </c>
      <c r="BJ69" s="3" t="e">
        <f t="shared" si="93"/>
        <v>#DIV/0!</v>
      </c>
      <c r="BK69" s="3" t="e">
        <f t="shared" si="93"/>
        <v>#DIV/0!</v>
      </c>
      <c r="BL69" s="3" t="e">
        <f t="shared" si="93"/>
        <v>#DIV/0!</v>
      </c>
      <c r="BM69" s="3" t="e">
        <f t="shared" si="93"/>
        <v>#DIV/0!</v>
      </c>
      <c r="BN69" s="3" t="e">
        <f t="shared" si="93"/>
        <v>#DIV/0!</v>
      </c>
      <c r="BO69" s="3" t="e">
        <f t="shared" si="93"/>
        <v>#DIV/0!</v>
      </c>
      <c r="BP69" s="3" t="e">
        <f t="shared" si="93"/>
        <v>#DIV/0!</v>
      </c>
      <c r="BQ69" s="3" t="e">
        <f t="shared" si="93"/>
        <v>#DIV/0!</v>
      </c>
      <c r="BR69" s="3" t="e">
        <f t="shared" si="93"/>
        <v>#DIV/0!</v>
      </c>
      <c r="BS69" s="3" t="e">
        <f t="shared" si="93"/>
        <v>#DIV/0!</v>
      </c>
      <c r="BT69" s="3" t="e">
        <f t="shared" si="93"/>
        <v>#DIV/0!</v>
      </c>
      <c r="BU69" s="3" t="e">
        <f t="shared" si="93"/>
        <v>#DIV/0!</v>
      </c>
      <c r="BV69" s="3" t="e">
        <f t="shared" si="93"/>
        <v>#DIV/0!</v>
      </c>
      <c r="BW69" s="3" t="e">
        <f t="shared" si="93"/>
        <v>#DIV/0!</v>
      </c>
      <c r="BX69" s="3" t="e">
        <f t="shared" si="93"/>
        <v>#DIV/0!</v>
      </c>
      <c r="BY69" s="3" t="e">
        <f t="shared" si="93"/>
        <v>#DIV/0!</v>
      </c>
      <c r="BZ69" s="3" t="e">
        <f t="shared" si="93"/>
        <v>#DIV/0!</v>
      </c>
      <c r="CA69" s="3" t="e">
        <f t="shared" si="93"/>
        <v>#DIV/0!</v>
      </c>
      <c r="CB69" s="3" t="e">
        <f t="shared" si="93"/>
        <v>#DIV/0!</v>
      </c>
      <c r="CC69" s="3" t="e">
        <f t="shared" si="93"/>
        <v>#DIV/0!</v>
      </c>
      <c r="CD69" s="3" t="e">
        <f t="shared" si="93"/>
        <v>#DIV/0!</v>
      </c>
      <c r="CE69" s="3" t="e">
        <f t="shared" si="93"/>
        <v>#DIV/0!</v>
      </c>
      <c r="CF69" s="3" t="e">
        <f t="shared" si="93"/>
        <v>#DIV/0!</v>
      </c>
      <c r="CG69" s="3" t="e">
        <f t="shared" si="93"/>
        <v>#DIV/0!</v>
      </c>
      <c r="CH69" s="3" t="e">
        <f t="shared" si="93"/>
        <v>#DIV/0!</v>
      </c>
      <c r="CI69" s="3" t="e">
        <f t="shared" si="93"/>
        <v>#DIV/0!</v>
      </c>
      <c r="CJ69" s="3" t="e">
        <f t="shared" si="93"/>
        <v>#DIV/0!</v>
      </c>
      <c r="CK69" s="3" t="e">
        <f t="shared" si="93"/>
        <v>#DIV/0!</v>
      </c>
      <c r="CL69" s="3" t="e">
        <f t="shared" si="93"/>
        <v>#DIV/0!</v>
      </c>
      <c r="CM69" s="3" t="e">
        <f t="shared" si="93"/>
        <v>#DIV/0!</v>
      </c>
      <c r="CN69" s="3" t="e">
        <f t="shared" si="93"/>
        <v>#DIV/0!</v>
      </c>
      <c r="CO69" s="3" t="e">
        <f t="shared" ref="CO69:CT69" si="94">CO46*CO68/100*CO33/10^6</f>
        <v>#DIV/0!</v>
      </c>
      <c r="CP69" s="3" t="e">
        <f t="shared" si="94"/>
        <v>#DIV/0!</v>
      </c>
      <c r="CQ69" s="3" t="e">
        <f t="shared" si="94"/>
        <v>#DIV/0!</v>
      </c>
      <c r="CR69" s="3" t="e">
        <f t="shared" si="94"/>
        <v>#DIV/0!</v>
      </c>
      <c r="CS69" s="3" t="e">
        <f t="shared" si="94"/>
        <v>#DIV/0!</v>
      </c>
      <c r="CT69" s="3" t="e">
        <f t="shared" si="94"/>
        <v>#DIV/0!</v>
      </c>
    </row>
    <row r="70" spans="1:98" ht="15.75" customHeight="1">
      <c r="A70" s="3"/>
      <c r="B70" s="79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ht="15.75" customHeight="1">
      <c r="A71" s="3" t="s">
        <v>99</v>
      </c>
      <c r="B71" s="79" t="s">
        <v>88</v>
      </c>
      <c r="C71" s="3" t="e">
        <f>(C73)/C46*100</f>
        <v>#DIV/0!</v>
      </c>
      <c r="D71" s="3" t="e">
        <f>(D73)/D46*100</f>
        <v>#DIV/0!</v>
      </c>
      <c r="E71" s="3" t="e">
        <f>(E73)/E46*100</f>
        <v>#DIV/0!</v>
      </c>
      <c r="F71" s="3" t="e">
        <f>(F73)/F46*100</f>
        <v>#DIV/0!</v>
      </c>
      <c r="G71" s="3" t="e">
        <f>(G73)/G46*100</f>
        <v>#DIV/0!</v>
      </c>
      <c r="H71" s="3" t="e">
        <f>(H73)/H46*100</f>
        <v>#DIV/0!</v>
      </c>
      <c r="I71" s="3" t="e">
        <f>(I73)/I46*100</f>
        <v>#DIV/0!</v>
      </c>
      <c r="J71" s="3" t="e">
        <f>(J73)/J46*100</f>
        <v>#DIV/0!</v>
      </c>
      <c r="K71" s="3" t="e">
        <f>(K73)/K46*100</f>
        <v>#DIV/0!</v>
      </c>
      <c r="L71" s="3" t="e">
        <f>(L73)/L46*100</f>
        <v>#DIV/0!</v>
      </c>
      <c r="M71" s="3" t="e">
        <f>(M73)/M46*100</f>
        <v>#DIV/0!</v>
      </c>
      <c r="N71" s="3" t="e">
        <f>(N73)/N46*100</f>
        <v>#DIV/0!</v>
      </c>
      <c r="O71" s="3" t="e">
        <f>(O73)/O46*100</f>
        <v>#DIV/0!</v>
      </c>
      <c r="P71" s="3" t="e">
        <f>(P73)/P46*100</f>
        <v>#DIV/0!</v>
      </c>
      <c r="Q71" s="3" t="e">
        <f>(Q73)/Q46*100</f>
        <v>#DIV/0!</v>
      </c>
      <c r="R71" s="3" t="e">
        <f>(R73)/R46*100</f>
        <v>#DIV/0!</v>
      </c>
      <c r="S71" s="3" t="e">
        <f>(S73)/S46*100</f>
        <v>#DIV/0!</v>
      </c>
      <c r="T71" s="3" t="e">
        <f>(T73)/T46*100</f>
        <v>#DIV/0!</v>
      </c>
      <c r="U71" s="3" t="e">
        <f>(U73)/U46*100</f>
        <v>#DIV/0!</v>
      </c>
      <c r="V71" s="3" t="e">
        <f>(V73)/V46*100</f>
        <v>#DIV/0!</v>
      </c>
      <c r="W71" s="3" t="e">
        <f>(W73)/W46*100</f>
        <v>#DIV/0!</v>
      </c>
      <c r="X71" s="3" t="e">
        <f>(X73)/X46*100</f>
        <v>#DIV/0!</v>
      </c>
      <c r="Y71" s="3" t="e">
        <f>(Y73)/Y46*100</f>
        <v>#DIV/0!</v>
      </c>
      <c r="Z71" s="3" t="e">
        <f>(Z73)/Z46*100</f>
        <v>#DIV/0!</v>
      </c>
      <c r="AA71" s="3" t="e">
        <f>(AA73)/AA46*100</f>
        <v>#DIV/0!</v>
      </c>
      <c r="AB71" s="3" t="e">
        <f>(AB73)/AB46*100</f>
        <v>#DIV/0!</v>
      </c>
      <c r="AC71" s="3" t="e">
        <f>(AC73)/AC46*100</f>
        <v>#DIV/0!</v>
      </c>
      <c r="AD71" s="3" t="e">
        <f>(AD73)/AD46*100</f>
        <v>#DIV/0!</v>
      </c>
      <c r="AE71" s="3" t="e">
        <f>(AE73)/AE46*100</f>
        <v>#DIV/0!</v>
      </c>
      <c r="AF71" s="3" t="e">
        <f>(AF73)/AF46*100</f>
        <v>#DIV/0!</v>
      </c>
      <c r="AG71" s="3" t="e">
        <f>(AG73)/AG46*100</f>
        <v>#DIV/0!</v>
      </c>
      <c r="AH71" s="3" t="e">
        <f>(AH73)/AH46*100</f>
        <v>#DIV/0!</v>
      </c>
      <c r="AI71" s="3" t="e">
        <f>(AI73)/AI46*100</f>
        <v>#DIV/0!</v>
      </c>
      <c r="AJ71" s="3" t="e">
        <f>(AJ73)/AJ46*100</f>
        <v>#DIV/0!</v>
      </c>
      <c r="AK71" s="3" t="e">
        <f>(AK73)/AK46*100</f>
        <v>#DIV/0!</v>
      </c>
      <c r="AL71" s="3" t="e">
        <f>(AL73)/AL46*100</f>
        <v>#DIV/0!</v>
      </c>
      <c r="AM71" s="3" t="e">
        <f>(AM73)/AM46*100</f>
        <v>#DIV/0!</v>
      </c>
      <c r="AN71" s="3" t="e">
        <f>(AN73)/AN46*100</f>
        <v>#DIV/0!</v>
      </c>
      <c r="AO71" s="3" t="e">
        <f>(AO73)/AO46*100</f>
        <v>#DIV/0!</v>
      </c>
      <c r="AP71" s="3" t="e">
        <f>(AP73)/AP46*100</f>
        <v>#DIV/0!</v>
      </c>
      <c r="AQ71" s="3" t="e">
        <f>(AQ73)/AQ46*100</f>
        <v>#DIV/0!</v>
      </c>
      <c r="AR71" s="3" t="e">
        <f>(AR73)/AR46*100</f>
        <v>#DIV/0!</v>
      </c>
      <c r="AS71" s="3" t="e">
        <f>(AS73)/AS46*100</f>
        <v>#DIV/0!</v>
      </c>
      <c r="AT71" s="3" t="e">
        <f>(AT73)/AT46*100</f>
        <v>#DIV/0!</v>
      </c>
      <c r="AU71" s="3" t="e">
        <f>(AU73)/AU46*100</f>
        <v>#DIV/0!</v>
      </c>
      <c r="AV71" s="3" t="e">
        <f>(AV73)/AV46*100</f>
        <v>#DIV/0!</v>
      </c>
      <c r="AW71" s="3" t="e">
        <f>(AW73)/AW46*100</f>
        <v>#DIV/0!</v>
      </c>
      <c r="AX71" s="3" t="e">
        <f>(AX73)/AX46*100</f>
        <v>#DIV/0!</v>
      </c>
      <c r="AY71" s="3" t="e">
        <f>(AY73)/AY46*100</f>
        <v>#DIV/0!</v>
      </c>
      <c r="AZ71" s="3" t="e">
        <f>(AZ73)/AZ46*100</f>
        <v>#DIV/0!</v>
      </c>
      <c r="BA71" s="3" t="e">
        <f>(BA73)/BA46*100</f>
        <v>#DIV/0!</v>
      </c>
      <c r="BB71" s="3" t="e">
        <f>(BB73)/BB46*100</f>
        <v>#DIV/0!</v>
      </c>
      <c r="BC71" s="3" t="e">
        <f>(BC73)/BC46*100</f>
        <v>#DIV/0!</v>
      </c>
      <c r="BD71" s="3" t="e">
        <f>(BD73)/BD46*100</f>
        <v>#DIV/0!</v>
      </c>
      <c r="BE71" s="3" t="e">
        <f>(BE73)/BE46*100</f>
        <v>#DIV/0!</v>
      </c>
      <c r="BF71" s="3" t="e">
        <f>(BF73)/BF46*100</f>
        <v>#DIV/0!</v>
      </c>
      <c r="BG71" s="3" t="e">
        <f>(BG73)/BG46*100</f>
        <v>#DIV/0!</v>
      </c>
      <c r="BH71" s="3" t="e">
        <f>(BH73)/BH46*100</f>
        <v>#DIV/0!</v>
      </c>
      <c r="BI71" s="3" t="e">
        <f>(BI73)/BI46*100</f>
        <v>#DIV/0!</v>
      </c>
      <c r="BJ71" s="3" t="e">
        <f>(BJ73)/BJ46*100</f>
        <v>#DIV/0!</v>
      </c>
      <c r="BK71" s="3" t="e">
        <f>(BK73)/BK46*100</f>
        <v>#DIV/0!</v>
      </c>
      <c r="BL71" s="3" t="e">
        <f>(BL73)/BL46*100</f>
        <v>#DIV/0!</v>
      </c>
      <c r="BM71" s="3" t="e">
        <f>(BM73)/BM46*100</f>
        <v>#DIV/0!</v>
      </c>
      <c r="BN71" s="3" t="e">
        <f>(BN73)/BN46*100</f>
        <v>#DIV/0!</v>
      </c>
      <c r="BO71" s="3" t="e">
        <f>(BO73)/BO46*100</f>
        <v>#DIV/0!</v>
      </c>
      <c r="BP71" s="3" t="e">
        <f>(BP73)/BP46*100</f>
        <v>#DIV/0!</v>
      </c>
      <c r="BQ71" s="3" t="e">
        <f>(BQ73)/BQ46*100</f>
        <v>#DIV/0!</v>
      </c>
      <c r="BR71" s="3" t="e">
        <f>(BR73)/BR46*100</f>
        <v>#DIV/0!</v>
      </c>
      <c r="BS71" s="3" t="e">
        <f>(BS73)/BS46*100</f>
        <v>#DIV/0!</v>
      </c>
      <c r="BT71" s="3" t="e">
        <f>(BT73)/BT46*100</f>
        <v>#DIV/0!</v>
      </c>
      <c r="BU71" s="3" t="e">
        <f>(BU73)/BU46*100</f>
        <v>#DIV/0!</v>
      </c>
      <c r="BV71" s="3" t="e">
        <f>(BV73)/BV46*100</f>
        <v>#DIV/0!</v>
      </c>
      <c r="BW71" s="3" t="e">
        <f>(BW73)/BW46*100</f>
        <v>#DIV/0!</v>
      </c>
      <c r="BX71" s="3" t="e">
        <f>(BX73)/BX46*100</f>
        <v>#DIV/0!</v>
      </c>
      <c r="BY71" s="3" t="e">
        <f>(BY73)/BY46*100</f>
        <v>#DIV/0!</v>
      </c>
      <c r="BZ71" s="3" t="e">
        <f>(BZ73)/BZ46*100</f>
        <v>#DIV/0!</v>
      </c>
      <c r="CA71" s="3" t="e">
        <f>(CA73)/CA46*100</f>
        <v>#DIV/0!</v>
      </c>
      <c r="CB71" s="3" t="e">
        <f>(CB73)/CB46*100</f>
        <v>#DIV/0!</v>
      </c>
      <c r="CC71" s="3" t="e">
        <f>(CC73)/CC46*100</f>
        <v>#DIV/0!</v>
      </c>
      <c r="CD71" s="3" t="e">
        <f>(CD73)/CD46*100</f>
        <v>#DIV/0!</v>
      </c>
      <c r="CE71" s="3" t="e">
        <f>(CE73)/CE46*100</f>
        <v>#DIV/0!</v>
      </c>
      <c r="CF71" s="3" t="e">
        <f>(CF73)/CF46*100</f>
        <v>#DIV/0!</v>
      </c>
      <c r="CG71" s="3" t="e">
        <f>(CG73)/CG46*100</f>
        <v>#DIV/0!</v>
      </c>
      <c r="CH71" s="3" t="e">
        <f>(CH73)/CH46*100</f>
        <v>#DIV/0!</v>
      </c>
      <c r="CI71" s="3" t="e">
        <f>(CI73)/CI46*100</f>
        <v>#DIV/0!</v>
      </c>
      <c r="CJ71" s="3" t="e">
        <f>(CJ73)/CJ46*100</f>
        <v>#DIV/0!</v>
      </c>
      <c r="CK71" s="3" t="e">
        <f>(CK73)/CK46*100</f>
        <v>#DIV/0!</v>
      </c>
      <c r="CL71" s="3" t="e">
        <f>(CL73)/CL46*100</f>
        <v>#DIV/0!</v>
      </c>
      <c r="CM71" s="3" t="e">
        <f>(CM73)/CM46*100</f>
        <v>#DIV/0!</v>
      </c>
      <c r="CN71" s="3" t="e">
        <f>(CN73)/CN46*100</f>
        <v>#DIV/0!</v>
      </c>
      <c r="CO71" s="3" t="e">
        <f>(CO73)/CO46*100</f>
        <v>#DIV/0!</v>
      </c>
      <c r="CP71" s="3" t="e">
        <f>(CP73)/CP46*100</f>
        <v>#DIV/0!</v>
      </c>
      <c r="CQ71" s="3" t="e">
        <f>(CQ73)/CQ46*100</f>
        <v>#DIV/0!</v>
      </c>
      <c r="CR71" s="3" t="e">
        <f>(CR73)/CR46*100</f>
        <v>#DIV/0!</v>
      </c>
      <c r="CS71" s="3" t="e">
        <f>(CS73)/CS46*100</f>
        <v>#DIV/0!</v>
      </c>
      <c r="CT71" s="3" t="e">
        <f>(CT73)/CT46*100</f>
        <v>#DIV/0!</v>
      </c>
    </row>
    <row r="72" spans="1:98" ht="15.75" customHeight="1">
      <c r="A72" s="3" t="s">
        <v>100</v>
      </c>
      <c r="B72" s="79" t="s">
        <v>95</v>
      </c>
      <c r="C72" s="3">
        <f>C73*C37/10^6</f>
        <v>0</v>
      </c>
      <c r="D72" s="3">
        <f>D73*D37/10^6</f>
        <v>0</v>
      </c>
      <c r="E72" s="3">
        <f>E73*E37/10^6</f>
        <v>0</v>
      </c>
      <c r="F72" s="3">
        <f>F73*F37/10^6</f>
        <v>0</v>
      </c>
      <c r="G72" s="3">
        <f>G73*G37/10^6</f>
        <v>0</v>
      </c>
      <c r="H72" s="3">
        <f>H73*H37/10^6</f>
        <v>0</v>
      </c>
      <c r="I72" s="3">
        <f>I73*I37/10^6</f>
        <v>0</v>
      </c>
      <c r="J72" s="3">
        <f>J73*J37/10^6</f>
        <v>0</v>
      </c>
      <c r="K72" s="3">
        <f>K73*K37/10^6</f>
        <v>0</v>
      </c>
      <c r="L72" s="3">
        <f>L73*L37/10^6</f>
        <v>0</v>
      </c>
      <c r="M72" s="3">
        <f>M73*M37/10^6</f>
        <v>0</v>
      </c>
      <c r="N72" s="3">
        <f>N73*N37/10^6</f>
        <v>0</v>
      </c>
      <c r="O72" s="3">
        <f>O73*O37/10^6</f>
        <v>0</v>
      </c>
      <c r="P72" s="3">
        <f>P73*P37/10^6</f>
        <v>0</v>
      </c>
      <c r="Q72" s="3">
        <f>Q73*Q37/10^6</f>
        <v>0</v>
      </c>
      <c r="R72" s="3">
        <f>R73*R37/10^6</f>
        <v>0</v>
      </c>
      <c r="S72" s="3">
        <f>S73*S37/10^6</f>
        <v>0</v>
      </c>
      <c r="T72" s="3">
        <f>T73*T37/10^6</f>
        <v>0</v>
      </c>
      <c r="U72" s="3">
        <f>U73*U37/10^6</f>
        <v>0</v>
      </c>
      <c r="V72" s="3">
        <f>V73*V37/10^6</f>
        <v>0</v>
      </c>
      <c r="W72" s="3">
        <f>W73*W37/10^6</f>
        <v>0</v>
      </c>
      <c r="X72" s="3">
        <f>X73*X37/10^6</f>
        <v>0</v>
      </c>
      <c r="Y72" s="3">
        <f>Y73*Y37/10^6</f>
        <v>0</v>
      </c>
      <c r="Z72" s="3">
        <f>Z73*Z37/10^6</f>
        <v>0</v>
      </c>
      <c r="AA72" s="3">
        <f>AA73*AA37/10^6</f>
        <v>0</v>
      </c>
      <c r="AB72" s="3">
        <f>AB73*AB37/10^6</f>
        <v>0</v>
      </c>
      <c r="AC72" s="3">
        <f>AC73*AC37/10^6</f>
        <v>0</v>
      </c>
      <c r="AD72" s="3">
        <f>AD73*AD37/10^6</f>
        <v>0</v>
      </c>
      <c r="AE72" s="3">
        <f>AE73*AE37/10^6</f>
        <v>0</v>
      </c>
      <c r="AF72" s="3">
        <f>AF73*AF37/10^6</f>
        <v>0</v>
      </c>
      <c r="AG72" s="3">
        <f>AG73*AG37/10^6</f>
        <v>0</v>
      </c>
      <c r="AH72" s="3">
        <f>AH73*AH37/10^6</f>
        <v>0</v>
      </c>
      <c r="AI72" s="3">
        <f>AI73*AI37/10^6</f>
        <v>0</v>
      </c>
      <c r="AJ72" s="3">
        <f>AJ73*AJ37/10^6</f>
        <v>0</v>
      </c>
      <c r="AK72" s="3">
        <f>AK73*AK37/10^6</f>
        <v>0</v>
      </c>
      <c r="AL72" s="3">
        <f>AL73*AL37/10^6</f>
        <v>0</v>
      </c>
      <c r="AM72" s="3">
        <f>AM73*AM37/10^6</f>
        <v>0</v>
      </c>
      <c r="AN72" s="3">
        <f>AN73*AN37/10^6</f>
        <v>0</v>
      </c>
      <c r="AO72" s="3">
        <f>AO73*AO37/10^6</f>
        <v>0</v>
      </c>
      <c r="AP72" s="3">
        <f>AP73*AP37/10^6</f>
        <v>0</v>
      </c>
      <c r="AQ72" s="3">
        <f>AQ73*AQ37/10^6</f>
        <v>0</v>
      </c>
      <c r="AR72" s="3">
        <f>AR73*AR37/10^6</f>
        <v>0</v>
      </c>
      <c r="AS72" s="3">
        <f>AS73*AS37/10^6</f>
        <v>0</v>
      </c>
      <c r="AT72" s="3">
        <f>AT73*AT37/10^6</f>
        <v>0</v>
      </c>
      <c r="AU72" s="3">
        <f>AU73*AU37/10^6</f>
        <v>0</v>
      </c>
      <c r="AV72" s="3">
        <f>AV73*AV37/10^6</f>
        <v>0</v>
      </c>
      <c r="AW72" s="3">
        <f>AW73*AW37/10^6</f>
        <v>0</v>
      </c>
      <c r="AX72" s="3">
        <f>AX73*AX37/10^6</f>
        <v>0</v>
      </c>
      <c r="AY72" s="3">
        <f>AY73*AY37/10^6</f>
        <v>0</v>
      </c>
      <c r="AZ72" s="3">
        <f>AZ73*AZ37/10^6</f>
        <v>0</v>
      </c>
      <c r="BA72" s="3">
        <f>BA73*BA37/10^6</f>
        <v>0</v>
      </c>
      <c r="BB72" s="3">
        <f>BB73*BB37/10^6</f>
        <v>0</v>
      </c>
      <c r="BC72" s="3">
        <f>BC73*BC37/10^6</f>
        <v>0</v>
      </c>
      <c r="BD72" s="3">
        <f>BD73*BD37/10^6</f>
        <v>0</v>
      </c>
      <c r="BE72" s="3">
        <f>BE73*BE37/10^6</f>
        <v>0</v>
      </c>
      <c r="BF72" s="3">
        <f>BF73*BF37/10^6</f>
        <v>0</v>
      </c>
      <c r="BG72" s="3">
        <f>BG73*BG37/10^6</f>
        <v>0</v>
      </c>
      <c r="BH72" s="3">
        <f>BH73*BH37/10^6</f>
        <v>0</v>
      </c>
      <c r="BI72" s="3">
        <f>BI73*BI37/10^6</f>
        <v>0</v>
      </c>
      <c r="BJ72" s="3">
        <f>BJ73*BJ37/10^6</f>
        <v>0</v>
      </c>
      <c r="BK72" s="3">
        <f>BK73*BK37/10^6</f>
        <v>0</v>
      </c>
      <c r="BL72" s="3">
        <f>BL73*BL37/10^6</f>
        <v>0</v>
      </c>
      <c r="BM72" s="3">
        <f>BM73*BM37/10^6</f>
        <v>0</v>
      </c>
      <c r="BN72" s="3">
        <f>BN73*BN37/10^6</f>
        <v>0</v>
      </c>
      <c r="BO72" s="3">
        <f>BO73*BO37/10^6</f>
        <v>0</v>
      </c>
      <c r="BP72" s="3">
        <f>BP73*BP37/10^6</f>
        <v>0</v>
      </c>
      <c r="BQ72" s="3">
        <f>BQ73*BQ37/10^6</f>
        <v>0</v>
      </c>
      <c r="BR72" s="3">
        <f>BR73*BR37/10^6</f>
        <v>0</v>
      </c>
      <c r="BS72" s="3">
        <f>BS73*BS37/10^6</f>
        <v>0</v>
      </c>
      <c r="BT72" s="3">
        <f>BT73*BT37/10^6</f>
        <v>0</v>
      </c>
      <c r="BU72" s="3">
        <f>BU73*BU37/10^6</f>
        <v>0</v>
      </c>
      <c r="BV72" s="3">
        <f>BV73*BV37/10^6</f>
        <v>0</v>
      </c>
      <c r="BW72" s="3">
        <f>BW73*BW37/10^6</f>
        <v>0</v>
      </c>
      <c r="BX72" s="3">
        <f>BX73*BX37/10^6</f>
        <v>0</v>
      </c>
      <c r="BY72" s="3">
        <f>BY73*BY37/10^6</f>
        <v>0</v>
      </c>
      <c r="BZ72" s="3">
        <f>BZ73*BZ37/10^6</f>
        <v>0</v>
      </c>
      <c r="CA72" s="3">
        <f>CA73*CA37/10^6</f>
        <v>0</v>
      </c>
      <c r="CB72" s="3">
        <f>CB73*CB37/10^6</f>
        <v>0</v>
      </c>
      <c r="CC72" s="3">
        <f>CC73*CC37/10^6</f>
        <v>0</v>
      </c>
      <c r="CD72" s="3">
        <f>CD73*CD37/10^6</f>
        <v>0</v>
      </c>
      <c r="CE72" s="3">
        <f>CE73*CE37/10^6</f>
        <v>0</v>
      </c>
      <c r="CF72" s="3">
        <f>CF73*CF37/10^6</f>
        <v>0</v>
      </c>
      <c r="CG72" s="3">
        <f>CG73*CG37/10^6</f>
        <v>0</v>
      </c>
      <c r="CH72" s="3">
        <f>CH73*CH37/10^6</f>
        <v>0</v>
      </c>
      <c r="CI72" s="3">
        <f>CI73*CI37/10^6</f>
        <v>0</v>
      </c>
      <c r="CJ72" s="3">
        <f>CJ73*CJ37/10^6</f>
        <v>0</v>
      </c>
      <c r="CK72" s="3">
        <f>CK73*CK37/10^6</f>
        <v>0</v>
      </c>
      <c r="CL72" s="3">
        <f>CL73*CL37/10^6</f>
        <v>0</v>
      </c>
      <c r="CM72" s="3">
        <f>CM73*CM37/10^6</f>
        <v>0</v>
      </c>
      <c r="CN72" s="3">
        <f>CN73*CN37/10^6</f>
        <v>0</v>
      </c>
      <c r="CO72" s="3">
        <f>CO73*CO37/10^6</f>
        <v>0</v>
      </c>
      <c r="CP72" s="3">
        <f>CP73*CP37/10^6</f>
        <v>0</v>
      </c>
      <c r="CQ72" s="3">
        <f>CQ73*CQ37/10^6</f>
        <v>0</v>
      </c>
      <c r="CR72" s="3">
        <f>CR73*CR37/10^6</f>
        <v>0</v>
      </c>
      <c r="CS72" s="3">
        <f>CS73*CS37/10^6</f>
        <v>0</v>
      </c>
      <c r="CT72" s="3">
        <f>CT73*CT37/10^6</f>
        <v>0</v>
      </c>
    </row>
    <row r="73" spans="1:98" ht="15.75" customHeight="1">
      <c r="A73" s="3" t="s">
        <v>101</v>
      </c>
      <c r="B73" s="79" t="s">
        <v>90</v>
      </c>
      <c r="C73" s="80">
        <f t="shared" ref="C73:D73" si="95">C75*C24</f>
        <v>0</v>
      </c>
      <c r="D73" s="80">
        <f t="shared" ref="D73:E73" si="96">D75*D24</f>
        <v>0</v>
      </c>
      <c r="E73" s="80">
        <f t="shared" si="96"/>
        <v>0</v>
      </c>
      <c r="F73" s="80">
        <f t="shared" ref="F73:K73" si="97">F75*F24</f>
        <v>0</v>
      </c>
      <c r="G73" s="80">
        <f t="shared" si="97"/>
        <v>0</v>
      </c>
      <c r="H73" s="80">
        <f t="shared" si="97"/>
        <v>0</v>
      </c>
      <c r="I73" s="80">
        <f t="shared" si="97"/>
        <v>0</v>
      </c>
      <c r="J73" s="80">
        <f t="shared" si="97"/>
        <v>0</v>
      </c>
      <c r="K73" s="80">
        <f t="shared" si="97"/>
        <v>0</v>
      </c>
      <c r="L73" s="80">
        <f t="shared" ref="L73:AC73" si="98">L75*L24</f>
        <v>0</v>
      </c>
      <c r="M73" s="80">
        <f t="shared" si="98"/>
        <v>0</v>
      </c>
      <c r="N73" s="80">
        <f t="shared" si="98"/>
        <v>0</v>
      </c>
      <c r="O73" s="80">
        <f t="shared" si="98"/>
        <v>0</v>
      </c>
      <c r="P73" s="80">
        <f t="shared" si="98"/>
        <v>0</v>
      </c>
      <c r="Q73" s="80">
        <f t="shared" si="98"/>
        <v>0</v>
      </c>
      <c r="R73" s="80">
        <f t="shared" si="98"/>
        <v>0</v>
      </c>
      <c r="S73" s="80">
        <f t="shared" si="98"/>
        <v>0</v>
      </c>
      <c r="T73" s="80">
        <f t="shared" si="98"/>
        <v>0</v>
      </c>
      <c r="U73" s="80">
        <f t="shared" si="98"/>
        <v>0</v>
      </c>
      <c r="V73" s="80">
        <f t="shared" si="98"/>
        <v>0</v>
      </c>
      <c r="W73" s="80">
        <f t="shared" si="98"/>
        <v>0</v>
      </c>
      <c r="X73" s="80">
        <f t="shared" si="98"/>
        <v>0</v>
      </c>
      <c r="Y73" s="80">
        <f t="shared" si="98"/>
        <v>0</v>
      </c>
      <c r="Z73" s="80">
        <f t="shared" si="98"/>
        <v>0</v>
      </c>
      <c r="AA73" s="80">
        <f t="shared" si="98"/>
        <v>0</v>
      </c>
      <c r="AB73" s="80">
        <f t="shared" si="98"/>
        <v>0</v>
      </c>
      <c r="AC73" s="80">
        <f t="shared" si="98"/>
        <v>0</v>
      </c>
      <c r="AD73" s="80">
        <f t="shared" ref="AD73:CN73" si="99">AD75*AD24</f>
        <v>0</v>
      </c>
      <c r="AE73" s="80">
        <f t="shared" si="99"/>
        <v>0</v>
      </c>
      <c r="AF73" s="80">
        <f t="shared" si="99"/>
        <v>0</v>
      </c>
      <c r="AG73" s="80">
        <f t="shared" si="99"/>
        <v>0</v>
      </c>
      <c r="AH73" s="80">
        <f t="shared" si="99"/>
        <v>0</v>
      </c>
      <c r="AI73" s="80">
        <f t="shared" si="99"/>
        <v>0</v>
      </c>
      <c r="AJ73" s="80">
        <f t="shared" si="99"/>
        <v>0</v>
      </c>
      <c r="AK73" s="80">
        <f t="shared" si="99"/>
        <v>0</v>
      </c>
      <c r="AL73" s="80">
        <f t="shared" si="99"/>
        <v>0</v>
      </c>
      <c r="AM73" s="80">
        <f t="shared" si="99"/>
        <v>0</v>
      </c>
      <c r="AN73" s="80">
        <f t="shared" si="99"/>
        <v>0</v>
      </c>
      <c r="AO73" s="80">
        <f t="shared" si="99"/>
        <v>0</v>
      </c>
      <c r="AP73" s="80">
        <f t="shared" si="99"/>
        <v>0</v>
      </c>
      <c r="AQ73" s="80">
        <f t="shared" si="99"/>
        <v>0</v>
      </c>
      <c r="AR73" s="80">
        <f t="shared" si="99"/>
        <v>0</v>
      </c>
      <c r="AS73" s="80">
        <f t="shared" si="99"/>
        <v>0</v>
      </c>
      <c r="AT73" s="80">
        <f t="shared" si="99"/>
        <v>0</v>
      </c>
      <c r="AU73" s="80">
        <f t="shared" si="99"/>
        <v>0</v>
      </c>
      <c r="AV73" s="80">
        <f t="shared" si="99"/>
        <v>0</v>
      </c>
      <c r="AW73" s="80">
        <f t="shared" si="99"/>
        <v>0</v>
      </c>
      <c r="AX73" s="80">
        <f t="shared" si="99"/>
        <v>0</v>
      </c>
      <c r="AY73" s="80">
        <f t="shared" si="99"/>
        <v>0</v>
      </c>
      <c r="AZ73" s="80">
        <f t="shared" si="99"/>
        <v>0</v>
      </c>
      <c r="BA73" s="80">
        <f t="shared" si="99"/>
        <v>0</v>
      </c>
      <c r="BB73" s="80">
        <f t="shared" si="99"/>
        <v>0</v>
      </c>
      <c r="BC73" s="80">
        <f t="shared" si="99"/>
        <v>0</v>
      </c>
      <c r="BD73" s="80">
        <f t="shared" si="99"/>
        <v>0</v>
      </c>
      <c r="BE73" s="80">
        <f t="shared" si="99"/>
        <v>0</v>
      </c>
      <c r="BF73" s="80">
        <f t="shared" si="99"/>
        <v>0</v>
      </c>
      <c r="BG73" s="80">
        <f t="shared" si="99"/>
        <v>0</v>
      </c>
      <c r="BH73" s="80">
        <f t="shared" si="99"/>
        <v>0</v>
      </c>
      <c r="BI73" s="80">
        <f t="shared" si="99"/>
        <v>0</v>
      </c>
      <c r="BJ73" s="80">
        <f t="shared" si="99"/>
        <v>0</v>
      </c>
      <c r="BK73" s="80">
        <f t="shared" si="99"/>
        <v>0</v>
      </c>
      <c r="BL73" s="80">
        <f t="shared" si="99"/>
        <v>0</v>
      </c>
      <c r="BM73" s="80">
        <f t="shared" si="99"/>
        <v>0</v>
      </c>
      <c r="BN73" s="80">
        <f t="shared" si="99"/>
        <v>0</v>
      </c>
      <c r="BO73" s="80">
        <f t="shared" si="99"/>
        <v>0</v>
      </c>
      <c r="BP73" s="80">
        <f t="shared" si="99"/>
        <v>0</v>
      </c>
      <c r="BQ73" s="80">
        <f t="shared" si="99"/>
        <v>0</v>
      </c>
      <c r="BR73" s="80">
        <f t="shared" si="99"/>
        <v>0</v>
      </c>
      <c r="BS73" s="80">
        <f t="shared" si="99"/>
        <v>0</v>
      </c>
      <c r="BT73" s="80">
        <f t="shared" si="99"/>
        <v>0</v>
      </c>
      <c r="BU73" s="80">
        <f t="shared" si="99"/>
        <v>0</v>
      </c>
      <c r="BV73" s="80">
        <f t="shared" si="99"/>
        <v>0</v>
      </c>
      <c r="BW73" s="80">
        <f t="shared" si="99"/>
        <v>0</v>
      </c>
      <c r="BX73" s="80">
        <f t="shared" si="99"/>
        <v>0</v>
      </c>
      <c r="BY73" s="80">
        <f t="shared" si="99"/>
        <v>0</v>
      </c>
      <c r="BZ73" s="80">
        <f t="shared" si="99"/>
        <v>0</v>
      </c>
      <c r="CA73" s="80">
        <f t="shared" si="99"/>
        <v>0</v>
      </c>
      <c r="CB73" s="80">
        <f t="shared" si="99"/>
        <v>0</v>
      </c>
      <c r="CC73" s="80">
        <f t="shared" si="99"/>
        <v>0</v>
      </c>
      <c r="CD73" s="80">
        <f t="shared" si="99"/>
        <v>0</v>
      </c>
      <c r="CE73" s="80">
        <f t="shared" si="99"/>
        <v>0</v>
      </c>
      <c r="CF73" s="80">
        <f t="shared" si="99"/>
        <v>0</v>
      </c>
      <c r="CG73" s="80">
        <f t="shared" si="99"/>
        <v>0</v>
      </c>
      <c r="CH73" s="80">
        <f t="shared" si="99"/>
        <v>0</v>
      </c>
      <c r="CI73" s="80">
        <f t="shared" si="99"/>
        <v>0</v>
      </c>
      <c r="CJ73" s="80">
        <f t="shared" si="99"/>
        <v>0</v>
      </c>
      <c r="CK73" s="80">
        <f t="shared" si="99"/>
        <v>0</v>
      </c>
      <c r="CL73" s="80">
        <f t="shared" si="99"/>
        <v>0</v>
      </c>
      <c r="CM73" s="80">
        <f t="shared" si="99"/>
        <v>0</v>
      </c>
      <c r="CN73" s="80">
        <f t="shared" si="99"/>
        <v>0</v>
      </c>
      <c r="CO73" s="80">
        <f t="shared" ref="CO73:CT73" si="100">CO75*CO24</f>
        <v>0</v>
      </c>
      <c r="CP73" s="80">
        <f t="shared" si="100"/>
        <v>0</v>
      </c>
      <c r="CQ73" s="80">
        <f t="shared" si="100"/>
        <v>0</v>
      </c>
      <c r="CR73" s="80">
        <f t="shared" si="100"/>
        <v>0</v>
      </c>
      <c r="CS73" s="80">
        <f t="shared" si="100"/>
        <v>0</v>
      </c>
      <c r="CT73" s="80">
        <f t="shared" si="100"/>
        <v>0</v>
      </c>
    </row>
    <row r="74" spans="1:98" ht="15.75" customHeight="1">
      <c r="A74" s="3"/>
      <c r="B74" s="79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  <c r="AD74" s="91"/>
      <c r="AE74" s="91"/>
      <c r="AF74" s="91"/>
      <c r="AG74" s="91"/>
      <c r="AH74" s="91"/>
      <c r="AI74" s="91"/>
      <c r="AJ74" s="91"/>
      <c r="AK74" s="91"/>
      <c r="AL74" s="91"/>
      <c r="AM74" s="91"/>
      <c r="AN74" s="91"/>
      <c r="AO74" s="91"/>
      <c r="AP74" s="91"/>
      <c r="AQ74" s="91"/>
      <c r="AR74" s="91"/>
      <c r="AS74" s="91"/>
      <c r="AT74" s="91"/>
      <c r="AU74" s="91"/>
      <c r="AV74" s="91"/>
      <c r="AW74" s="91"/>
      <c r="AX74" s="91"/>
      <c r="AY74" s="91"/>
      <c r="AZ74" s="91"/>
      <c r="BA74" s="91"/>
      <c r="BB74" s="91"/>
      <c r="BC74" s="91"/>
      <c r="BD74" s="91"/>
      <c r="BE74" s="91"/>
      <c r="BF74" s="91"/>
      <c r="BG74" s="91"/>
      <c r="BH74" s="91"/>
      <c r="BI74" s="91"/>
      <c r="BJ74" s="91"/>
      <c r="BK74" s="91"/>
      <c r="BL74" s="91"/>
      <c r="BM74" s="91"/>
      <c r="BN74" s="91"/>
      <c r="BO74" s="91"/>
      <c r="BP74" s="91"/>
      <c r="BQ74" s="91"/>
      <c r="BR74" s="91"/>
      <c r="BS74" s="91"/>
      <c r="BT74" s="91"/>
      <c r="BU74" s="91"/>
      <c r="BV74" s="91"/>
      <c r="BW74" s="91"/>
      <c r="BX74" s="91"/>
      <c r="BY74" s="91"/>
      <c r="BZ74" s="91"/>
      <c r="CA74" s="91"/>
      <c r="CB74" s="91"/>
      <c r="CC74" s="91"/>
      <c r="CD74" s="91"/>
      <c r="CE74" s="91"/>
      <c r="CF74" s="91"/>
      <c r="CG74" s="91"/>
      <c r="CH74" s="91"/>
      <c r="CI74" s="91"/>
      <c r="CJ74" s="91"/>
      <c r="CK74" s="91"/>
      <c r="CL74" s="91"/>
      <c r="CM74" s="91"/>
      <c r="CN74" s="91"/>
      <c r="CO74" s="91"/>
      <c r="CP74" s="91"/>
      <c r="CQ74" s="91"/>
      <c r="CR74" s="91"/>
      <c r="CS74" s="91"/>
      <c r="CT74" s="91"/>
    </row>
    <row r="75" spans="1:98" ht="15.75" customHeight="1">
      <c r="A75" s="3" t="s">
        <v>102</v>
      </c>
      <c r="B75" s="79" t="s">
        <v>90</v>
      </c>
      <c r="C75" s="3">
        <f t="shared" ref="C75:D75" si="101">C76/C22*10^6</f>
        <v>0</v>
      </c>
      <c r="D75" s="3">
        <f t="shared" ref="D75:E75" si="102">D76/D22*10^6</f>
        <v>0</v>
      </c>
      <c r="E75" s="3">
        <f t="shared" si="102"/>
        <v>0</v>
      </c>
      <c r="F75" s="3">
        <f t="shared" ref="F75:K75" si="103">F76/F22*10^6</f>
        <v>0</v>
      </c>
      <c r="G75" s="3">
        <f t="shared" si="103"/>
        <v>0</v>
      </c>
      <c r="H75" s="3">
        <f t="shared" si="103"/>
        <v>0</v>
      </c>
      <c r="I75" s="3">
        <f t="shared" si="103"/>
        <v>0</v>
      </c>
      <c r="J75" s="3">
        <f t="shared" si="103"/>
        <v>0</v>
      </c>
      <c r="K75" s="3">
        <f t="shared" si="103"/>
        <v>0</v>
      </c>
      <c r="L75" s="3">
        <f t="shared" ref="L75:AC75" si="104">L76/L22*10^6</f>
        <v>0</v>
      </c>
      <c r="M75" s="3">
        <f t="shared" si="104"/>
        <v>0</v>
      </c>
      <c r="N75" s="3">
        <f t="shared" si="104"/>
        <v>0</v>
      </c>
      <c r="O75" s="3">
        <f t="shared" si="104"/>
        <v>0</v>
      </c>
      <c r="P75" s="3">
        <f t="shared" si="104"/>
        <v>0</v>
      </c>
      <c r="Q75" s="3">
        <f t="shared" si="104"/>
        <v>0</v>
      </c>
      <c r="R75" s="3">
        <f t="shared" si="104"/>
        <v>0</v>
      </c>
      <c r="S75" s="3">
        <f t="shared" si="104"/>
        <v>0</v>
      </c>
      <c r="T75" s="3">
        <f t="shared" si="104"/>
        <v>0</v>
      </c>
      <c r="U75" s="3">
        <f t="shared" si="104"/>
        <v>0</v>
      </c>
      <c r="V75" s="3">
        <f t="shared" si="104"/>
        <v>0</v>
      </c>
      <c r="W75" s="3">
        <f t="shared" si="104"/>
        <v>0</v>
      </c>
      <c r="X75" s="3">
        <f t="shared" si="104"/>
        <v>0</v>
      </c>
      <c r="Y75" s="3">
        <f t="shared" si="104"/>
        <v>0</v>
      </c>
      <c r="Z75" s="3">
        <f t="shared" si="104"/>
        <v>0</v>
      </c>
      <c r="AA75" s="3">
        <f t="shared" si="104"/>
        <v>0</v>
      </c>
      <c r="AB75" s="3">
        <f t="shared" si="104"/>
        <v>0</v>
      </c>
      <c r="AC75" s="3">
        <f t="shared" si="104"/>
        <v>0</v>
      </c>
      <c r="AD75" s="3">
        <f t="shared" ref="AD75:CN75" si="105">AD76/AD22*10^6</f>
        <v>0</v>
      </c>
      <c r="AE75" s="3">
        <f t="shared" si="105"/>
        <v>0</v>
      </c>
      <c r="AF75" s="3">
        <f t="shared" si="105"/>
        <v>0</v>
      </c>
      <c r="AG75" s="3">
        <f t="shared" si="105"/>
        <v>0</v>
      </c>
      <c r="AH75" s="3">
        <f t="shared" si="105"/>
        <v>0</v>
      </c>
      <c r="AI75" s="3">
        <f t="shared" si="105"/>
        <v>0</v>
      </c>
      <c r="AJ75" s="3">
        <f t="shared" si="105"/>
        <v>0</v>
      </c>
      <c r="AK75" s="3">
        <f t="shared" si="105"/>
        <v>0</v>
      </c>
      <c r="AL75" s="3">
        <f t="shared" si="105"/>
        <v>0</v>
      </c>
      <c r="AM75" s="3">
        <f t="shared" si="105"/>
        <v>0</v>
      </c>
      <c r="AN75" s="3">
        <f t="shared" si="105"/>
        <v>0</v>
      </c>
      <c r="AO75" s="3">
        <f t="shared" si="105"/>
        <v>0</v>
      </c>
      <c r="AP75" s="3">
        <f t="shared" si="105"/>
        <v>0</v>
      </c>
      <c r="AQ75" s="3">
        <f t="shared" si="105"/>
        <v>0</v>
      </c>
      <c r="AR75" s="3">
        <f t="shared" si="105"/>
        <v>0</v>
      </c>
      <c r="AS75" s="3">
        <f t="shared" si="105"/>
        <v>0</v>
      </c>
      <c r="AT75" s="3">
        <f t="shared" si="105"/>
        <v>0</v>
      </c>
      <c r="AU75" s="3">
        <f t="shared" si="105"/>
        <v>0</v>
      </c>
      <c r="AV75" s="3">
        <f t="shared" si="105"/>
        <v>0</v>
      </c>
      <c r="AW75" s="3">
        <f t="shared" si="105"/>
        <v>0</v>
      </c>
      <c r="AX75" s="3">
        <f t="shared" si="105"/>
        <v>0</v>
      </c>
      <c r="AY75" s="3">
        <f t="shared" si="105"/>
        <v>0</v>
      </c>
      <c r="AZ75" s="3">
        <f t="shared" si="105"/>
        <v>0</v>
      </c>
      <c r="BA75" s="3">
        <f t="shared" si="105"/>
        <v>0</v>
      </c>
      <c r="BB75" s="3">
        <f t="shared" si="105"/>
        <v>0</v>
      </c>
      <c r="BC75" s="3">
        <f t="shared" si="105"/>
        <v>0</v>
      </c>
      <c r="BD75" s="3">
        <f t="shared" si="105"/>
        <v>0</v>
      </c>
      <c r="BE75" s="3">
        <f t="shared" si="105"/>
        <v>0</v>
      </c>
      <c r="BF75" s="3">
        <f t="shared" si="105"/>
        <v>0</v>
      </c>
      <c r="BG75" s="3">
        <f t="shared" si="105"/>
        <v>0</v>
      </c>
      <c r="BH75" s="3">
        <f t="shared" si="105"/>
        <v>0</v>
      </c>
      <c r="BI75" s="3">
        <f t="shared" si="105"/>
        <v>0</v>
      </c>
      <c r="BJ75" s="3">
        <f t="shared" si="105"/>
        <v>0</v>
      </c>
      <c r="BK75" s="3">
        <f t="shared" si="105"/>
        <v>0</v>
      </c>
      <c r="BL75" s="3">
        <f t="shared" si="105"/>
        <v>0</v>
      </c>
      <c r="BM75" s="3">
        <f t="shared" si="105"/>
        <v>0</v>
      </c>
      <c r="BN75" s="3">
        <f t="shared" si="105"/>
        <v>0</v>
      </c>
      <c r="BO75" s="3">
        <f t="shared" si="105"/>
        <v>0</v>
      </c>
      <c r="BP75" s="3">
        <f t="shared" si="105"/>
        <v>0</v>
      </c>
      <c r="BQ75" s="3">
        <f t="shared" si="105"/>
        <v>0</v>
      </c>
      <c r="BR75" s="3">
        <f t="shared" si="105"/>
        <v>0</v>
      </c>
      <c r="BS75" s="3">
        <f t="shared" si="105"/>
        <v>0</v>
      </c>
      <c r="BT75" s="3">
        <f t="shared" si="105"/>
        <v>0</v>
      </c>
      <c r="BU75" s="3">
        <f t="shared" si="105"/>
        <v>0</v>
      </c>
      <c r="BV75" s="3">
        <f t="shared" si="105"/>
        <v>0</v>
      </c>
      <c r="BW75" s="3">
        <f t="shared" si="105"/>
        <v>0</v>
      </c>
      <c r="BX75" s="3">
        <f t="shared" si="105"/>
        <v>0</v>
      </c>
      <c r="BY75" s="3">
        <f t="shared" si="105"/>
        <v>0</v>
      </c>
      <c r="BZ75" s="3">
        <f t="shared" si="105"/>
        <v>0</v>
      </c>
      <c r="CA75" s="3">
        <f t="shared" si="105"/>
        <v>0</v>
      </c>
      <c r="CB75" s="3">
        <f t="shared" si="105"/>
        <v>0</v>
      </c>
      <c r="CC75" s="3">
        <f t="shared" si="105"/>
        <v>0</v>
      </c>
      <c r="CD75" s="3">
        <f t="shared" si="105"/>
        <v>0</v>
      </c>
      <c r="CE75" s="3">
        <f t="shared" si="105"/>
        <v>0</v>
      </c>
      <c r="CF75" s="3">
        <f t="shared" si="105"/>
        <v>0</v>
      </c>
      <c r="CG75" s="3">
        <f t="shared" si="105"/>
        <v>0</v>
      </c>
      <c r="CH75" s="3">
        <f t="shared" si="105"/>
        <v>0</v>
      </c>
      <c r="CI75" s="3">
        <f t="shared" si="105"/>
        <v>0</v>
      </c>
      <c r="CJ75" s="3">
        <f t="shared" si="105"/>
        <v>0</v>
      </c>
      <c r="CK75" s="3">
        <f t="shared" si="105"/>
        <v>0</v>
      </c>
      <c r="CL75" s="3">
        <f t="shared" si="105"/>
        <v>0</v>
      </c>
      <c r="CM75" s="3">
        <f t="shared" si="105"/>
        <v>0</v>
      </c>
      <c r="CN75" s="3">
        <f t="shared" si="105"/>
        <v>0</v>
      </c>
      <c r="CO75" s="3">
        <f t="shared" ref="CO75:CT75" si="106">CO76/CO22*10^6</f>
        <v>0</v>
      </c>
      <c r="CP75" s="3">
        <f t="shared" si="106"/>
        <v>0</v>
      </c>
      <c r="CQ75" s="3">
        <f t="shared" si="106"/>
        <v>0</v>
      </c>
      <c r="CR75" s="3">
        <f t="shared" si="106"/>
        <v>0</v>
      </c>
      <c r="CS75" s="3">
        <f t="shared" si="106"/>
        <v>0</v>
      </c>
      <c r="CT75" s="3">
        <f t="shared" si="106"/>
        <v>0</v>
      </c>
    </row>
    <row r="76" spans="1:98" ht="15.75" customHeight="1">
      <c r="A76" s="3" t="s">
        <v>103</v>
      </c>
      <c r="B76" s="79" t="s">
        <v>95</v>
      </c>
      <c r="C76" s="3">
        <f t="shared" ref="C76:D76" si="107">C16*C17*C20/10^6</f>
        <v>0</v>
      </c>
      <c r="D76" s="3">
        <f t="shared" ref="D76:E76" si="108">D16*D17*D20/10^6</f>
        <v>0</v>
      </c>
      <c r="E76" s="3">
        <f t="shared" si="108"/>
        <v>0</v>
      </c>
      <c r="F76" s="3">
        <f t="shared" ref="F76:K76" si="109">F16*F17*F20/10^6</f>
        <v>0</v>
      </c>
      <c r="G76" s="3">
        <f t="shared" si="109"/>
        <v>0</v>
      </c>
      <c r="H76" s="3">
        <f t="shared" si="109"/>
        <v>0</v>
      </c>
      <c r="I76" s="3">
        <f t="shared" si="109"/>
        <v>0</v>
      </c>
      <c r="J76" s="3">
        <f t="shared" si="109"/>
        <v>0</v>
      </c>
      <c r="K76" s="3">
        <f t="shared" si="109"/>
        <v>0</v>
      </c>
      <c r="L76" s="3">
        <f t="shared" ref="L76:AC76" si="110">L16*L17*L20/10^6</f>
        <v>0</v>
      </c>
      <c r="M76" s="3">
        <f t="shared" si="110"/>
        <v>0</v>
      </c>
      <c r="N76" s="3">
        <f t="shared" si="110"/>
        <v>0</v>
      </c>
      <c r="O76" s="3">
        <f t="shared" si="110"/>
        <v>0</v>
      </c>
      <c r="P76" s="3">
        <f t="shared" si="110"/>
        <v>0</v>
      </c>
      <c r="Q76" s="3">
        <f t="shared" si="110"/>
        <v>0</v>
      </c>
      <c r="R76" s="3">
        <f t="shared" si="110"/>
        <v>0</v>
      </c>
      <c r="S76" s="3">
        <f t="shared" si="110"/>
        <v>0</v>
      </c>
      <c r="T76" s="3">
        <f t="shared" si="110"/>
        <v>0</v>
      </c>
      <c r="U76" s="3">
        <f t="shared" si="110"/>
        <v>0</v>
      </c>
      <c r="V76" s="3">
        <f t="shared" si="110"/>
        <v>0</v>
      </c>
      <c r="W76" s="3">
        <f t="shared" si="110"/>
        <v>0</v>
      </c>
      <c r="X76" s="3">
        <f t="shared" si="110"/>
        <v>0</v>
      </c>
      <c r="Y76" s="3">
        <f t="shared" si="110"/>
        <v>0</v>
      </c>
      <c r="Z76" s="3">
        <f t="shared" si="110"/>
        <v>0</v>
      </c>
      <c r="AA76" s="3">
        <f t="shared" si="110"/>
        <v>0</v>
      </c>
      <c r="AB76" s="3">
        <f t="shared" si="110"/>
        <v>0</v>
      </c>
      <c r="AC76" s="3">
        <f t="shared" si="110"/>
        <v>0</v>
      </c>
      <c r="AD76" s="3">
        <f t="shared" ref="AD76:CN76" si="111">AD16*AD17*AD20/10^6</f>
        <v>0</v>
      </c>
      <c r="AE76" s="3">
        <f t="shared" si="111"/>
        <v>0</v>
      </c>
      <c r="AF76" s="3">
        <f t="shared" si="111"/>
        <v>0</v>
      </c>
      <c r="AG76" s="3">
        <f t="shared" si="111"/>
        <v>0</v>
      </c>
      <c r="AH76" s="3">
        <f t="shared" si="111"/>
        <v>0</v>
      </c>
      <c r="AI76" s="3">
        <f t="shared" si="111"/>
        <v>0</v>
      </c>
      <c r="AJ76" s="3">
        <f t="shared" si="111"/>
        <v>0</v>
      </c>
      <c r="AK76" s="3">
        <f t="shared" si="111"/>
        <v>0</v>
      </c>
      <c r="AL76" s="3">
        <f t="shared" si="111"/>
        <v>0</v>
      </c>
      <c r="AM76" s="3">
        <f t="shared" si="111"/>
        <v>0</v>
      </c>
      <c r="AN76" s="3">
        <f t="shared" si="111"/>
        <v>0</v>
      </c>
      <c r="AO76" s="3">
        <f t="shared" si="111"/>
        <v>0</v>
      </c>
      <c r="AP76" s="3">
        <f t="shared" si="111"/>
        <v>0</v>
      </c>
      <c r="AQ76" s="3">
        <f t="shared" si="111"/>
        <v>0</v>
      </c>
      <c r="AR76" s="3">
        <f t="shared" si="111"/>
        <v>0</v>
      </c>
      <c r="AS76" s="3">
        <f t="shared" si="111"/>
        <v>0</v>
      </c>
      <c r="AT76" s="3">
        <f t="shared" si="111"/>
        <v>0</v>
      </c>
      <c r="AU76" s="3">
        <f t="shared" si="111"/>
        <v>0</v>
      </c>
      <c r="AV76" s="3">
        <f t="shared" si="111"/>
        <v>0</v>
      </c>
      <c r="AW76" s="3">
        <f t="shared" si="111"/>
        <v>0</v>
      </c>
      <c r="AX76" s="3">
        <f t="shared" si="111"/>
        <v>0</v>
      </c>
      <c r="AY76" s="3">
        <f t="shared" si="111"/>
        <v>0</v>
      </c>
      <c r="AZ76" s="3">
        <f t="shared" si="111"/>
        <v>0</v>
      </c>
      <c r="BA76" s="3">
        <f t="shared" si="111"/>
        <v>0</v>
      </c>
      <c r="BB76" s="3">
        <f t="shared" si="111"/>
        <v>0</v>
      </c>
      <c r="BC76" s="3">
        <f t="shared" si="111"/>
        <v>0</v>
      </c>
      <c r="BD76" s="3">
        <f t="shared" si="111"/>
        <v>0</v>
      </c>
      <c r="BE76" s="3">
        <f t="shared" si="111"/>
        <v>0</v>
      </c>
      <c r="BF76" s="3">
        <f t="shared" si="111"/>
        <v>0</v>
      </c>
      <c r="BG76" s="3">
        <f t="shared" si="111"/>
        <v>0</v>
      </c>
      <c r="BH76" s="3">
        <f t="shared" si="111"/>
        <v>0</v>
      </c>
      <c r="BI76" s="3">
        <f t="shared" si="111"/>
        <v>0</v>
      </c>
      <c r="BJ76" s="3">
        <f t="shared" si="111"/>
        <v>0</v>
      </c>
      <c r="BK76" s="3">
        <f t="shared" si="111"/>
        <v>0</v>
      </c>
      <c r="BL76" s="3">
        <f t="shared" si="111"/>
        <v>0</v>
      </c>
      <c r="BM76" s="3">
        <f t="shared" si="111"/>
        <v>0</v>
      </c>
      <c r="BN76" s="3">
        <f t="shared" si="111"/>
        <v>0</v>
      </c>
      <c r="BO76" s="3">
        <f t="shared" si="111"/>
        <v>0</v>
      </c>
      <c r="BP76" s="3">
        <f t="shared" si="111"/>
        <v>0</v>
      </c>
      <c r="BQ76" s="3">
        <f t="shared" si="111"/>
        <v>0</v>
      </c>
      <c r="BR76" s="3">
        <f t="shared" si="111"/>
        <v>0</v>
      </c>
      <c r="BS76" s="3">
        <f t="shared" si="111"/>
        <v>0</v>
      </c>
      <c r="BT76" s="3">
        <f t="shared" si="111"/>
        <v>0</v>
      </c>
      <c r="BU76" s="3">
        <f t="shared" si="111"/>
        <v>0</v>
      </c>
      <c r="BV76" s="3">
        <f t="shared" si="111"/>
        <v>0</v>
      </c>
      <c r="BW76" s="3">
        <f t="shared" si="111"/>
        <v>0</v>
      </c>
      <c r="BX76" s="3">
        <f t="shared" si="111"/>
        <v>0</v>
      </c>
      <c r="BY76" s="3">
        <f t="shared" si="111"/>
        <v>0</v>
      </c>
      <c r="BZ76" s="3">
        <f t="shared" si="111"/>
        <v>0</v>
      </c>
      <c r="CA76" s="3">
        <f t="shared" si="111"/>
        <v>0</v>
      </c>
      <c r="CB76" s="3">
        <f t="shared" si="111"/>
        <v>0</v>
      </c>
      <c r="CC76" s="3">
        <f t="shared" si="111"/>
        <v>0</v>
      </c>
      <c r="CD76" s="3">
        <f t="shared" si="111"/>
        <v>0</v>
      </c>
      <c r="CE76" s="3">
        <f t="shared" si="111"/>
        <v>0</v>
      </c>
      <c r="CF76" s="3">
        <f t="shared" si="111"/>
        <v>0</v>
      </c>
      <c r="CG76" s="3">
        <f t="shared" si="111"/>
        <v>0</v>
      </c>
      <c r="CH76" s="3">
        <f t="shared" si="111"/>
        <v>0</v>
      </c>
      <c r="CI76" s="3">
        <f t="shared" si="111"/>
        <v>0</v>
      </c>
      <c r="CJ76" s="3">
        <f t="shared" si="111"/>
        <v>0</v>
      </c>
      <c r="CK76" s="3">
        <f t="shared" si="111"/>
        <v>0</v>
      </c>
      <c r="CL76" s="3">
        <f t="shared" si="111"/>
        <v>0</v>
      </c>
      <c r="CM76" s="3">
        <f t="shared" si="111"/>
        <v>0</v>
      </c>
      <c r="CN76" s="3">
        <f t="shared" si="111"/>
        <v>0</v>
      </c>
      <c r="CO76" s="3">
        <f t="shared" ref="CO76:CT76" si="112">CO16*CO17*CO20/10^6</f>
        <v>0</v>
      </c>
      <c r="CP76" s="3">
        <f t="shared" si="112"/>
        <v>0</v>
      </c>
      <c r="CQ76" s="3">
        <f t="shared" si="112"/>
        <v>0</v>
      </c>
      <c r="CR76" s="3">
        <f t="shared" si="112"/>
        <v>0</v>
      </c>
      <c r="CS76" s="3">
        <f t="shared" si="112"/>
        <v>0</v>
      </c>
      <c r="CT76" s="3">
        <f t="shared" si="112"/>
        <v>0</v>
      </c>
    </row>
    <row r="77" spans="1:98" ht="15.75" customHeight="1">
      <c r="A77" s="3"/>
      <c r="B77" s="79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  <row r="78" spans="1:98" ht="15.75" customHeight="1">
      <c r="A78" s="3" t="s">
        <v>104</v>
      </c>
      <c r="B78" s="79"/>
      <c r="C78" s="3" t="e">
        <f>SUM(C71,C68,C63,C60,C57,C53)</f>
        <v>#DIV/0!</v>
      </c>
      <c r="D78" s="3" t="e">
        <f>SUM(D71,D68,D63,D60,D57,D53)</f>
        <v>#DIV/0!</v>
      </c>
      <c r="E78" s="3" t="e">
        <f>SUM(E71,E68,E63,E60,E57,E53)</f>
        <v>#DIV/0!</v>
      </c>
      <c r="F78" s="3" t="e">
        <f>SUM(F71,F68,F63,F60,F57,F53)</f>
        <v>#DIV/0!</v>
      </c>
      <c r="G78" s="3" t="e">
        <f>SUM(G71,G68,G63,G60,G57,G53)</f>
        <v>#DIV/0!</v>
      </c>
      <c r="H78" s="3" t="e">
        <f>SUM(H71,H68,H63,H60,H57,H53)</f>
        <v>#DIV/0!</v>
      </c>
      <c r="I78" s="3" t="e">
        <f>SUM(I71,I68,I63,I60,I57,I53)</f>
        <v>#DIV/0!</v>
      </c>
      <c r="J78" s="3" t="e">
        <f>SUM(J71,J68,J63,J60,J57,J53)</f>
        <v>#DIV/0!</v>
      </c>
      <c r="K78" s="3" t="e">
        <f>SUM(K71,K68,K63,K60,K57,K53)</f>
        <v>#DIV/0!</v>
      </c>
      <c r="L78" s="3" t="e">
        <f>SUM(L71,L68,L63,L60,L57,L53)</f>
        <v>#DIV/0!</v>
      </c>
      <c r="M78" s="3" t="e">
        <f>SUM(M71,M68,M63,M60,M57,M53)</f>
        <v>#DIV/0!</v>
      </c>
      <c r="N78" s="3" t="e">
        <f>SUM(N71,N68,N63,N60,N57,N53)</f>
        <v>#DIV/0!</v>
      </c>
      <c r="O78" s="3" t="e">
        <f>SUM(O71,O68,O63,O60,O57,O53)</f>
        <v>#DIV/0!</v>
      </c>
      <c r="P78" s="3" t="e">
        <f>SUM(P71,P68,P63,P60,P57,P53)</f>
        <v>#DIV/0!</v>
      </c>
      <c r="Q78" s="3" t="e">
        <f>SUM(Q71,Q68,Q63,Q60,Q57,Q53)</f>
        <v>#DIV/0!</v>
      </c>
      <c r="R78" s="3" t="e">
        <f>SUM(R71,R68,R63,R60,R57,R53)</f>
        <v>#DIV/0!</v>
      </c>
      <c r="S78" s="3" t="e">
        <f>SUM(S71,S68,S63,S60,S57,S53)</f>
        <v>#DIV/0!</v>
      </c>
      <c r="T78" s="3" t="e">
        <f>SUM(T71,T68,T63,T60,T57,T53)</f>
        <v>#DIV/0!</v>
      </c>
      <c r="U78" s="3" t="e">
        <f>SUM(U71,U68,U63,U60,U57,U53)</f>
        <v>#DIV/0!</v>
      </c>
      <c r="V78" s="3" t="e">
        <f>SUM(V71,V68,V63,V60,V57,V53)</f>
        <v>#DIV/0!</v>
      </c>
      <c r="W78" s="3" t="e">
        <f>SUM(W71,W68,W63,W60,W57,W53)</f>
        <v>#DIV/0!</v>
      </c>
      <c r="X78" s="3" t="e">
        <f>SUM(X71,X68,X63,X60,X57,X53)</f>
        <v>#DIV/0!</v>
      </c>
      <c r="Y78" s="3" t="e">
        <f>SUM(Y71,Y68,Y63,Y60,Y57,Y53)</f>
        <v>#DIV/0!</v>
      </c>
      <c r="Z78" s="3" t="e">
        <f>SUM(Z71,Z68,Z63,Z60,Z57,Z53)</f>
        <v>#DIV/0!</v>
      </c>
      <c r="AA78" s="3" t="e">
        <f>SUM(AA71,AA68,AA63,AA60,AA57,AA53)</f>
        <v>#DIV/0!</v>
      </c>
      <c r="AB78" s="3" t="e">
        <f>SUM(AB71,AB68,AB63,AB60,AB57,AB53)</f>
        <v>#DIV/0!</v>
      </c>
      <c r="AC78" s="3" t="e">
        <f>SUM(AC71,AC68,AC63,AC60,AC57,AC53)</f>
        <v>#DIV/0!</v>
      </c>
      <c r="AD78" s="3" t="e">
        <f>SUM(AD71,AD68,AD63,AD60,AD57,AD53)</f>
        <v>#DIV/0!</v>
      </c>
      <c r="AE78" s="3" t="e">
        <f>SUM(AE71,AE68,AE63,AE60,AE57,AE53)</f>
        <v>#DIV/0!</v>
      </c>
      <c r="AF78" s="3" t="e">
        <f>SUM(AF71,AF68,AF63,AF60,AF57,AF53)</f>
        <v>#DIV/0!</v>
      </c>
      <c r="AG78" s="3" t="e">
        <f>SUM(AG71,AG68,AG63,AG60,AG57,AG53)</f>
        <v>#DIV/0!</v>
      </c>
      <c r="AH78" s="3" t="e">
        <f>SUM(AH71,AH68,AH63,AH60,AH57,AH53)</f>
        <v>#DIV/0!</v>
      </c>
      <c r="AI78" s="3" t="e">
        <f>SUM(AI71,AI68,AI63,AI60,AI57,AI53)</f>
        <v>#DIV/0!</v>
      </c>
      <c r="AJ78" s="3" t="e">
        <f>SUM(AJ71,AJ68,AJ63,AJ60,AJ57,AJ53)</f>
        <v>#DIV/0!</v>
      </c>
      <c r="AK78" s="3" t="e">
        <f>SUM(AK71,AK68,AK63,AK60,AK57,AK53)</f>
        <v>#DIV/0!</v>
      </c>
      <c r="AL78" s="3" t="e">
        <f>SUM(AL71,AL68,AL63,AL60,AL57,AL53)</f>
        <v>#DIV/0!</v>
      </c>
      <c r="AM78" s="3" t="e">
        <f>SUM(AM71,AM68,AM63,AM60,AM57,AM53)</f>
        <v>#DIV/0!</v>
      </c>
      <c r="AN78" s="3" t="e">
        <f>SUM(AN71,AN68,AN63,AN60,AN57,AN53)</f>
        <v>#DIV/0!</v>
      </c>
      <c r="AO78" s="3" t="e">
        <f>SUM(AO71,AO68,AO63,AO60,AO57,AO53)</f>
        <v>#DIV/0!</v>
      </c>
      <c r="AP78" s="3" t="e">
        <f>SUM(AP71,AP68,AP63,AP60,AP57,AP53)</f>
        <v>#DIV/0!</v>
      </c>
      <c r="AQ78" s="3" t="e">
        <f>SUM(AQ71,AQ68,AQ63,AQ60,AQ57,AQ53)</f>
        <v>#DIV/0!</v>
      </c>
      <c r="AR78" s="3" t="e">
        <f>SUM(AR71,AR68,AR63,AR60,AR57,AR53)</f>
        <v>#DIV/0!</v>
      </c>
      <c r="AS78" s="3" t="e">
        <f>SUM(AS71,AS68,AS63,AS60,AS57,AS53)</f>
        <v>#DIV/0!</v>
      </c>
      <c r="AT78" s="3" t="e">
        <f>SUM(AT71,AT68,AT63,AT60,AT57,AT53)</f>
        <v>#DIV/0!</v>
      </c>
      <c r="AU78" s="3" t="e">
        <f>SUM(AU71,AU68,AU63,AU60,AU57,AU53)</f>
        <v>#DIV/0!</v>
      </c>
      <c r="AV78" s="3" t="e">
        <f>SUM(AV71,AV68,AV63,AV60,AV57,AV53)</f>
        <v>#DIV/0!</v>
      </c>
      <c r="AW78" s="3" t="e">
        <f>SUM(AW71,AW68,AW63,AW60,AW57,AW53)</f>
        <v>#DIV/0!</v>
      </c>
      <c r="AX78" s="3" t="e">
        <f>SUM(AX71,AX68,AX63,AX60,AX57,AX53)</f>
        <v>#DIV/0!</v>
      </c>
      <c r="AY78" s="3" t="e">
        <f>SUM(AY71,AY68,AY63,AY60,AY57,AY53)</f>
        <v>#DIV/0!</v>
      </c>
      <c r="AZ78" s="3" t="e">
        <f>SUM(AZ71,AZ68,AZ63,AZ60,AZ57,AZ53)</f>
        <v>#DIV/0!</v>
      </c>
      <c r="BA78" s="3" t="e">
        <f>SUM(BA71,BA68,BA63,BA60,BA57,BA53)</f>
        <v>#DIV/0!</v>
      </c>
      <c r="BB78" s="3" t="e">
        <f>SUM(BB71,BB68,BB63,BB60,BB57,BB53)</f>
        <v>#DIV/0!</v>
      </c>
      <c r="BC78" s="3" t="e">
        <f>SUM(BC71,BC68,BC63,BC60,BC57,BC53)</f>
        <v>#DIV/0!</v>
      </c>
      <c r="BD78" s="3" t="e">
        <f>SUM(BD71,BD68,BD63,BD60,BD57,BD53)</f>
        <v>#DIV/0!</v>
      </c>
      <c r="BE78" s="3" t="e">
        <f>SUM(BE71,BE68,BE63,BE60,BE57,BE53)</f>
        <v>#DIV/0!</v>
      </c>
      <c r="BF78" s="3" t="e">
        <f>SUM(BF71,BF68,BF63,BF60,BF57,BF53)</f>
        <v>#DIV/0!</v>
      </c>
      <c r="BG78" s="3" t="e">
        <f>SUM(BG71,BG68,BG63,BG60,BG57,BG53)</f>
        <v>#DIV/0!</v>
      </c>
      <c r="BH78" s="3" t="e">
        <f>SUM(BH71,BH68,BH63,BH60,BH57,BH53)</f>
        <v>#DIV/0!</v>
      </c>
      <c r="BI78" s="3" t="e">
        <f>SUM(BI71,BI68,BI63,BI60,BI57,BI53)</f>
        <v>#DIV/0!</v>
      </c>
      <c r="BJ78" s="3" t="e">
        <f>SUM(BJ71,BJ68,BJ63,BJ60,BJ57,BJ53)</f>
        <v>#DIV/0!</v>
      </c>
      <c r="BK78" s="3" t="e">
        <f>SUM(BK71,BK68,BK63,BK60,BK57,BK53)</f>
        <v>#DIV/0!</v>
      </c>
      <c r="BL78" s="3" t="e">
        <f>SUM(BL71,BL68,BL63,BL60,BL57,BL53)</f>
        <v>#DIV/0!</v>
      </c>
      <c r="BM78" s="3" t="e">
        <f>SUM(BM71,BM68,BM63,BM60,BM57,BM53)</f>
        <v>#DIV/0!</v>
      </c>
      <c r="BN78" s="3" t="e">
        <f>SUM(BN71,BN68,BN63,BN60,BN57,BN53)</f>
        <v>#DIV/0!</v>
      </c>
      <c r="BO78" s="3" t="e">
        <f>SUM(BO71,BO68,BO63,BO60,BO57,BO53)</f>
        <v>#DIV/0!</v>
      </c>
      <c r="BP78" s="3" t="e">
        <f>SUM(BP71,BP68,BP63,BP60,BP57,BP53)</f>
        <v>#DIV/0!</v>
      </c>
      <c r="BQ78" s="3" t="e">
        <f>SUM(BQ71,BQ68,BQ63,BQ60,BQ57,BQ53)</f>
        <v>#DIV/0!</v>
      </c>
      <c r="BR78" s="3" t="e">
        <f>SUM(BR71,BR68,BR63,BR60,BR57,BR53)</f>
        <v>#DIV/0!</v>
      </c>
      <c r="BS78" s="3" t="e">
        <f>SUM(BS71,BS68,BS63,BS60,BS57,BS53)</f>
        <v>#DIV/0!</v>
      </c>
      <c r="BT78" s="3" t="e">
        <f>SUM(BT71,BT68,BT63,BT60,BT57,BT53)</f>
        <v>#DIV/0!</v>
      </c>
      <c r="BU78" s="3" t="e">
        <f>SUM(BU71,BU68,BU63,BU60,BU57,BU53)</f>
        <v>#DIV/0!</v>
      </c>
      <c r="BV78" s="3" t="e">
        <f>SUM(BV71,BV68,BV63,BV60,BV57,BV53)</f>
        <v>#DIV/0!</v>
      </c>
      <c r="BW78" s="3" t="e">
        <f>SUM(BW71,BW68,BW63,BW60,BW57,BW53)</f>
        <v>#DIV/0!</v>
      </c>
      <c r="BX78" s="3" t="e">
        <f>SUM(BX71,BX68,BX63,BX60,BX57,BX53)</f>
        <v>#DIV/0!</v>
      </c>
      <c r="BY78" s="3" t="e">
        <f>SUM(BY71,BY68,BY63,BY60,BY57,BY53)</f>
        <v>#DIV/0!</v>
      </c>
      <c r="BZ78" s="3" t="e">
        <f>SUM(BZ71,BZ68,BZ63,BZ60,BZ57,BZ53)</f>
        <v>#DIV/0!</v>
      </c>
      <c r="CA78" s="3" t="e">
        <f>SUM(CA71,CA68,CA63,CA60,CA57,CA53)</f>
        <v>#DIV/0!</v>
      </c>
      <c r="CB78" s="3" t="e">
        <f>SUM(CB71,CB68,CB63,CB60,CB57,CB53)</f>
        <v>#DIV/0!</v>
      </c>
      <c r="CC78" s="3" t="e">
        <f>SUM(CC71,CC68,CC63,CC60,CC57,CC53)</f>
        <v>#DIV/0!</v>
      </c>
      <c r="CD78" s="3" t="e">
        <f>SUM(CD71,CD68,CD63,CD60,CD57,CD53)</f>
        <v>#DIV/0!</v>
      </c>
      <c r="CE78" s="3" t="e">
        <f>SUM(CE71,CE68,CE63,CE60,CE57,CE53)</f>
        <v>#DIV/0!</v>
      </c>
      <c r="CF78" s="3" t="e">
        <f>SUM(CF71,CF68,CF63,CF60,CF57,CF53)</f>
        <v>#DIV/0!</v>
      </c>
      <c r="CG78" s="3" t="e">
        <f>SUM(CG71,CG68,CG63,CG60,CG57,CG53)</f>
        <v>#DIV/0!</v>
      </c>
      <c r="CH78" s="3" t="e">
        <f>SUM(CH71,CH68,CH63,CH60,CH57,CH53)</f>
        <v>#DIV/0!</v>
      </c>
      <c r="CI78" s="3" t="e">
        <f>SUM(CI71,CI68,CI63,CI60,CI57,CI53)</f>
        <v>#DIV/0!</v>
      </c>
      <c r="CJ78" s="3" t="e">
        <f>SUM(CJ71,CJ68,CJ63,CJ60,CJ57,CJ53)</f>
        <v>#DIV/0!</v>
      </c>
      <c r="CK78" s="3" t="e">
        <f>SUM(CK71,CK68,CK63,CK60,CK57,CK53)</f>
        <v>#DIV/0!</v>
      </c>
      <c r="CL78" s="3" t="e">
        <f>SUM(CL71,CL68,CL63,CL60,CL57,CL53)</f>
        <v>#DIV/0!</v>
      </c>
      <c r="CM78" s="3" t="e">
        <f>SUM(CM71,CM68,CM63,CM60,CM57,CM53)</f>
        <v>#DIV/0!</v>
      </c>
      <c r="CN78" s="3" t="e">
        <f>SUM(CN71,CN68,CN63,CN60,CN57,CN53)</f>
        <v>#DIV/0!</v>
      </c>
      <c r="CO78" s="3" t="e">
        <f>SUM(CO71,CO68,CO63,CO60,CO57,CO53)</f>
        <v>#DIV/0!</v>
      </c>
      <c r="CP78" s="3" t="e">
        <f>SUM(CP71,CP68,CP63,CP60,CP57,CP53)</f>
        <v>#DIV/0!</v>
      </c>
      <c r="CQ78" s="3" t="e">
        <f>SUM(CQ71,CQ68,CQ63,CQ60,CQ57,CQ53)</f>
        <v>#DIV/0!</v>
      </c>
      <c r="CR78" s="3" t="e">
        <f>SUM(CR71,CR68,CR63,CR60,CR57,CR53)</f>
        <v>#DIV/0!</v>
      </c>
      <c r="CS78" s="3" t="e">
        <f>SUM(CS71,CS68,CS63,CS60,CS57,CS53)</f>
        <v>#DIV/0!</v>
      </c>
      <c r="CT78" s="3" t="e">
        <f>SUM(CT71,CT68,CT63,CT60,CT57,CT53)</f>
        <v>#DIV/0!</v>
      </c>
    </row>
    <row r="79" spans="1:98" ht="15.75" customHeight="1">
      <c r="A79" s="3"/>
      <c r="B79" s="79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</row>
    <row r="80" spans="1:98" ht="15" customHeight="1" thickBot="1">
      <c r="A80" s="88" t="s">
        <v>105</v>
      </c>
      <c r="B80" s="5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  <c r="AA80" s="72"/>
      <c r="AB80" s="72"/>
      <c r="AC80" s="72"/>
      <c r="AD80" s="72"/>
      <c r="AE80" s="72"/>
      <c r="AF80" s="72"/>
      <c r="AG80" s="72"/>
      <c r="AH80" s="72"/>
      <c r="AI80" s="72"/>
      <c r="AJ80" s="72"/>
      <c r="AK80" s="72"/>
      <c r="AL80" s="72"/>
      <c r="AM80" s="72"/>
      <c r="AN80" s="72"/>
      <c r="AO80" s="72"/>
      <c r="AP80" s="72"/>
      <c r="AQ80" s="72"/>
      <c r="AR80" s="72"/>
      <c r="AS80" s="72"/>
      <c r="AT80" s="72"/>
      <c r="AU80" s="72"/>
      <c r="AV80" s="72"/>
      <c r="AW80" s="72"/>
      <c r="AX80" s="72"/>
      <c r="AY80" s="72"/>
      <c r="AZ80" s="72"/>
      <c r="BA80" s="72"/>
      <c r="BB80" s="72"/>
      <c r="BC80" s="72"/>
      <c r="BD80" s="72"/>
      <c r="BE80" s="72"/>
      <c r="BF80" s="72"/>
      <c r="BG80" s="72"/>
      <c r="BH80" s="72"/>
      <c r="BI80" s="72"/>
      <c r="BJ80" s="72"/>
      <c r="BK80" s="72"/>
      <c r="BL80" s="72"/>
      <c r="BM80" s="72"/>
      <c r="BN80" s="72"/>
      <c r="BO80" s="72"/>
      <c r="BP80" s="72"/>
      <c r="BQ80" s="72"/>
      <c r="BR80" s="72"/>
      <c r="BS80" s="72"/>
      <c r="BT80" s="72"/>
      <c r="BU80" s="72"/>
      <c r="BV80" s="72"/>
      <c r="BW80" s="72"/>
      <c r="BX80" s="72"/>
      <c r="BY80" s="72"/>
      <c r="BZ80" s="72"/>
      <c r="CA80" s="72"/>
      <c r="CB80" s="72"/>
      <c r="CC80" s="72"/>
      <c r="CD80" s="72"/>
      <c r="CE80" s="72"/>
      <c r="CF80" s="72"/>
      <c r="CG80" s="72"/>
      <c r="CH80" s="72"/>
      <c r="CI80" s="72"/>
      <c r="CJ80" s="72"/>
      <c r="CK80" s="72"/>
      <c r="CL80" s="72"/>
      <c r="CM80" s="72"/>
      <c r="CN80" s="72"/>
      <c r="CO80" s="72"/>
      <c r="CP80" s="72"/>
      <c r="CQ80" s="72"/>
      <c r="CR80" s="72"/>
      <c r="CS80" s="72"/>
      <c r="CT80" s="72"/>
    </row>
    <row r="81" spans="1:98" ht="14.25" customHeight="1">
      <c r="A81" s="27" t="s">
        <v>106</v>
      </c>
      <c r="B81" s="28" t="s">
        <v>107</v>
      </c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69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  <c r="BQ81" s="69"/>
      <c r="BR81" s="69"/>
      <c r="BS81" s="69"/>
      <c r="BT81" s="69"/>
      <c r="BU81" s="69"/>
      <c r="BV81" s="69"/>
      <c r="BW81" s="69"/>
      <c r="BX81" s="69"/>
      <c r="BY81" s="69"/>
      <c r="BZ81" s="69"/>
      <c r="CA81" s="69"/>
      <c r="CB81" s="69"/>
      <c r="CC81" s="69"/>
      <c r="CD81" s="69"/>
      <c r="CE81" s="69"/>
      <c r="CF81" s="69"/>
      <c r="CG81" s="69"/>
      <c r="CH81" s="69"/>
      <c r="CI81" s="69"/>
      <c r="CJ81" s="69"/>
      <c r="CK81" s="69"/>
      <c r="CL81" s="69"/>
      <c r="CM81" s="69"/>
      <c r="CN81" s="69"/>
      <c r="CO81" s="69"/>
      <c r="CP81" s="69"/>
      <c r="CQ81" s="69"/>
      <c r="CR81" s="69"/>
      <c r="CS81" s="69"/>
      <c r="CT81" s="69"/>
    </row>
    <row r="82" spans="1:98" ht="14.25" customHeight="1">
      <c r="A82" s="29" t="s">
        <v>108</v>
      </c>
      <c r="B82" s="30" t="s">
        <v>107</v>
      </c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  <c r="AD82" s="70"/>
      <c r="AE82" s="70"/>
      <c r="AF82" s="70"/>
      <c r="AG82" s="70"/>
      <c r="AH82" s="70"/>
      <c r="AI82" s="70"/>
      <c r="AJ82" s="70"/>
      <c r="AK82" s="70"/>
      <c r="AL82" s="70"/>
      <c r="AM82" s="70"/>
      <c r="AN82" s="70"/>
      <c r="AO82" s="70"/>
      <c r="AP82" s="70"/>
      <c r="AQ82" s="70"/>
      <c r="AR82" s="70"/>
      <c r="AS82" s="70"/>
      <c r="AT82" s="70"/>
      <c r="AU82" s="70"/>
      <c r="AV82" s="70"/>
      <c r="AW82" s="70"/>
      <c r="AX82" s="70"/>
      <c r="AY82" s="70"/>
      <c r="AZ82" s="70"/>
      <c r="BA82" s="70"/>
      <c r="BB82" s="70"/>
      <c r="BC82" s="70"/>
      <c r="BD82" s="70"/>
      <c r="BE82" s="70"/>
      <c r="BF82" s="70"/>
      <c r="BG82" s="70"/>
      <c r="BH82" s="70"/>
      <c r="BI82" s="70"/>
      <c r="BJ82" s="70"/>
      <c r="BK82" s="70"/>
      <c r="BL82" s="70"/>
      <c r="BM82" s="70"/>
      <c r="BN82" s="70"/>
      <c r="BO82" s="70"/>
      <c r="BP82" s="70"/>
      <c r="BQ82" s="70"/>
      <c r="BR82" s="70"/>
      <c r="BS82" s="70"/>
      <c r="BT82" s="70"/>
      <c r="BU82" s="70"/>
      <c r="BV82" s="70"/>
      <c r="BW82" s="70"/>
      <c r="BX82" s="70"/>
      <c r="BY82" s="70"/>
      <c r="BZ82" s="70"/>
      <c r="CA82" s="70"/>
      <c r="CB82" s="70"/>
      <c r="CC82" s="70"/>
      <c r="CD82" s="70"/>
      <c r="CE82" s="70"/>
      <c r="CF82" s="70"/>
      <c r="CG82" s="70"/>
      <c r="CH82" s="70"/>
      <c r="CI82" s="70"/>
      <c r="CJ82" s="70"/>
      <c r="CK82" s="70"/>
      <c r="CL82" s="70"/>
      <c r="CM82" s="70"/>
      <c r="CN82" s="70"/>
      <c r="CO82" s="70"/>
      <c r="CP82" s="70"/>
      <c r="CQ82" s="70"/>
      <c r="CR82" s="70"/>
      <c r="CS82" s="70"/>
      <c r="CT82" s="70"/>
    </row>
    <row r="83" spans="1:98" ht="14.25" customHeight="1">
      <c r="A83" s="29" t="s">
        <v>109</v>
      </c>
      <c r="B83" s="30" t="s">
        <v>107</v>
      </c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  <c r="AD83" s="70"/>
      <c r="AE83" s="70"/>
      <c r="AF83" s="70"/>
      <c r="AG83" s="70"/>
      <c r="AH83" s="70"/>
      <c r="AI83" s="70"/>
      <c r="AJ83" s="70"/>
      <c r="AK83" s="70"/>
      <c r="AL83" s="70"/>
      <c r="AM83" s="70"/>
      <c r="AN83" s="70"/>
      <c r="AO83" s="70"/>
      <c r="AP83" s="70"/>
      <c r="AQ83" s="70"/>
      <c r="AR83" s="70"/>
      <c r="AS83" s="70"/>
      <c r="AT83" s="70"/>
      <c r="AU83" s="70"/>
      <c r="AV83" s="70"/>
      <c r="AW83" s="70"/>
      <c r="AX83" s="70"/>
      <c r="AY83" s="70"/>
      <c r="AZ83" s="70"/>
      <c r="BA83" s="70"/>
      <c r="BB83" s="70"/>
      <c r="BC83" s="70"/>
      <c r="BD83" s="70"/>
      <c r="BE83" s="70"/>
      <c r="BF83" s="70"/>
      <c r="BG83" s="70"/>
      <c r="BH83" s="70"/>
      <c r="BI83" s="70"/>
      <c r="BJ83" s="70"/>
      <c r="BK83" s="70"/>
      <c r="BL83" s="70"/>
      <c r="BM83" s="70"/>
      <c r="BN83" s="70"/>
      <c r="BO83" s="70"/>
      <c r="BP83" s="70"/>
      <c r="BQ83" s="70"/>
      <c r="BR83" s="70"/>
      <c r="BS83" s="70"/>
      <c r="BT83" s="70"/>
      <c r="BU83" s="70"/>
      <c r="BV83" s="70"/>
      <c r="BW83" s="70"/>
      <c r="BX83" s="70"/>
      <c r="BY83" s="70"/>
      <c r="BZ83" s="70"/>
      <c r="CA83" s="70"/>
      <c r="CB83" s="70"/>
      <c r="CC83" s="70"/>
      <c r="CD83" s="70"/>
      <c r="CE83" s="70"/>
      <c r="CF83" s="70"/>
      <c r="CG83" s="70"/>
      <c r="CH83" s="70"/>
      <c r="CI83" s="70"/>
      <c r="CJ83" s="70"/>
      <c r="CK83" s="70"/>
      <c r="CL83" s="70"/>
      <c r="CM83" s="70"/>
      <c r="CN83" s="70"/>
      <c r="CO83" s="70"/>
      <c r="CP83" s="70"/>
      <c r="CQ83" s="70"/>
      <c r="CR83" s="70"/>
      <c r="CS83" s="70"/>
      <c r="CT83" s="70"/>
    </row>
    <row r="84" spans="1:98" ht="15" customHeight="1" thickBot="1">
      <c r="A84" s="32" t="s">
        <v>110</v>
      </c>
      <c r="B84" s="33" t="s">
        <v>107</v>
      </c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  <c r="AA84" s="71"/>
      <c r="AB84" s="71"/>
      <c r="AC84" s="71"/>
      <c r="AD84" s="71"/>
      <c r="AE84" s="71"/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71"/>
      <c r="AR84" s="71"/>
      <c r="AS84" s="71"/>
      <c r="AT84" s="71"/>
      <c r="AU84" s="71"/>
      <c r="AV84" s="71"/>
      <c r="AW84" s="71"/>
      <c r="AX84" s="71"/>
      <c r="AY84" s="71"/>
      <c r="AZ84" s="71"/>
      <c r="BA84" s="71"/>
      <c r="BB84" s="71"/>
      <c r="BC84" s="71"/>
      <c r="BD84" s="71"/>
      <c r="BE84" s="71"/>
      <c r="BF84" s="71"/>
      <c r="BG84" s="71"/>
      <c r="BH84" s="71"/>
      <c r="BI84" s="71"/>
      <c r="BJ84" s="71"/>
      <c r="BK84" s="71"/>
      <c r="BL84" s="71"/>
      <c r="BM84" s="71"/>
      <c r="BN84" s="71"/>
      <c r="BO84" s="71"/>
      <c r="BP84" s="71"/>
      <c r="BQ84" s="71"/>
      <c r="BR84" s="71"/>
      <c r="BS84" s="71"/>
      <c r="BT84" s="71"/>
      <c r="BU84" s="71"/>
      <c r="BV84" s="71"/>
      <c r="BW84" s="71"/>
      <c r="BX84" s="71"/>
      <c r="BY84" s="71"/>
      <c r="BZ84" s="71"/>
      <c r="CA84" s="71"/>
      <c r="CB84" s="71"/>
      <c r="CC84" s="71"/>
      <c r="CD84" s="71"/>
      <c r="CE84" s="71"/>
      <c r="CF84" s="71"/>
      <c r="CG84" s="71"/>
      <c r="CH84" s="71"/>
      <c r="CI84" s="71"/>
      <c r="CJ84" s="71"/>
      <c r="CK84" s="71"/>
      <c r="CL84" s="71"/>
      <c r="CM84" s="71"/>
      <c r="CN84" s="71"/>
      <c r="CO84" s="71"/>
      <c r="CP84" s="71"/>
      <c r="CQ84" s="71"/>
      <c r="CR84" s="71"/>
      <c r="CS84" s="71"/>
      <c r="CT84" s="71"/>
    </row>
    <row r="85" spans="1:98" ht="15" customHeight="1">
      <c r="A85" s="92" t="s">
        <v>111</v>
      </c>
      <c r="B85" s="30" t="s">
        <v>107</v>
      </c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4"/>
      <c r="AJ85" s="34"/>
      <c r="AK85" s="34"/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  <c r="CF85" s="34"/>
      <c r="CG85" s="34"/>
      <c r="CH85" s="34"/>
      <c r="CI85" s="34"/>
      <c r="CJ85" s="34"/>
      <c r="CK85" s="34"/>
      <c r="CL85" s="34"/>
      <c r="CM85" s="34"/>
      <c r="CN85" s="34"/>
      <c r="CO85" s="34"/>
      <c r="CP85" s="34"/>
      <c r="CQ85" s="34"/>
      <c r="CR85" s="34"/>
      <c r="CS85" s="34"/>
      <c r="CT85" s="34"/>
    </row>
    <row r="86" spans="1:98" ht="15" customHeight="1">
      <c r="A86" s="92" t="s">
        <v>112</v>
      </c>
      <c r="B86" s="30" t="s">
        <v>107</v>
      </c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  <c r="AD86" s="92"/>
      <c r="AE86" s="92"/>
      <c r="AF86" s="92"/>
      <c r="AG86" s="92"/>
      <c r="AH86" s="92"/>
      <c r="AI86" s="92"/>
      <c r="AJ86" s="92"/>
      <c r="AK86" s="92"/>
      <c r="AL86" s="92"/>
      <c r="AM86" s="92"/>
      <c r="AN86" s="92"/>
      <c r="AO86" s="92"/>
      <c r="AP86" s="92"/>
      <c r="AQ86" s="92"/>
      <c r="AR86" s="92"/>
      <c r="AS86" s="92"/>
      <c r="AT86" s="92"/>
      <c r="AU86" s="92"/>
      <c r="AV86" s="92"/>
      <c r="AW86" s="92"/>
      <c r="AX86" s="92"/>
      <c r="AY86" s="92"/>
      <c r="AZ86" s="92"/>
      <c r="BA86" s="92"/>
      <c r="BB86" s="92"/>
      <c r="BC86" s="92"/>
      <c r="BD86" s="92"/>
      <c r="BE86" s="92"/>
      <c r="BF86" s="92"/>
      <c r="BG86" s="92"/>
      <c r="BH86" s="92"/>
      <c r="BI86" s="92"/>
      <c r="BJ86" s="92"/>
      <c r="BK86" s="92"/>
      <c r="BL86" s="92"/>
      <c r="BM86" s="92"/>
      <c r="BN86" s="92"/>
      <c r="BO86" s="92"/>
      <c r="BP86" s="92"/>
      <c r="BQ86" s="92"/>
      <c r="BR86" s="92"/>
      <c r="BS86" s="92"/>
      <c r="BT86" s="92"/>
      <c r="BU86" s="92"/>
      <c r="BV86" s="92"/>
      <c r="BW86" s="92"/>
      <c r="BX86" s="92"/>
      <c r="BY86" s="92"/>
      <c r="BZ86" s="92"/>
      <c r="CA86" s="92"/>
      <c r="CB86" s="92"/>
      <c r="CC86" s="92"/>
      <c r="CD86" s="92"/>
      <c r="CE86" s="92"/>
      <c r="CF86" s="92"/>
      <c r="CG86" s="92"/>
      <c r="CH86" s="92"/>
      <c r="CI86" s="92"/>
      <c r="CJ86" s="92"/>
      <c r="CK86" s="92"/>
      <c r="CL86" s="92"/>
      <c r="CM86" s="92"/>
      <c r="CN86" s="92"/>
      <c r="CO86" s="92"/>
      <c r="CP86" s="92"/>
      <c r="CQ86" s="92"/>
      <c r="CR86" s="92"/>
      <c r="CS86" s="92"/>
      <c r="CT86" s="92"/>
    </row>
    <row r="87" spans="1:98" ht="15" customHeight="1">
      <c r="A87" s="92" t="s">
        <v>113</v>
      </c>
      <c r="B87" s="30" t="s">
        <v>107</v>
      </c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29"/>
      <c r="BG87" s="29"/>
      <c r="BH87" s="29"/>
      <c r="BI87" s="29"/>
      <c r="BJ87" s="29"/>
      <c r="BK87" s="29"/>
      <c r="BL87" s="29"/>
      <c r="BM87" s="29"/>
      <c r="BN87" s="29"/>
      <c r="BO87" s="29"/>
      <c r="BP87" s="29"/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  <c r="CE87" s="29"/>
      <c r="CF87" s="29"/>
      <c r="CG87" s="29"/>
      <c r="CH87" s="29"/>
      <c r="CI87" s="29"/>
      <c r="CJ87" s="29"/>
      <c r="CK87" s="29"/>
      <c r="CL87" s="29"/>
      <c r="CM87" s="29"/>
      <c r="CN87" s="29"/>
      <c r="CO87" s="29"/>
      <c r="CP87" s="29"/>
      <c r="CQ87" s="29"/>
      <c r="CR87" s="29"/>
      <c r="CS87" s="29"/>
      <c r="CT87" s="29"/>
    </row>
    <row r="88" spans="1:98" ht="14.25" customHeight="1">
      <c r="A88" s="1" t="s">
        <v>114</v>
      </c>
      <c r="B88" s="89"/>
      <c r="C88" s="72">
        <v>3</v>
      </c>
      <c r="D88" s="72">
        <v>3</v>
      </c>
      <c r="E88" s="72">
        <v>3</v>
      </c>
      <c r="F88" s="72">
        <v>3</v>
      </c>
      <c r="G88" s="72">
        <v>3</v>
      </c>
      <c r="H88" s="72">
        <v>3</v>
      </c>
      <c r="I88" s="72">
        <v>3</v>
      </c>
      <c r="J88" s="72">
        <v>3</v>
      </c>
      <c r="K88" s="72">
        <v>3</v>
      </c>
      <c r="L88" s="72">
        <v>3</v>
      </c>
      <c r="M88" s="72">
        <v>3</v>
      </c>
      <c r="N88" s="72">
        <v>3</v>
      </c>
      <c r="O88" s="72">
        <v>3</v>
      </c>
      <c r="P88" s="72">
        <v>3</v>
      </c>
      <c r="Q88" s="72">
        <v>3</v>
      </c>
      <c r="R88" s="72">
        <v>3</v>
      </c>
      <c r="S88" s="72">
        <v>3</v>
      </c>
      <c r="T88" s="72">
        <v>3</v>
      </c>
      <c r="U88" s="72">
        <v>3</v>
      </c>
      <c r="V88" s="72">
        <v>3</v>
      </c>
      <c r="W88" s="72">
        <v>3</v>
      </c>
      <c r="X88" s="72">
        <v>3</v>
      </c>
      <c r="Y88" s="72">
        <v>3</v>
      </c>
      <c r="Z88" s="72">
        <v>3</v>
      </c>
      <c r="AA88" s="72">
        <v>3</v>
      </c>
      <c r="AB88" s="72">
        <v>3</v>
      </c>
      <c r="AC88" s="72">
        <v>3</v>
      </c>
      <c r="AD88" s="72">
        <v>3</v>
      </c>
      <c r="AE88" s="72">
        <v>3</v>
      </c>
      <c r="AF88" s="72">
        <v>3</v>
      </c>
      <c r="AG88" s="72">
        <v>3</v>
      </c>
      <c r="AH88" s="72">
        <v>3</v>
      </c>
      <c r="AI88" s="72">
        <v>3</v>
      </c>
      <c r="AJ88" s="72">
        <v>3</v>
      </c>
      <c r="AK88" s="72">
        <v>3</v>
      </c>
      <c r="AL88" s="72">
        <v>3</v>
      </c>
      <c r="AM88" s="72">
        <v>3</v>
      </c>
      <c r="AN88" s="72">
        <v>3</v>
      </c>
      <c r="AO88" s="72">
        <v>3</v>
      </c>
      <c r="AP88" s="72">
        <v>3</v>
      </c>
      <c r="AQ88" s="72">
        <v>3</v>
      </c>
      <c r="AR88" s="72">
        <v>3</v>
      </c>
      <c r="AS88" s="72">
        <v>3</v>
      </c>
      <c r="AT88" s="72">
        <v>3</v>
      </c>
      <c r="AU88" s="72">
        <v>3</v>
      </c>
      <c r="AV88" s="72">
        <v>3</v>
      </c>
      <c r="AW88" s="72">
        <v>3</v>
      </c>
      <c r="AX88" s="72">
        <v>3</v>
      </c>
      <c r="AY88" s="72">
        <v>3</v>
      </c>
      <c r="AZ88" s="72">
        <v>3</v>
      </c>
      <c r="BA88" s="72">
        <v>3</v>
      </c>
      <c r="BB88" s="72">
        <v>3</v>
      </c>
      <c r="BC88" s="72">
        <v>3</v>
      </c>
      <c r="BD88" s="72">
        <v>3</v>
      </c>
      <c r="BE88" s="72">
        <v>3</v>
      </c>
      <c r="BF88" s="72">
        <v>3</v>
      </c>
      <c r="BG88" s="72">
        <v>3</v>
      </c>
      <c r="BH88" s="72">
        <v>3</v>
      </c>
      <c r="BI88" s="72">
        <v>3</v>
      </c>
      <c r="BJ88" s="72">
        <v>3</v>
      </c>
      <c r="BK88" s="72">
        <v>3</v>
      </c>
      <c r="BL88" s="72">
        <v>3</v>
      </c>
      <c r="BM88" s="72">
        <v>3</v>
      </c>
      <c r="BN88" s="72">
        <v>3</v>
      </c>
      <c r="BO88" s="72">
        <v>3</v>
      </c>
      <c r="BP88" s="72">
        <v>3</v>
      </c>
      <c r="BQ88" s="72">
        <v>3</v>
      </c>
      <c r="BR88" s="72">
        <v>3</v>
      </c>
      <c r="BS88" s="72">
        <v>3</v>
      </c>
      <c r="BT88" s="72">
        <v>3</v>
      </c>
      <c r="BU88" s="72">
        <v>3</v>
      </c>
      <c r="BV88" s="72">
        <v>3</v>
      </c>
      <c r="BW88" s="72">
        <v>3</v>
      </c>
      <c r="BX88" s="72">
        <v>3</v>
      </c>
      <c r="BY88" s="72">
        <v>3</v>
      </c>
      <c r="BZ88" s="72">
        <v>3</v>
      </c>
      <c r="CA88" s="72">
        <v>3</v>
      </c>
      <c r="CB88" s="72">
        <v>3</v>
      </c>
      <c r="CC88" s="72">
        <v>3</v>
      </c>
      <c r="CD88" s="72">
        <v>3</v>
      </c>
      <c r="CE88" s="72">
        <v>3</v>
      </c>
      <c r="CF88" s="72">
        <v>3</v>
      </c>
      <c r="CG88" s="72">
        <v>3</v>
      </c>
      <c r="CH88" s="72">
        <v>3</v>
      </c>
      <c r="CI88" s="72">
        <v>3</v>
      </c>
      <c r="CJ88" s="72">
        <v>3</v>
      </c>
      <c r="CK88" s="72">
        <v>3</v>
      </c>
      <c r="CL88" s="72">
        <v>3</v>
      </c>
      <c r="CM88" s="72">
        <v>3</v>
      </c>
      <c r="CN88" s="72">
        <v>3</v>
      </c>
      <c r="CO88" s="72">
        <v>3</v>
      </c>
      <c r="CP88" s="72">
        <v>3</v>
      </c>
      <c r="CQ88" s="72">
        <v>3</v>
      </c>
      <c r="CR88" s="72">
        <v>3</v>
      </c>
      <c r="CS88" s="72">
        <v>3</v>
      </c>
      <c r="CT88" s="72">
        <v>3</v>
      </c>
    </row>
    <row r="89" spans="1:98" ht="14.25" customHeight="1">
      <c r="A89" s="1" t="s">
        <v>115</v>
      </c>
      <c r="B89" s="89" t="s">
        <v>116</v>
      </c>
      <c r="C89" s="31">
        <v>1000</v>
      </c>
      <c r="D89" s="31">
        <v>1000</v>
      </c>
      <c r="E89" s="31">
        <v>1000</v>
      </c>
      <c r="F89" s="31">
        <v>1000</v>
      </c>
      <c r="G89" s="31">
        <v>1000</v>
      </c>
      <c r="H89" s="31">
        <v>1000</v>
      </c>
      <c r="I89" s="31">
        <v>1000</v>
      </c>
      <c r="J89" s="31">
        <v>1000</v>
      </c>
      <c r="K89" s="31">
        <v>1000</v>
      </c>
      <c r="L89" s="31">
        <v>1000</v>
      </c>
      <c r="M89" s="31">
        <v>1000</v>
      </c>
      <c r="N89" s="31">
        <v>1000</v>
      </c>
      <c r="O89" s="31">
        <v>1000</v>
      </c>
      <c r="P89" s="31">
        <v>1000</v>
      </c>
      <c r="Q89" s="31">
        <v>1000</v>
      </c>
      <c r="R89" s="31">
        <v>1000</v>
      </c>
      <c r="S89" s="31">
        <v>1000</v>
      </c>
      <c r="T89" s="31">
        <v>1000</v>
      </c>
      <c r="U89" s="31">
        <v>1000</v>
      </c>
      <c r="V89" s="31">
        <v>1000</v>
      </c>
      <c r="W89" s="31">
        <v>1000</v>
      </c>
      <c r="X89" s="31">
        <v>1000</v>
      </c>
      <c r="Y89" s="31">
        <v>1000</v>
      </c>
      <c r="Z89" s="31">
        <v>1000</v>
      </c>
      <c r="AA89" s="31">
        <v>1000</v>
      </c>
      <c r="AB89" s="31">
        <v>1000</v>
      </c>
      <c r="AC89" s="31">
        <v>1000</v>
      </c>
      <c r="AD89" s="31">
        <v>1000</v>
      </c>
      <c r="AE89" s="31">
        <v>1000</v>
      </c>
      <c r="AF89" s="31">
        <v>1000</v>
      </c>
      <c r="AG89" s="31">
        <v>1000</v>
      </c>
      <c r="AH89" s="31">
        <v>1000</v>
      </c>
      <c r="AI89" s="31">
        <v>1000</v>
      </c>
      <c r="AJ89" s="31">
        <v>1000</v>
      </c>
      <c r="AK89" s="31">
        <v>1000</v>
      </c>
      <c r="AL89" s="31">
        <v>1000</v>
      </c>
      <c r="AM89" s="31">
        <v>1000</v>
      </c>
      <c r="AN89" s="31">
        <v>1000</v>
      </c>
      <c r="AO89" s="31">
        <v>1000</v>
      </c>
      <c r="AP89" s="31">
        <v>1000</v>
      </c>
      <c r="AQ89" s="31">
        <v>1000</v>
      </c>
      <c r="AR89" s="31">
        <v>1000</v>
      </c>
      <c r="AS89" s="31">
        <v>1000</v>
      </c>
      <c r="AT89" s="31">
        <v>1000</v>
      </c>
      <c r="AU89" s="31">
        <v>1000</v>
      </c>
      <c r="AV89" s="31">
        <v>1000</v>
      </c>
      <c r="AW89" s="31">
        <v>1000</v>
      </c>
      <c r="AX89" s="31">
        <v>1000</v>
      </c>
      <c r="AY89" s="31">
        <v>1000</v>
      </c>
      <c r="AZ89" s="31">
        <v>1000</v>
      </c>
      <c r="BA89" s="31">
        <v>1000</v>
      </c>
      <c r="BB89" s="31">
        <v>1000</v>
      </c>
      <c r="BC89" s="31">
        <v>1000</v>
      </c>
      <c r="BD89" s="31">
        <v>1000</v>
      </c>
      <c r="BE89" s="31">
        <v>1000</v>
      </c>
      <c r="BF89" s="31">
        <v>1000</v>
      </c>
      <c r="BG89" s="31">
        <v>1000</v>
      </c>
      <c r="BH89" s="31">
        <v>1000</v>
      </c>
      <c r="BI89" s="31">
        <v>1000</v>
      </c>
      <c r="BJ89" s="31">
        <v>1000</v>
      </c>
      <c r="BK89" s="31">
        <v>1000</v>
      </c>
      <c r="BL89" s="31">
        <v>1000</v>
      </c>
      <c r="BM89" s="31">
        <v>1000</v>
      </c>
      <c r="BN89" s="31">
        <v>1000</v>
      </c>
      <c r="BO89" s="31">
        <v>1000</v>
      </c>
      <c r="BP89" s="31">
        <v>1000</v>
      </c>
      <c r="BQ89" s="31">
        <v>1000</v>
      </c>
      <c r="BR89" s="31">
        <v>1000</v>
      </c>
      <c r="BS89" s="31">
        <v>1000</v>
      </c>
      <c r="BT89" s="31">
        <v>1000</v>
      </c>
      <c r="BU89" s="31">
        <v>1000</v>
      </c>
      <c r="BV89" s="31">
        <v>1000</v>
      </c>
      <c r="BW89" s="31">
        <v>1000</v>
      </c>
      <c r="BX89" s="31">
        <v>1000</v>
      </c>
      <c r="BY89" s="31">
        <v>1000</v>
      </c>
      <c r="BZ89" s="31">
        <v>1000</v>
      </c>
      <c r="CA89" s="31">
        <v>1000</v>
      </c>
      <c r="CB89" s="31">
        <v>1000</v>
      </c>
      <c r="CC89" s="31">
        <v>1000</v>
      </c>
      <c r="CD89" s="31">
        <v>1000</v>
      </c>
      <c r="CE89" s="31">
        <v>1000</v>
      </c>
      <c r="CF89" s="31">
        <v>1000</v>
      </c>
      <c r="CG89" s="31">
        <v>1000</v>
      </c>
      <c r="CH89" s="31">
        <v>1000</v>
      </c>
      <c r="CI89" s="31">
        <v>1000</v>
      </c>
      <c r="CJ89" s="31">
        <v>1000</v>
      </c>
      <c r="CK89" s="31">
        <v>1000</v>
      </c>
      <c r="CL89" s="31">
        <v>1000</v>
      </c>
      <c r="CM89" s="31">
        <v>1000</v>
      </c>
      <c r="CN89" s="31">
        <v>1000</v>
      </c>
      <c r="CO89" s="31">
        <v>1000</v>
      </c>
      <c r="CP89" s="31">
        <v>1000</v>
      </c>
      <c r="CQ89" s="31">
        <v>1000</v>
      </c>
      <c r="CR89" s="31">
        <v>1000</v>
      </c>
      <c r="CS89" s="31">
        <v>1000</v>
      </c>
      <c r="CT89" s="31">
        <v>1000</v>
      </c>
    </row>
    <row r="90" spans="1:98" ht="14.25" customHeight="1">
      <c r="A90" s="3"/>
      <c r="B90" s="89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H90" s="72"/>
      <c r="AI90" s="72"/>
      <c r="AJ90" s="72"/>
      <c r="AK90" s="72"/>
      <c r="AL90" s="72"/>
      <c r="AM90" s="72"/>
      <c r="AN90" s="72"/>
      <c r="AO90" s="72"/>
      <c r="AP90" s="72"/>
      <c r="AQ90" s="72"/>
      <c r="AR90" s="72"/>
      <c r="AS90" s="72"/>
      <c r="AT90" s="72"/>
      <c r="AU90" s="72"/>
      <c r="AV90" s="72"/>
      <c r="AW90" s="72"/>
      <c r="AX90" s="72"/>
      <c r="AY90" s="72"/>
      <c r="AZ90" s="72"/>
      <c r="BA90" s="72"/>
      <c r="BB90" s="72"/>
      <c r="BC90" s="72"/>
      <c r="BD90" s="72"/>
      <c r="BE90" s="72"/>
      <c r="BF90" s="72"/>
      <c r="BG90" s="72"/>
      <c r="BH90" s="72"/>
      <c r="BI90" s="72"/>
      <c r="BJ90" s="72"/>
      <c r="BK90" s="72"/>
      <c r="BL90" s="72"/>
      <c r="BM90" s="72"/>
      <c r="BN90" s="72"/>
      <c r="BO90" s="72"/>
      <c r="BP90" s="72"/>
      <c r="BQ90" s="72"/>
      <c r="BR90" s="72"/>
      <c r="BS90" s="72"/>
      <c r="BT90" s="72"/>
      <c r="BU90" s="72"/>
      <c r="BV90" s="72"/>
      <c r="BW90" s="72"/>
      <c r="BX90" s="72"/>
      <c r="BY90" s="72"/>
      <c r="BZ90" s="72"/>
      <c r="CA90" s="72"/>
      <c r="CB90" s="72"/>
      <c r="CC90" s="72"/>
      <c r="CD90" s="72"/>
      <c r="CE90" s="72"/>
      <c r="CF90" s="72"/>
      <c r="CG90" s="72"/>
      <c r="CH90" s="72"/>
      <c r="CI90" s="72"/>
      <c r="CJ90" s="72"/>
      <c r="CK90" s="72"/>
      <c r="CL90" s="72"/>
      <c r="CM90" s="72"/>
      <c r="CN90" s="72"/>
      <c r="CO90" s="72"/>
      <c r="CP90" s="72"/>
      <c r="CQ90" s="72"/>
      <c r="CR90" s="72"/>
      <c r="CS90" s="72"/>
      <c r="CT90" s="72"/>
    </row>
    <row r="91" spans="1:98" ht="15.75" customHeight="1">
      <c r="A91" s="35" t="s">
        <v>117</v>
      </c>
      <c r="B91" s="93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  <c r="AN91" s="80"/>
      <c r="AO91" s="80"/>
      <c r="AP91" s="80"/>
      <c r="AQ91" s="80"/>
      <c r="AR91" s="80"/>
      <c r="AS91" s="80"/>
      <c r="AT91" s="80"/>
      <c r="AU91" s="80"/>
      <c r="AV91" s="80"/>
      <c r="AW91" s="80"/>
      <c r="AX91" s="80"/>
      <c r="AY91" s="80"/>
      <c r="AZ91" s="80"/>
      <c r="BA91" s="80"/>
      <c r="BB91" s="80"/>
      <c r="BC91" s="80"/>
      <c r="BD91" s="80"/>
      <c r="BE91" s="80"/>
      <c r="BF91" s="80"/>
      <c r="BG91" s="80"/>
      <c r="BH91" s="80"/>
      <c r="BI91" s="80"/>
      <c r="BJ91" s="80"/>
      <c r="BK91" s="80"/>
      <c r="BL91" s="80"/>
      <c r="BM91" s="80"/>
      <c r="BN91" s="80"/>
      <c r="BO91" s="80"/>
      <c r="BP91" s="80"/>
      <c r="BQ91" s="80"/>
      <c r="BR91" s="80"/>
      <c r="BS91" s="80"/>
      <c r="BT91" s="80"/>
      <c r="BU91" s="80"/>
      <c r="BV91" s="80"/>
      <c r="BW91" s="80"/>
      <c r="BX91" s="80"/>
      <c r="BY91" s="80"/>
      <c r="BZ91" s="80"/>
      <c r="CA91" s="80"/>
      <c r="CB91" s="80"/>
      <c r="CC91" s="80"/>
      <c r="CD91" s="80"/>
      <c r="CE91" s="80"/>
      <c r="CF91" s="80"/>
      <c r="CG91" s="80"/>
      <c r="CH91" s="80"/>
      <c r="CI91" s="80"/>
      <c r="CJ91" s="80"/>
      <c r="CK91" s="80"/>
      <c r="CL91" s="80"/>
      <c r="CM91" s="80"/>
      <c r="CN91" s="80"/>
      <c r="CO91" s="80"/>
      <c r="CP91" s="80"/>
      <c r="CQ91" s="80"/>
      <c r="CR91" s="80"/>
      <c r="CS91" s="80"/>
      <c r="CT91" s="80"/>
    </row>
    <row r="92" spans="1:98" ht="15.75" customHeight="1" thickBot="1">
      <c r="A92" s="13" t="s">
        <v>118</v>
      </c>
      <c r="B92" s="93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  <c r="AN92" s="80"/>
      <c r="AO92" s="80"/>
      <c r="AP92" s="80"/>
      <c r="AQ92" s="80"/>
      <c r="AR92" s="80"/>
      <c r="AS92" s="80"/>
      <c r="AT92" s="80"/>
      <c r="AU92" s="80"/>
      <c r="AV92" s="80"/>
      <c r="AW92" s="80"/>
      <c r="AX92" s="80"/>
      <c r="AY92" s="80"/>
      <c r="AZ92" s="80"/>
      <c r="BA92" s="80"/>
      <c r="BB92" s="80"/>
      <c r="BC92" s="80"/>
      <c r="BD92" s="80"/>
      <c r="BE92" s="80"/>
      <c r="BF92" s="80"/>
      <c r="BG92" s="80"/>
      <c r="BH92" s="80"/>
      <c r="BI92" s="80"/>
      <c r="BJ92" s="80"/>
      <c r="BK92" s="80"/>
      <c r="BL92" s="80"/>
      <c r="BM92" s="80"/>
      <c r="BN92" s="80"/>
      <c r="BO92" s="80"/>
      <c r="BP92" s="80"/>
      <c r="BQ92" s="80"/>
      <c r="BR92" s="80"/>
      <c r="BS92" s="80"/>
      <c r="BT92" s="80"/>
      <c r="BU92" s="80"/>
      <c r="BV92" s="80"/>
      <c r="BW92" s="80"/>
      <c r="BX92" s="80"/>
      <c r="BY92" s="80"/>
      <c r="BZ92" s="80"/>
      <c r="CA92" s="80"/>
      <c r="CB92" s="80"/>
      <c r="CC92" s="80"/>
      <c r="CD92" s="80"/>
      <c r="CE92" s="80"/>
      <c r="CF92" s="80"/>
      <c r="CG92" s="80"/>
      <c r="CH92" s="80"/>
      <c r="CI92" s="80"/>
      <c r="CJ92" s="80"/>
      <c r="CK92" s="80"/>
      <c r="CL92" s="80"/>
      <c r="CM92" s="80"/>
      <c r="CN92" s="80"/>
      <c r="CO92" s="80"/>
      <c r="CP92" s="80"/>
      <c r="CQ92" s="80"/>
      <c r="CR92" s="80"/>
      <c r="CS92" s="80"/>
      <c r="CT92" s="80"/>
    </row>
    <row r="93" spans="1:98" ht="15.75" customHeight="1">
      <c r="A93" s="36" t="s">
        <v>119</v>
      </c>
      <c r="B93" s="37" t="s">
        <v>48</v>
      </c>
      <c r="C93" s="38" t="e">
        <f t="shared" ref="C93:D93" si="113">C58/C41</f>
        <v>#DIV/0!</v>
      </c>
      <c r="D93" s="38" t="e">
        <f t="shared" ref="D93:E93" si="114">D58/D41</f>
        <v>#DIV/0!</v>
      </c>
      <c r="E93" s="38" t="e">
        <f t="shared" si="114"/>
        <v>#DIV/0!</v>
      </c>
      <c r="F93" s="38" t="e">
        <f t="shared" ref="F93:K93" si="115">F58/F41</f>
        <v>#DIV/0!</v>
      </c>
      <c r="G93" s="38" t="e">
        <f t="shared" si="115"/>
        <v>#DIV/0!</v>
      </c>
      <c r="H93" s="38" t="e">
        <f t="shared" si="115"/>
        <v>#DIV/0!</v>
      </c>
      <c r="I93" s="38" t="e">
        <f t="shared" si="115"/>
        <v>#DIV/0!</v>
      </c>
      <c r="J93" s="38" t="e">
        <f t="shared" si="115"/>
        <v>#DIV/0!</v>
      </c>
      <c r="K93" s="38" t="e">
        <f t="shared" si="115"/>
        <v>#DIV/0!</v>
      </c>
      <c r="L93" s="38" t="e">
        <f t="shared" ref="L93:AC93" si="116">L58/L41</f>
        <v>#DIV/0!</v>
      </c>
      <c r="M93" s="38" t="e">
        <f t="shared" si="116"/>
        <v>#DIV/0!</v>
      </c>
      <c r="N93" s="38" t="e">
        <f t="shared" si="116"/>
        <v>#DIV/0!</v>
      </c>
      <c r="O93" s="38" t="e">
        <f t="shared" si="116"/>
        <v>#DIV/0!</v>
      </c>
      <c r="P93" s="38" t="e">
        <f t="shared" si="116"/>
        <v>#DIV/0!</v>
      </c>
      <c r="Q93" s="38" t="e">
        <f t="shared" si="116"/>
        <v>#DIV/0!</v>
      </c>
      <c r="R93" s="38" t="e">
        <f t="shared" si="116"/>
        <v>#DIV/0!</v>
      </c>
      <c r="S93" s="38" t="e">
        <f t="shared" si="116"/>
        <v>#DIV/0!</v>
      </c>
      <c r="T93" s="38" t="e">
        <f t="shared" si="116"/>
        <v>#DIV/0!</v>
      </c>
      <c r="U93" s="38" t="e">
        <f t="shared" si="116"/>
        <v>#DIV/0!</v>
      </c>
      <c r="V93" s="38" t="e">
        <f t="shared" si="116"/>
        <v>#DIV/0!</v>
      </c>
      <c r="W93" s="38" t="e">
        <f t="shared" si="116"/>
        <v>#DIV/0!</v>
      </c>
      <c r="X93" s="38" t="e">
        <f t="shared" si="116"/>
        <v>#DIV/0!</v>
      </c>
      <c r="Y93" s="38" t="e">
        <f t="shared" si="116"/>
        <v>#DIV/0!</v>
      </c>
      <c r="Z93" s="38" t="e">
        <f t="shared" si="116"/>
        <v>#DIV/0!</v>
      </c>
      <c r="AA93" s="38" t="e">
        <f t="shared" si="116"/>
        <v>#DIV/0!</v>
      </c>
      <c r="AB93" s="38" t="e">
        <f t="shared" si="116"/>
        <v>#DIV/0!</v>
      </c>
      <c r="AC93" s="38" t="e">
        <f t="shared" si="116"/>
        <v>#DIV/0!</v>
      </c>
      <c r="AD93" s="38" t="e">
        <f t="shared" ref="AD93:CN93" si="117">AD58/AD41</f>
        <v>#DIV/0!</v>
      </c>
      <c r="AE93" s="38" t="e">
        <f t="shared" si="117"/>
        <v>#DIV/0!</v>
      </c>
      <c r="AF93" s="38" t="e">
        <f t="shared" si="117"/>
        <v>#DIV/0!</v>
      </c>
      <c r="AG93" s="38" t="e">
        <f t="shared" si="117"/>
        <v>#DIV/0!</v>
      </c>
      <c r="AH93" s="38" t="e">
        <f t="shared" si="117"/>
        <v>#DIV/0!</v>
      </c>
      <c r="AI93" s="38" t="e">
        <f t="shared" si="117"/>
        <v>#DIV/0!</v>
      </c>
      <c r="AJ93" s="38" t="e">
        <f t="shared" si="117"/>
        <v>#DIV/0!</v>
      </c>
      <c r="AK93" s="38" t="e">
        <f t="shared" si="117"/>
        <v>#DIV/0!</v>
      </c>
      <c r="AL93" s="38" t="e">
        <f t="shared" si="117"/>
        <v>#DIV/0!</v>
      </c>
      <c r="AM93" s="38" t="e">
        <f t="shared" si="117"/>
        <v>#DIV/0!</v>
      </c>
      <c r="AN93" s="38" t="e">
        <f t="shared" si="117"/>
        <v>#DIV/0!</v>
      </c>
      <c r="AO93" s="38" t="e">
        <f t="shared" si="117"/>
        <v>#DIV/0!</v>
      </c>
      <c r="AP93" s="38" t="e">
        <f t="shared" si="117"/>
        <v>#DIV/0!</v>
      </c>
      <c r="AQ93" s="38" t="e">
        <f t="shared" si="117"/>
        <v>#DIV/0!</v>
      </c>
      <c r="AR93" s="38" t="e">
        <f t="shared" si="117"/>
        <v>#DIV/0!</v>
      </c>
      <c r="AS93" s="38" t="e">
        <f t="shared" si="117"/>
        <v>#DIV/0!</v>
      </c>
      <c r="AT93" s="38" t="e">
        <f t="shared" si="117"/>
        <v>#DIV/0!</v>
      </c>
      <c r="AU93" s="38" t="e">
        <f t="shared" si="117"/>
        <v>#DIV/0!</v>
      </c>
      <c r="AV93" s="38" t="e">
        <f t="shared" si="117"/>
        <v>#DIV/0!</v>
      </c>
      <c r="AW93" s="38" t="e">
        <f t="shared" si="117"/>
        <v>#DIV/0!</v>
      </c>
      <c r="AX93" s="38" t="e">
        <f t="shared" si="117"/>
        <v>#DIV/0!</v>
      </c>
      <c r="AY93" s="38" t="e">
        <f t="shared" si="117"/>
        <v>#DIV/0!</v>
      </c>
      <c r="AZ93" s="38" t="e">
        <f t="shared" si="117"/>
        <v>#DIV/0!</v>
      </c>
      <c r="BA93" s="38" t="e">
        <f t="shared" si="117"/>
        <v>#DIV/0!</v>
      </c>
      <c r="BB93" s="38" t="e">
        <f t="shared" si="117"/>
        <v>#DIV/0!</v>
      </c>
      <c r="BC93" s="38" t="e">
        <f t="shared" si="117"/>
        <v>#DIV/0!</v>
      </c>
      <c r="BD93" s="38" t="e">
        <f t="shared" si="117"/>
        <v>#DIV/0!</v>
      </c>
      <c r="BE93" s="38" t="e">
        <f t="shared" si="117"/>
        <v>#DIV/0!</v>
      </c>
      <c r="BF93" s="38" t="e">
        <f t="shared" si="117"/>
        <v>#DIV/0!</v>
      </c>
      <c r="BG93" s="38" t="e">
        <f t="shared" si="117"/>
        <v>#DIV/0!</v>
      </c>
      <c r="BH93" s="38" t="e">
        <f t="shared" si="117"/>
        <v>#DIV/0!</v>
      </c>
      <c r="BI93" s="38" t="e">
        <f t="shared" si="117"/>
        <v>#DIV/0!</v>
      </c>
      <c r="BJ93" s="38" t="e">
        <f t="shared" si="117"/>
        <v>#DIV/0!</v>
      </c>
      <c r="BK93" s="38" t="e">
        <f t="shared" si="117"/>
        <v>#DIV/0!</v>
      </c>
      <c r="BL93" s="38" t="e">
        <f t="shared" si="117"/>
        <v>#DIV/0!</v>
      </c>
      <c r="BM93" s="38" t="e">
        <f t="shared" si="117"/>
        <v>#DIV/0!</v>
      </c>
      <c r="BN93" s="38" t="e">
        <f t="shared" si="117"/>
        <v>#DIV/0!</v>
      </c>
      <c r="BO93" s="38" t="e">
        <f t="shared" si="117"/>
        <v>#DIV/0!</v>
      </c>
      <c r="BP93" s="38" t="e">
        <f t="shared" si="117"/>
        <v>#DIV/0!</v>
      </c>
      <c r="BQ93" s="38" t="e">
        <f t="shared" si="117"/>
        <v>#DIV/0!</v>
      </c>
      <c r="BR93" s="38" t="e">
        <f t="shared" si="117"/>
        <v>#DIV/0!</v>
      </c>
      <c r="BS93" s="38" t="e">
        <f t="shared" si="117"/>
        <v>#DIV/0!</v>
      </c>
      <c r="BT93" s="38" t="e">
        <f t="shared" si="117"/>
        <v>#DIV/0!</v>
      </c>
      <c r="BU93" s="38" t="e">
        <f t="shared" si="117"/>
        <v>#DIV/0!</v>
      </c>
      <c r="BV93" s="38" t="e">
        <f t="shared" si="117"/>
        <v>#DIV/0!</v>
      </c>
      <c r="BW93" s="38" t="e">
        <f t="shared" si="117"/>
        <v>#DIV/0!</v>
      </c>
      <c r="BX93" s="38" t="e">
        <f t="shared" si="117"/>
        <v>#DIV/0!</v>
      </c>
      <c r="BY93" s="38" t="e">
        <f t="shared" si="117"/>
        <v>#DIV/0!</v>
      </c>
      <c r="BZ93" s="38" t="e">
        <f t="shared" si="117"/>
        <v>#DIV/0!</v>
      </c>
      <c r="CA93" s="38" t="e">
        <f t="shared" si="117"/>
        <v>#DIV/0!</v>
      </c>
      <c r="CB93" s="38" t="e">
        <f t="shared" si="117"/>
        <v>#DIV/0!</v>
      </c>
      <c r="CC93" s="38" t="e">
        <f t="shared" si="117"/>
        <v>#DIV/0!</v>
      </c>
      <c r="CD93" s="38" t="e">
        <f t="shared" si="117"/>
        <v>#DIV/0!</v>
      </c>
      <c r="CE93" s="38" t="e">
        <f t="shared" si="117"/>
        <v>#DIV/0!</v>
      </c>
      <c r="CF93" s="38" t="e">
        <f t="shared" si="117"/>
        <v>#DIV/0!</v>
      </c>
      <c r="CG93" s="38" t="e">
        <f t="shared" si="117"/>
        <v>#DIV/0!</v>
      </c>
      <c r="CH93" s="38" t="e">
        <f t="shared" si="117"/>
        <v>#DIV/0!</v>
      </c>
      <c r="CI93" s="38" t="e">
        <f t="shared" si="117"/>
        <v>#DIV/0!</v>
      </c>
      <c r="CJ93" s="38" t="e">
        <f t="shared" si="117"/>
        <v>#DIV/0!</v>
      </c>
      <c r="CK93" s="38" t="e">
        <f t="shared" si="117"/>
        <v>#DIV/0!</v>
      </c>
      <c r="CL93" s="38" t="e">
        <f t="shared" si="117"/>
        <v>#DIV/0!</v>
      </c>
      <c r="CM93" s="38" t="e">
        <f t="shared" si="117"/>
        <v>#DIV/0!</v>
      </c>
      <c r="CN93" s="38" t="e">
        <f t="shared" si="117"/>
        <v>#DIV/0!</v>
      </c>
      <c r="CO93" s="38" t="e">
        <f t="shared" ref="CO93:CT93" si="118">CO58/CO41</f>
        <v>#DIV/0!</v>
      </c>
      <c r="CP93" s="38" t="e">
        <f t="shared" si="118"/>
        <v>#DIV/0!</v>
      </c>
      <c r="CQ93" s="38" t="e">
        <f t="shared" si="118"/>
        <v>#DIV/0!</v>
      </c>
      <c r="CR93" s="38" t="e">
        <f t="shared" si="118"/>
        <v>#DIV/0!</v>
      </c>
      <c r="CS93" s="38" t="e">
        <f t="shared" si="118"/>
        <v>#DIV/0!</v>
      </c>
      <c r="CT93" s="38" t="e">
        <f t="shared" si="118"/>
        <v>#DIV/0!</v>
      </c>
    </row>
    <row r="94" spans="1:98" ht="15.75" customHeight="1">
      <c r="A94" s="39" t="s">
        <v>120</v>
      </c>
      <c r="B94" s="4" t="s">
        <v>48</v>
      </c>
      <c r="C94" s="73" t="e">
        <f t="shared" ref="C94:D94" si="119">C61/C42</f>
        <v>#DIV/0!</v>
      </c>
      <c r="D94" s="73" t="e">
        <f t="shared" ref="D94:E94" si="120">D61/D42</f>
        <v>#DIV/0!</v>
      </c>
      <c r="E94" s="73" t="e">
        <f t="shared" si="120"/>
        <v>#DIV/0!</v>
      </c>
      <c r="F94" s="73" t="e">
        <f t="shared" ref="F94:K94" si="121">F61/F42</f>
        <v>#DIV/0!</v>
      </c>
      <c r="G94" s="73" t="e">
        <f t="shared" si="121"/>
        <v>#DIV/0!</v>
      </c>
      <c r="H94" s="73" t="e">
        <f t="shared" si="121"/>
        <v>#DIV/0!</v>
      </c>
      <c r="I94" s="73" t="e">
        <f t="shared" si="121"/>
        <v>#DIV/0!</v>
      </c>
      <c r="J94" s="73" t="e">
        <f t="shared" si="121"/>
        <v>#DIV/0!</v>
      </c>
      <c r="K94" s="73" t="e">
        <f t="shared" si="121"/>
        <v>#DIV/0!</v>
      </c>
      <c r="L94" s="73" t="e">
        <f t="shared" ref="L94:AC94" si="122">L61/L42</f>
        <v>#DIV/0!</v>
      </c>
      <c r="M94" s="73" t="e">
        <f t="shared" si="122"/>
        <v>#DIV/0!</v>
      </c>
      <c r="N94" s="73" t="e">
        <f t="shared" si="122"/>
        <v>#DIV/0!</v>
      </c>
      <c r="O94" s="73" t="e">
        <f t="shared" si="122"/>
        <v>#DIV/0!</v>
      </c>
      <c r="P94" s="73" t="e">
        <f t="shared" si="122"/>
        <v>#DIV/0!</v>
      </c>
      <c r="Q94" s="73" t="e">
        <f t="shared" si="122"/>
        <v>#DIV/0!</v>
      </c>
      <c r="R94" s="73" t="e">
        <f t="shared" si="122"/>
        <v>#DIV/0!</v>
      </c>
      <c r="S94" s="73" t="e">
        <f t="shared" si="122"/>
        <v>#DIV/0!</v>
      </c>
      <c r="T94" s="73" t="e">
        <f t="shared" si="122"/>
        <v>#DIV/0!</v>
      </c>
      <c r="U94" s="73" t="e">
        <f t="shared" si="122"/>
        <v>#DIV/0!</v>
      </c>
      <c r="V94" s="73" t="e">
        <f t="shared" si="122"/>
        <v>#DIV/0!</v>
      </c>
      <c r="W94" s="73" t="e">
        <f t="shared" si="122"/>
        <v>#DIV/0!</v>
      </c>
      <c r="X94" s="73" t="e">
        <f t="shared" si="122"/>
        <v>#DIV/0!</v>
      </c>
      <c r="Y94" s="73" t="e">
        <f t="shared" si="122"/>
        <v>#DIV/0!</v>
      </c>
      <c r="Z94" s="73" t="e">
        <f t="shared" si="122"/>
        <v>#DIV/0!</v>
      </c>
      <c r="AA94" s="73" t="e">
        <f t="shared" si="122"/>
        <v>#DIV/0!</v>
      </c>
      <c r="AB94" s="73" t="e">
        <f t="shared" si="122"/>
        <v>#DIV/0!</v>
      </c>
      <c r="AC94" s="73" t="e">
        <f t="shared" si="122"/>
        <v>#DIV/0!</v>
      </c>
      <c r="AD94" s="73" t="e">
        <f t="shared" ref="AD94:CN94" si="123">AD61/AD42</f>
        <v>#DIV/0!</v>
      </c>
      <c r="AE94" s="73" t="e">
        <f t="shared" si="123"/>
        <v>#DIV/0!</v>
      </c>
      <c r="AF94" s="73" t="e">
        <f t="shared" si="123"/>
        <v>#DIV/0!</v>
      </c>
      <c r="AG94" s="73" t="e">
        <f t="shared" si="123"/>
        <v>#DIV/0!</v>
      </c>
      <c r="AH94" s="73" t="e">
        <f t="shared" si="123"/>
        <v>#DIV/0!</v>
      </c>
      <c r="AI94" s="73" t="e">
        <f t="shared" si="123"/>
        <v>#DIV/0!</v>
      </c>
      <c r="AJ94" s="73" t="e">
        <f t="shared" si="123"/>
        <v>#DIV/0!</v>
      </c>
      <c r="AK94" s="73" t="e">
        <f t="shared" si="123"/>
        <v>#DIV/0!</v>
      </c>
      <c r="AL94" s="73" t="e">
        <f t="shared" si="123"/>
        <v>#DIV/0!</v>
      </c>
      <c r="AM94" s="73" t="e">
        <f t="shared" si="123"/>
        <v>#DIV/0!</v>
      </c>
      <c r="AN94" s="73" t="e">
        <f t="shared" si="123"/>
        <v>#DIV/0!</v>
      </c>
      <c r="AO94" s="73" t="e">
        <f t="shared" si="123"/>
        <v>#DIV/0!</v>
      </c>
      <c r="AP94" s="73" t="e">
        <f t="shared" si="123"/>
        <v>#DIV/0!</v>
      </c>
      <c r="AQ94" s="73" t="e">
        <f t="shared" si="123"/>
        <v>#DIV/0!</v>
      </c>
      <c r="AR94" s="73" t="e">
        <f t="shared" si="123"/>
        <v>#DIV/0!</v>
      </c>
      <c r="AS94" s="73" t="e">
        <f t="shared" si="123"/>
        <v>#DIV/0!</v>
      </c>
      <c r="AT94" s="73" t="e">
        <f t="shared" si="123"/>
        <v>#DIV/0!</v>
      </c>
      <c r="AU94" s="73" t="e">
        <f t="shared" si="123"/>
        <v>#DIV/0!</v>
      </c>
      <c r="AV94" s="73" t="e">
        <f t="shared" si="123"/>
        <v>#DIV/0!</v>
      </c>
      <c r="AW94" s="73" t="e">
        <f t="shared" si="123"/>
        <v>#DIV/0!</v>
      </c>
      <c r="AX94" s="73" t="e">
        <f t="shared" si="123"/>
        <v>#DIV/0!</v>
      </c>
      <c r="AY94" s="73" t="e">
        <f t="shared" si="123"/>
        <v>#DIV/0!</v>
      </c>
      <c r="AZ94" s="73" t="e">
        <f t="shared" si="123"/>
        <v>#DIV/0!</v>
      </c>
      <c r="BA94" s="73" t="e">
        <f t="shared" si="123"/>
        <v>#DIV/0!</v>
      </c>
      <c r="BB94" s="73" t="e">
        <f t="shared" si="123"/>
        <v>#DIV/0!</v>
      </c>
      <c r="BC94" s="73" t="e">
        <f t="shared" si="123"/>
        <v>#DIV/0!</v>
      </c>
      <c r="BD94" s="73" t="e">
        <f t="shared" si="123"/>
        <v>#DIV/0!</v>
      </c>
      <c r="BE94" s="73" t="e">
        <f t="shared" si="123"/>
        <v>#DIV/0!</v>
      </c>
      <c r="BF94" s="73" t="e">
        <f t="shared" si="123"/>
        <v>#DIV/0!</v>
      </c>
      <c r="BG94" s="73" t="e">
        <f t="shared" si="123"/>
        <v>#DIV/0!</v>
      </c>
      <c r="BH94" s="73" t="e">
        <f t="shared" si="123"/>
        <v>#DIV/0!</v>
      </c>
      <c r="BI94" s="73" t="e">
        <f t="shared" si="123"/>
        <v>#DIV/0!</v>
      </c>
      <c r="BJ94" s="73" t="e">
        <f t="shared" si="123"/>
        <v>#DIV/0!</v>
      </c>
      <c r="BK94" s="73" t="e">
        <f t="shared" si="123"/>
        <v>#DIV/0!</v>
      </c>
      <c r="BL94" s="73" t="e">
        <f t="shared" si="123"/>
        <v>#DIV/0!</v>
      </c>
      <c r="BM94" s="73" t="e">
        <f t="shared" si="123"/>
        <v>#DIV/0!</v>
      </c>
      <c r="BN94" s="73" t="e">
        <f t="shared" si="123"/>
        <v>#DIV/0!</v>
      </c>
      <c r="BO94" s="73" t="e">
        <f t="shared" si="123"/>
        <v>#DIV/0!</v>
      </c>
      <c r="BP94" s="73" t="e">
        <f t="shared" si="123"/>
        <v>#DIV/0!</v>
      </c>
      <c r="BQ94" s="73" t="e">
        <f t="shared" si="123"/>
        <v>#DIV/0!</v>
      </c>
      <c r="BR94" s="73" t="e">
        <f t="shared" si="123"/>
        <v>#DIV/0!</v>
      </c>
      <c r="BS94" s="73" t="e">
        <f t="shared" si="123"/>
        <v>#DIV/0!</v>
      </c>
      <c r="BT94" s="73" t="e">
        <f t="shared" si="123"/>
        <v>#DIV/0!</v>
      </c>
      <c r="BU94" s="73" t="e">
        <f t="shared" si="123"/>
        <v>#DIV/0!</v>
      </c>
      <c r="BV94" s="73" t="e">
        <f t="shared" si="123"/>
        <v>#DIV/0!</v>
      </c>
      <c r="BW94" s="73" t="e">
        <f t="shared" si="123"/>
        <v>#DIV/0!</v>
      </c>
      <c r="BX94" s="73" t="e">
        <f t="shared" si="123"/>
        <v>#DIV/0!</v>
      </c>
      <c r="BY94" s="73" t="e">
        <f t="shared" si="123"/>
        <v>#DIV/0!</v>
      </c>
      <c r="BZ94" s="73" t="e">
        <f t="shared" si="123"/>
        <v>#DIV/0!</v>
      </c>
      <c r="CA94" s="73" t="e">
        <f t="shared" si="123"/>
        <v>#DIV/0!</v>
      </c>
      <c r="CB94" s="73" t="e">
        <f t="shared" si="123"/>
        <v>#DIV/0!</v>
      </c>
      <c r="CC94" s="73" t="e">
        <f t="shared" si="123"/>
        <v>#DIV/0!</v>
      </c>
      <c r="CD94" s="73" t="e">
        <f t="shared" si="123"/>
        <v>#DIV/0!</v>
      </c>
      <c r="CE94" s="73" t="e">
        <f t="shared" si="123"/>
        <v>#DIV/0!</v>
      </c>
      <c r="CF94" s="73" t="e">
        <f t="shared" si="123"/>
        <v>#DIV/0!</v>
      </c>
      <c r="CG94" s="73" t="e">
        <f t="shared" si="123"/>
        <v>#DIV/0!</v>
      </c>
      <c r="CH94" s="73" t="e">
        <f t="shared" si="123"/>
        <v>#DIV/0!</v>
      </c>
      <c r="CI94" s="73" t="e">
        <f t="shared" si="123"/>
        <v>#DIV/0!</v>
      </c>
      <c r="CJ94" s="73" t="e">
        <f t="shared" si="123"/>
        <v>#DIV/0!</v>
      </c>
      <c r="CK94" s="73" t="e">
        <f t="shared" si="123"/>
        <v>#DIV/0!</v>
      </c>
      <c r="CL94" s="73" t="e">
        <f t="shared" si="123"/>
        <v>#DIV/0!</v>
      </c>
      <c r="CM94" s="73" t="e">
        <f t="shared" si="123"/>
        <v>#DIV/0!</v>
      </c>
      <c r="CN94" s="73" t="e">
        <f t="shared" si="123"/>
        <v>#DIV/0!</v>
      </c>
      <c r="CO94" s="73" t="e">
        <f t="shared" ref="CO94:CT94" si="124">CO61/CO42</f>
        <v>#DIV/0!</v>
      </c>
      <c r="CP94" s="73" t="e">
        <f t="shared" si="124"/>
        <v>#DIV/0!</v>
      </c>
      <c r="CQ94" s="73" t="e">
        <f t="shared" si="124"/>
        <v>#DIV/0!</v>
      </c>
      <c r="CR94" s="73" t="e">
        <f t="shared" si="124"/>
        <v>#DIV/0!</v>
      </c>
      <c r="CS94" s="73" t="e">
        <f t="shared" si="124"/>
        <v>#DIV/0!</v>
      </c>
      <c r="CT94" s="73" t="e">
        <f t="shared" si="124"/>
        <v>#DIV/0!</v>
      </c>
    </row>
    <row r="95" spans="1:98" ht="15.75" customHeight="1">
      <c r="A95" s="39" t="s">
        <v>121</v>
      </c>
      <c r="B95" s="4" t="s">
        <v>48</v>
      </c>
      <c r="C95" s="73" t="e">
        <f t="shared" ref="C95:D95" si="125">C64/C83*1000</f>
        <v>#DIV/0!</v>
      </c>
      <c r="D95" s="73" t="e">
        <f t="shared" ref="D95:E95" si="126">D64/D83*1000</f>
        <v>#DIV/0!</v>
      </c>
      <c r="E95" s="73" t="e">
        <f t="shared" si="126"/>
        <v>#DIV/0!</v>
      </c>
      <c r="F95" s="73" t="e">
        <f t="shared" ref="F95:K95" si="127">F64/F83*1000</f>
        <v>#DIV/0!</v>
      </c>
      <c r="G95" s="73" t="e">
        <f t="shared" si="127"/>
        <v>#DIV/0!</v>
      </c>
      <c r="H95" s="73" t="e">
        <f t="shared" si="127"/>
        <v>#DIV/0!</v>
      </c>
      <c r="I95" s="73" t="e">
        <f t="shared" si="127"/>
        <v>#DIV/0!</v>
      </c>
      <c r="J95" s="73" t="e">
        <f t="shared" si="127"/>
        <v>#DIV/0!</v>
      </c>
      <c r="K95" s="73" t="e">
        <f t="shared" si="127"/>
        <v>#DIV/0!</v>
      </c>
      <c r="L95" s="73" t="e">
        <f t="shared" ref="L95:AC95" si="128">L64/L83*1000</f>
        <v>#DIV/0!</v>
      </c>
      <c r="M95" s="73" t="e">
        <f t="shared" si="128"/>
        <v>#DIV/0!</v>
      </c>
      <c r="N95" s="73" t="e">
        <f t="shared" si="128"/>
        <v>#DIV/0!</v>
      </c>
      <c r="O95" s="73" t="e">
        <f t="shared" si="128"/>
        <v>#DIV/0!</v>
      </c>
      <c r="P95" s="73" t="e">
        <f t="shared" si="128"/>
        <v>#DIV/0!</v>
      </c>
      <c r="Q95" s="73" t="e">
        <f t="shared" si="128"/>
        <v>#DIV/0!</v>
      </c>
      <c r="R95" s="73" t="e">
        <f t="shared" si="128"/>
        <v>#DIV/0!</v>
      </c>
      <c r="S95" s="73" t="e">
        <f t="shared" si="128"/>
        <v>#DIV/0!</v>
      </c>
      <c r="T95" s="73" t="e">
        <f t="shared" si="128"/>
        <v>#DIV/0!</v>
      </c>
      <c r="U95" s="73" t="e">
        <f t="shared" si="128"/>
        <v>#DIV/0!</v>
      </c>
      <c r="V95" s="73" t="e">
        <f t="shared" si="128"/>
        <v>#DIV/0!</v>
      </c>
      <c r="W95" s="73" t="e">
        <f t="shared" si="128"/>
        <v>#DIV/0!</v>
      </c>
      <c r="X95" s="73" t="e">
        <f t="shared" si="128"/>
        <v>#DIV/0!</v>
      </c>
      <c r="Y95" s="73" t="e">
        <f t="shared" si="128"/>
        <v>#DIV/0!</v>
      </c>
      <c r="Z95" s="73" t="e">
        <f t="shared" si="128"/>
        <v>#DIV/0!</v>
      </c>
      <c r="AA95" s="73" t="e">
        <f t="shared" si="128"/>
        <v>#DIV/0!</v>
      </c>
      <c r="AB95" s="73" t="e">
        <f t="shared" si="128"/>
        <v>#DIV/0!</v>
      </c>
      <c r="AC95" s="73" t="e">
        <f t="shared" si="128"/>
        <v>#DIV/0!</v>
      </c>
      <c r="AD95" s="73" t="e">
        <f t="shared" ref="AD95:CN95" si="129">AD64/AD83*1000</f>
        <v>#DIV/0!</v>
      </c>
      <c r="AE95" s="73" t="e">
        <f t="shared" si="129"/>
        <v>#DIV/0!</v>
      </c>
      <c r="AF95" s="73" t="e">
        <f t="shared" si="129"/>
        <v>#DIV/0!</v>
      </c>
      <c r="AG95" s="73" t="e">
        <f t="shared" si="129"/>
        <v>#DIV/0!</v>
      </c>
      <c r="AH95" s="73" t="e">
        <f t="shared" si="129"/>
        <v>#DIV/0!</v>
      </c>
      <c r="AI95" s="73" t="e">
        <f t="shared" si="129"/>
        <v>#DIV/0!</v>
      </c>
      <c r="AJ95" s="73" t="e">
        <f t="shared" si="129"/>
        <v>#DIV/0!</v>
      </c>
      <c r="AK95" s="73" t="e">
        <f t="shared" si="129"/>
        <v>#DIV/0!</v>
      </c>
      <c r="AL95" s="73" t="e">
        <f t="shared" si="129"/>
        <v>#DIV/0!</v>
      </c>
      <c r="AM95" s="73" t="e">
        <f t="shared" si="129"/>
        <v>#DIV/0!</v>
      </c>
      <c r="AN95" s="73" t="e">
        <f t="shared" si="129"/>
        <v>#DIV/0!</v>
      </c>
      <c r="AO95" s="73" t="e">
        <f t="shared" si="129"/>
        <v>#DIV/0!</v>
      </c>
      <c r="AP95" s="73" t="e">
        <f t="shared" si="129"/>
        <v>#DIV/0!</v>
      </c>
      <c r="AQ95" s="73" t="e">
        <f t="shared" si="129"/>
        <v>#DIV/0!</v>
      </c>
      <c r="AR95" s="73" t="e">
        <f t="shared" si="129"/>
        <v>#DIV/0!</v>
      </c>
      <c r="AS95" s="73" t="e">
        <f t="shared" si="129"/>
        <v>#DIV/0!</v>
      </c>
      <c r="AT95" s="73" t="e">
        <f t="shared" si="129"/>
        <v>#DIV/0!</v>
      </c>
      <c r="AU95" s="73" t="e">
        <f t="shared" si="129"/>
        <v>#DIV/0!</v>
      </c>
      <c r="AV95" s="73" t="e">
        <f t="shared" si="129"/>
        <v>#DIV/0!</v>
      </c>
      <c r="AW95" s="73" t="e">
        <f t="shared" si="129"/>
        <v>#DIV/0!</v>
      </c>
      <c r="AX95" s="73" t="e">
        <f t="shared" si="129"/>
        <v>#DIV/0!</v>
      </c>
      <c r="AY95" s="73" t="e">
        <f t="shared" si="129"/>
        <v>#DIV/0!</v>
      </c>
      <c r="AZ95" s="73" t="e">
        <f t="shared" si="129"/>
        <v>#DIV/0!</v>
      </c>
      <c r="BA95" s="73" t="e">
        <f t="shared" si="129"/>
        <v>#DIV/0!</v>
      </c>
      <c r="BB95" s="73" t="e">
        <f t="shared" si="129"/>
        <v>#DIV/0!</v>
      </c>
      <c r="BC95" s="73" t="e">
        <f t="shared" si="129"/>
        <v>#DIV/0!</v>
      </c>
      <c r="BD95" s="73" t="e">
        <f t="shared" si="129"/>
        <v>#DIV/0!</v>
      </c>
      <c r="BE95" s="73" t="e">
        <f t="shared" si="129"/>
        <v>#DIV/0!</v>
      </c>
      <c r="BF95" s="73" t="e">
        <f t="shared" si="129"/>
        <v>#DIV/0!</v>
      </c>
      <c r="BG95" s="73" t="e">
        <f t="shared" si="129"/>
        <v>#DIV/0!</v>
      </c>
      <c r="BH95" s="73" t="e">
        <f t="shared" si="129"/>
        <v>#DIV/0!</v>
      </c>
      <c r="BI95" s="73" t="e">
        <f t="shared" si="129"/>
        <v>#DIV/0!</v>
      </c>
      <c r="BJ95" s="73" t="e">
        <f t="shared" si="129"/>
        <v>#DIV/0!</v>
      </c>
      <c r="BK95" s="73" t="e">
        <f t="shared" si="129"/>
        <v>#DIV/0!</v>
      </c>
      <c r="BL95" s="73" t="e">
        <f t="shared" si="129"/>
        <v>#DIV/0!</v>
      </c>
      <c r="BM95" s="73" t="e">
        <f t="shared" si="129"/>
        <v>#DIV/0!</v>
      </c>
      <c r="BN95" s="73" t="e">
        <f t="shared" si="129"/>
        <v>#DIV/0!</v>
      </c>
      <c r="BO95" s="73" t="e">
        <f t="shared" si="129"/>
        <v>#DIV/0!</v>
      </c>
      <c r="BP95" s="73" t="e">
        <f t="shared" si="129"/>
        <v>#DIV/0!</v>
      </c>
      <c r="BQ95" s="73" t="e">
        <f t="shared" si="129"/>
        <v>#DIV/0!</v>
      </c>
      <c r="BR95" s="73" t="e">
        <f t="shared" si="129"/>
        <v>#DIV/0!</v>
      </c>
      <c r="BS95" s="73" t="e">
        <f t="shared" si="129"/>
        <v>#DIV/0!</v>
      </c>
      <c r="BT95" s="73" t="e">
        <f t="shared" si="129"/>
        <v>#DIV/0!</v>
      </c>
      <c r="BU95" s="73" t="e">
        <f t="shared" si="129"/>
        <v>#DIV/0!</v>
      </c>
      <c r="BV95" s="73" t="e">
        <f t="shared" si="129"/>
        <v>#DIV/0!</v>
      </c>
      <c r="BW95" s="73" t="e">
        <f t="shared" si="129"/>
        <v>#DIV/0!</v>
      </c>
      <c r="BX95" s="73" t="e">
        <f t="shared" si="129"/>
        <v>#DIV/0!</v>
      </c>
      <c r="BY95" s="73" t="e">
        <f t="shared" si="129"/>
        <v>#DIV/0!</v>
      </c>
      <c r="BZ95" s="73" t="e">
        <f t="shared" si="129"/>
        <v>#DIV/0!</v>
      </c>
      <c r="CA95" s="73" t="e">
        <f t="shared" si="129"/>
        <v>#DIV/0!</v>
      </c>
      <c r="CB95" s="73" t="e">
        <f t="shared" si="129"/>
        <v>#DIV/0!</v>
      </c>
      <c r="CC95" s="73" t="e">
        <f t="shared" si="129"/>
        <v>#DIV/0!</v>
      </c>
      <c r="CD95" s="73" t="e">
        <f t="shared" si="129"/>
        <v>#DIV/0!</v>
      </c>
      <c r="CE95" s="73" t="e">
        <f t="shared" si="129"/>
        <v>#DIV/0!</v>
      </c>
      <c r="CF95" s="73" t="e">
        <f t="shared" si="129"/>
        <v>#DIV/0!</v>
      </c>
      <c r="CG95" s="73" t="e">
        <f t="shared" si="129"/>
        <v>#DIV/0!</v>
      </c>
      <c r="CH95" s="73" t="e">
        <f t="shared" si="129"/>
        <v>#DIV/0!</v>
      </c>
      <c r="CI95" s="73" t="e">
        <f t="shared" si="129"/>
        <v>#DIV/0!</v>
      </c>
      <c r="CJ95" s="73" t="e">
        <f t="shared" si="129"/>
        <v>#DIV/0!</v>
      </c>
      <c r="CK95" s="73" t="e">
        <f t="shared" si="129"/>
        <v>#DIV/0!</v>
      </c>
      <c r="CL95" s="73" t="e">
        <f t="shared" si="129"/>
        <v>#DIV/0!</v>
      </c>
      <c r="CM95" s="73" t="e">
        <f t="shared" si="129"/>
        <v>#DIV/0!</v>
      </c>
      <c r="CN95" s="73" t="e">
        <f t="shared" si="129"/>
        <v>#DIV/0!</v>
      </c>
      <c r="CO95" s="73" t="e">
        <f t="shared" ref="CO95:CT95" si="130">CO64/CO83*1000</f>
        <v>#DIV/0!</v>
      </c>
      <c r="CP95" s="73" t="e">
        <f t="shared" si="130"/>
        <v>#DIV/0!</v>
      </c>
      <c r="CQ95" s="73" t="e">
        <f t="shared" si="130"/>
        <v>#DIV/0!</v>
      </c>
      <c r="CR95" s="73" t="e">
        <f t="shared" si="130"/>
        <v>#DIV/0!</v>
      </c>
      <c r="CS95" s="73" t="e">
        <f t="shared" si="130"/>
        <v>#DIV/0!</v>
      </c>
      <c r="CT95" s="73" t="e">
        <f t="shared" si="130"/>
        <v>#DIV/0!</v>
      </c>
    </row>
    <row r="96" spans="1:98" ht="15.75" customHeight="1">
      <c r="A96" s="39" t="s">
        <v>122</v>
      </c>
      <c r="B96" s="4" t="s">
        <v>48</v>
      </c>
      <c r="C96" s="73" t="e">
        <f t="shared" ref="C96:D96" si="131">C69/C84*1000</f>
        <v>#DIV/0!</v>
      </c>
      <c r="D96" s="73" t="e">
        <f t="shared" ref="D96:E96" si="132">D69/D84*1000</f>
        <v>#DIV/0!</v>
      </c>
      <c r="E96" s="73" t="e">
        <f t="shared" si="132"/>
        <v>#DIV/0!</v>
      </c>
      <c r="F96" s="73" t="e">
        <f t="shared" ref="F96:K96" si="133">F69/F84*1000</f>
        <v>#DIV/0!</v>
      </c>
      <c r="G96" s="73" t="e">
        <f t="shared" si="133"/>
        <v>#DIV/0!</v>
      </c>
      <c r="H96" s="73" t="e">
        <f t="shared" si="133"/>
        <v>#DIV/0!</v>
      </c>
      <c r="I96" s="73" t="e">
        <f t="shared" si="133"/>
        <v>#DIV/0!</v>
      </c>
      <c r="J96" s="73" t="e">
        <f t="shared" si="133"/>
        <v>#DIV/0!</v>
      </c>
      <c r="K96" s="73" t="e">
        <f t="shared" si="133"/>
        <v>#DIV/0!</v>
      </c>
      <c r="L96" s="73" t="e">
        <f t="shared" ref="L96:AC96" si="134">L69/L84*1000</f>
        <v>#DIV/0!</v>
      </c>
      <c r="M96" s="73" t="e">
        <f t="shared" si="134"/>
        <v>#DIV/0!</v>
      </c>
      <c r="N96" s="73" t="e">
        <f t="shared" si="134"/>
        <v>#DIV/0!</v>
      </c>
      <c r="O96" s="73" t="e">
        <f t="shared" si="134"/>
        <v>#DIV/0!</v>
      </c>
      <c r="P96" s="73" t="e">
        <f t="shared" si="134"/>
        <v>#DIV/0!</v>
      </c>
      <c r="Q96" s="73" t="e">
        <f t="shared" si="134"/>
        <v>#DIV/0!</v>
      </c>
      <c r="R96" s="73" t="e">
        <f t="shared" si="134"/>
        <v>#DIV/0!</v>
      </c>
      <c r="S96" s="73" t="e">
        <f t="shared" si="134"/>
        <v>#DIV/0!</v>
      </c>
      <c r="T96" s="73" t="e">
        <f t="shared" si="134"/>
        <v>#DIV/0!</v>
      </c>
      <c r="U96" s="73" t="e">
        <f t="shared" si="134"/>
        <v>#DIV/0!</v>
      </c>
      <c r="V96" s="73" t="e">
        <f t="shared" si="134"/>
        <v>#DIV/0!</v>
      </c>
      <c r="W96" s="73" t="e">
        <f t="shared" si="134"/>
        <v>#DIV/0!</v>
      </c>
      <c r="X96" s="73" t="e">
        <f t="shared" si="134"/>
        <v>#DIV/0!</v>
      </c>
      <c r="Y96" s="73" t="e">
        <f t="shared" si="134"/>
        <v>#DIV/0!</v>
      </c>
      <c r="Z96" s="73" t="e">
        <f t="shared" si="134"/>
        <v>#DIV/0!</v>
      </c>
      <c r="AA96" s="73" t="e">
        <f t="shared" si="134"/>
        <v>#DIV/0!</v>
      </c>
      <c r="AB96" s="73" t="e">
        <f t="shared" si="134"/>
        <v>#DIV/0!</v>
      </c>
      <c r="AC96" s="73" t="e">
        <f t="shared" si="134"/>
        <v>#DIV/0!</v>
      </c>
      <c r="AD96" s="73" t="e">
        <f t="shared" ref="AD96:CN96" si="135">AD69/AD84*1000</f>
        <v>#DIV/0!</v>
      </c>
      <c r="AE96" s="73" t="e">
        <f t="shared" si="135"/>
        <v>#DIV/0!</v>
      </c>
      <c r="AF96" s="73" t="e">
        <f t="shared" si="135"/>
        <v>#DIV/0!</v>
      </c>
      <c r="AG96" s="73" t="e">
        <f t="shared" si="135"/>
        <v>#DIV/0!</v>
      </c>
      <c r="AH96" s="73" t="e">
        <f t="shared" si="135"/>
        <v>#DIV/0!</v>
      </c>
      <c r="AI96" s="73" t="e">
        <f t="shared" si="135"/>
        <v>#DIV/0!</v>
      </c>
      <c r="AJ96" s="73" t="e">
        <f t="shared" si="135"/>
        <v>#DIV/0!</v>
      </c>
      <c r="AK96" s="73" t="e">
        <f t="shared" si="135"/>
        <v>#DIV/0!</v>
      </c>
      <c r="AL96" s="73" t="e">
        <f t="shared" si="135"/>
        <v>#DIV/0!</v>
      </c>
      <c r="AM96" s="73" t="e">
        <f t="shared" si="135"/>
        <v>#DIV/0!</v>
      </c>
      <c r="AN96" s="73" t="e">
        <f t="shared" si="135"/>
        <v>#DIV/0!</v>
      </c>
      <c r="AO96" s="73" t="e">
        <f t="shared" si="135"/>
        <v>#DIV/0!</v>
      </c>
      <c r="AP96" s="73" t="e">
        <f t="shared" si="135"/>
        <v>#DIV/0!</v>
      </c>
      <c r="AQ96" s="73" t="e">
        <f t="shared" si="135"/>
        <v>#DIV/0!</v>
      </c>
      <c r="AR96" s="73" t="e">
        <f t="shared" si="135"/>
        <v>#DIV/0!</v>
      </c>
      <c r="AS96" s="73" t="e">
        <f t="shared" si="135"/>
        <v>#DIV/0!</v>
      </c>
      <c r="AT96" s="73" t="e">
        <f t="shared" si="135"/>
        <v>#DIV/0!</v>
      </c>
      <c r="AU96" s="73" t="e">
        <f t="shared" si="135"/>
        <v>#DIV/0!</v>
      </c>
      <c r="AV96" s="73" t="e">
        <f t="shared" si="135"/>
        <v>#DIV/0!</v>
      </c>
      <c r="AW96" s="73" t="e">
        <f t="shared" si="135"/>
        <v>#DIV/0!</v>
      </c>
      <c r="AX96" s="73" t="e">
        <f t="shared" si="135"/>
        <v>#DIV/0!</v>
      </c>
      <c r="AY96" s="73" t="e">
        <f t="shared" si="135"/>
        <v>#DIV/0!</v>
      </c>
      <c r="AZ96" s="73" t="e">
        <f t="shared" si="135"/>
        <v>#DIV/0!</v>
      </c>
      <c r="BA96" s="73" t="e">
        <f t="shared" si="135"/>
        <v>#DIV/0!</v>
      </c>
      <c r="BB96" s="73" t="e">
        <f t="shared" si="135"/>
        <v>#DIV/0!</v>
      </c>
      <c r="BC96" s="73" t="e">
        <f t="shared" si="135"/>
        <v>#DIV/0!</v>
      </c>
      <c r="BD96" s="73" t="e">
        <f t="shared" si="135"/>
        <v>#DIV/0!</v>
      </c>
      <c r="BE96" s="73" t="e">
        <f t="shared" si="135"/>
        <v>#DIV/0!</v>
      </c>
      <c r="BF96" s="73" t="e">
        <f t="shared" si="135"/>
        <v>#DIV/0!</v>
      </c>
      <c r="BG96" s="73" t="e">
        <f t="shared" si="135"/>
        <v>#DIV/0!</v>
      </c>
      <c r="BH96" s="73" t="e">
        <f t="shared" si="135"/>
        <v>#DIV/0!</v>
      </c>
      <c r="BI96" s="73" t="e">
        <f t="shared" si="135"/>
        <v>#DIV/0!</v>
      </c>
      <c r="BJ96" s="73" t="e">
        <f t="shared" si="135"/>
        <v>#DIV/0!</v>
      </c>
      <c r="BK96" s="73" t="e">
        <f t="shared" si="135"/>
        <v>#DIV/0!</v>
      </c>
      <c r="BL96" s="73" t="e">
        <f t="shared" si="135"/>
        <v>#DIV/0!</v>
      </c>
      <c r="BM96" s="73" t="e">
        <f t="shared" si="135"/>
        <v>#DIV/0!</v>
      </c>
      <c r="BN96" s="73" t="e">
        <f t="shared" si="135"/>
        <v>#DIV/0!</v>
      </c>
      <c r="BO96" s="73" t="e">
        <f t="shared" si="135"/>
        <v>#DIV/0!</v>
      </c>
      <c r="BP96" s="73" t="e">
        <f t="shared" si="135"/>
        <v>#DIV/0!</v>
      </c>
      <c r="BQ96" s="73" t="e">
        <f t="shared" si="135"/>
        <v>#DIV/0!</v>
      </c>
      <c r="BR96" s="73" t="e">
        <f t="shared" si="135"/>
        <v>#DIV/0!</v>
      </c>
      <c r="BS96" s="73" t="e">
        <f t="shared" si="135"/>
        <v>#DIV/0!</v>
      </c>
      <c r="BT96" s="73" t="e">
        <f t="shared" si="135"/>
        <v>#DIV/0!</v>
      </c>
      <c r="BU96" s="73" t="e">
        <f t="shared" si="135"/>
        <v>#DIV/0!</v>
      </c>
      <c r="BV96" s="73" t="e">
        <f t="shared" si="135"/>
        <v>#DIV/0!</v>
      </c>
      <c r="BW96" s="73" t="e">
        <f t="shared" si="135"/>
        <v>#DIV/0!</v>
      </c>
      <c r="BX96" s="73" t="e">
        <f t="shared" si="135"/>
        <v>#DIV/0!</v>
      </c>
      <c r="BY96" s="73" t="e">
        <f t="shared" si="135"/>
        <v>#DIV/0!</v>
      </c>
      <c r="BZ96" s="73" t="e">
        <f t="shared" si="135"/>
        <v>#DIV/0!</v>
      </c>
      <c r="CA96" s="73" t="e">
        <f t="shared" si="135"/>
        <v>#DIV/0!</v>
      </c>
      <c r="CB96" s="73" t="e">
        <f t="shared" si="135"/>
        <v>#DIV/0!</v>
      </c>
      <c r="CC96" s="73" t="e">
        <f t="shared" si="135"/>
        <v>#DIV/0!</v>
      </c>
      <c r="CD96" s="73" t="e">
        <f t="shared" si="135"/>
        <v>#DIV/0!</v>
      </c>
      <c r="CE96" s="73" t="e">
        <f t="shared" si="135"/>
        <v>#DIV/0!</v>
      </c>
      <c r="CF96" s="73" t="e">
        <f t="shared" si="135"/>
        <v>#DIV/0!</v>
      </c>
      <c r="CG96" s="73" t="e">
        <f t="shared" si="135"/>
        <v>#DIV/0!</v>
      </c>
      <c r="CH96" s="73" t="e">
        <f t="shared" si="135"/>
        <v>#DIV/0!</v>
      </c>
      <c r="CI96" s="73" t="e">
        <f t="shared" si="135"/>
        <v>#DIV/0!</v>
      </c>
      <c r="CJ96" s="73" t="e">
        <f t="shared" si="135"/>
        <v>#DIV/0!</v>
      </c>
      <c r="CK96" s="73" t="e">
        <f t="shared" si="135"/>
        <v>#DIV/0!</v>
      </c>
      <c r="CL96" s="73" t="e">
        <f t="shared" si="135"/>
        <v>#DIV/0!</v>
      </c>
      <c r="CM96" s="73" t="e">
        <f t="shared" si="135"/>
        <v>#DIV/0!</v>
      </c>
      <c r="CN96" s="73" t="e">
        <f t="shared" si="135"/>
        <v>#DIV/0!</v>
      </c>
      <c r="CO96" s="73" t="e">
        <f t="shared" ref="CO96:CT96" si="136">CO69/CO84*1000</f>
        <v>#DIV/0!</v>
      </c>
      <c r="CP96" s="73" t="e">
        <f t="shared" si="136"/>
        <v>#DIV/0!</v>
      </c>
      <c r="CQ96" s="73" t="e">
        <f t="shared" si="136"/>
        <v>#DIV/0!</v>
      </c>
      <c r="CR96" s="73" t="e">
        <f t="shared" si="136"/>
        <v>#DIV/0!</v>
      </c>
      <c r="CS96" s="73" t="e">
        <f t="shared" si="136"/>
        <v>#DIV/0!</v>
      </c>
      <c r="CT96" s="73" t="e">
        <f t="shared" si="136"/>
        <v>#DIV/0!</v>
      </c>
    </row>
    <row r="97" spans="1:98" ht="15.75" customHeight="1" thickBot="1">
      <c r="A97" s="41" t="s">
        <v>123</v>
      </c>
      <c r="B97" s="42" t="s">
        <v>48</v>
      </c>
      <c r="C97" s="43" t="e">
        <f t="shared" ref="C97:D97" si="137">C72/C85*1000</f>
        <v>#DIV/0!</v>
      </c>
      <c r="D97" s="43" t="e">
        <f t="shared" ref="D97:E97" si="138">D72/D85*1000</f>
        <v>#DIV/0!</v>
      </c>
      <c r="E97" s="43" t="e">
        <f t="shared" si="138"/>
        <v>#DIV/0!</v>
      </c>
      <c r="F97" s="43" t="e">
        <f t="shared" ref="F97:K97" si="139">F72/F85*1000</f>
        <v>#DIV/0!</v>
      </c>
      <c r="G97" s="43" t="e">
        <f t="shared" si="139"/>
        <v>#DIV/0!</v>
      </c>
      <c r="H97" s="43" t="e">
        <f t="shared" si="139"/>
        <v>#DIV/0!</v>
      </c>
      <c r="I97" s="43" t="e">
        <f t="shared" si="139"/>
        <v>#DIV/0!</v>
      </c>
      <c r="J97" s="43" t="e">
        <f t="shared" si="139"/>
        <v>#DIV/0!</v>
      </c>
      <c r="K97" s="43" t="e">
        <f t="shared" si="139"/>
        <v>#DIV/0!</v>
      </c>
      <c r="L97" s="43" t="e">
        <f t="shared" ref="L97:AC97" si="140">L72/L85*1000</f>
        <v>#DIV/0!</v>
      </c>
      <c r="M97" s="43" t="e">
        <f t="shared" si="140"/>
        <v>#DIV/0!</v>
      </c>
      <c r="N97" s="43" t="e">
        <f t="shared" si="140"/>
        <v>#DIV/0!</v>
      </c>
      <c r="O97" s="43" t="e">
        <f t="shared" si="140"/>
        <v>#DIV/0!</v>
      </c>
      <c r="P97" s="43" t="e">
        <f t="shared" si="140"/>
        <v>#DIV/0!</v>
      </c>
      <c r="Q97" s="43" t="e">
        <f t="shared" si="140"/>
        <v>#DIV/0!</v>
      </c>
      <c r="R97" s="43" t="e">
        <f t="shared" si="140"/>
        <v>#DIV/0!</v>
      </c>
      <c r="S97" s="43" t="e">
        <f t="shared" si="140"/>
        <v>#DIV/0!</v>
      </c>
      <c r="T97" s="43" t="e">
        <f t="shared" si="140"/>
        <v>#DIV/0!</v>
      </c>
      <c r="U97" s="43" t="e">
        <f t="shared" si="140"/>
        <v>#DIV/0!</v>
      </c>
      <c r="V97" s="43" t="e">
        <f t="shared" si="140"/>
        <v>#DIV/0!</v>
      </c>
      <c r="W97" s="43" t="e">
        <f t="shared" si="140"/>
        <v>#DIV/0!</v>
      </c>
      <c r="X97" s="43" t="e">
        <f t="shared" si="140"/>
        <v>#DIV/0!</v>
      </c>
      <c r="Y97" s="43" t="e">
        <f t="shared" si="140"/>
        <v>#DIV/0!</v>
      </c>
      <c r="Z97" s="43" t="e">
        <f t="shared" si="140"/>
        <v>#DIV/0!</v>
      </c>
      <c r="AA97" s="43" t="e">
        <f t="shared" si="140"/>
        <v>#DIV/0!</v>
      </c>
      <c r="AB97" s="43" t="e">
        <f t="shared" si="140"/>
        <v>#DIV/0!</v>
      </c>
      <c r="AC97" s="43" t="e">
        <f t="shared" si="140"/>
        <v>#DIV/0!</v>
      </c>
      <c r="AD97" s="43" t="e">
        <f t="shared" ref="AD97:CN97" si="141">AD72/AD85*1000</f>
        <v>#DIV/0!</v>
      </c>
      <c r="AE97" s="43" t="e">
        <f t="shared" si="141"/>
        <v>#DIV/0!</v>
      </c>
      <c r="AF97" s="43" t="e">
        <f t="shared" si="141"/>
        <v>#DIV/0!</v>
      </c>
      <c r="AG97" s="43" t="e">
        <f t="shared" si="141"/>
        <v>#DIV/0!</v>
      </c>
      <c r="AH97" s="43" t="e">
        <f t="shared" si="141"/>
        <v>#DIV/0!</v>
      </c>
      <c r="AI97" s="43" t="e">
        <f t="shared" si="141"/>
        <v>#DIV/0!</v>
      </c>
      <c r="AJ97" s="43" t="e">
        <f t="shared" si="141"/>
        <v>#DIV/0!</v>
      </c>
      <c r="AK97" s="43" t="e">
        <f t="shared" si="141"/>
        <v>#DIV/0!</v>
      </c>
      <c r="AL97" s="43" t="e">
        <f t="shared" si="141"/>
        <v>#DIV/0!</v>
      </c>
      <c r="AM97" s="43" t="e">
        <f t="shared" si="141"/>
        <v>#DIV/0!</v>
      </c>
      <c r="AN97" s="43" t="e">
        <f t="shared" si="141"/>
        <v>#DIV/0!</v>
      </c>
      <c r="AO97" s="43" t="e">
        <f t="shared" si="141"/>
        <v>#DIV/0!</v>
      </c>
      <c r="AP97" s="43" t="e">
        <f t="shared" si="141"/>
        <v>#DIV/0!</v>
      </c>
      <c r="AQ97" s="43" t="e">
        <f t="shared" si="141"/>
        <v>#DIV/0!</v>
      </c>
      <c r="AR97" s="43" t="e">
        <f t="shared" si="141"/>
        <v>#DIV/0!</v>
      </c>
      <c r="AS97" s="43" t="e">
        <f t="shared" si="141"/>
        <v>#DIV/0!</v>
      </c>
      <c r="AT97" s="43" t="e">
        <f t="shared" si="141"/>
        <v>#DIV/0!</v>
      </c>
      <c r="AU97" s="43" t="e">
        <f t="shared" si="141"/>
        <v>#DIV/0!</v>
      </c>
      <c r="AV97" s="43" t="e">
        <f t="shared" si="141"/>
        <v>#DIV/0!</v>
      </c>
      <c r="AW97" s="43" t="e">
        <f t="shared" si="141"/>
        <v>#DIV/0!</v>
      </c>
      <c r="AX97" s="43" t="e">
        <f t="shared" si="141"/>
        <v>#DIV/0!</v>
      </c>
      <c r="AY97" s="43" t="e">
        <f t="shared" si="141"/>
        <v>#DIV/0!</v>
      </c>
      <c r="AZ97" s="43" t="e">
        <f t="shared" si="141"/>
        <v>#DIV/0!</v>
      </c>
      <c r="BA97" s="43" t="e">
        <f t="shared" si="141"/>
        <v>#DIV/0!</v>
      </c>
      <c r="BB97" s="43" t="e">
        <f t="shared" si="141"/>
        <v>#DIV/0!</v>
      </c>
      <c r="BC97" s="43" t="e">
        <f t="shared" si="141"/>
        <v>#DIV/0!</v>
      </c>
      <c r="BD97" s="43" t="e">
        <f t="shared" si="141"/>
        <v>#DIV/0!</v>
      </c>
      <c r="BE97" s="43" t="e">
        <f t="shared" si="141"/>
        <v>#DIV/0!</v>
      </c>
      <c r="BF97" s="43" t="e">
        <f t="shared" si="141"/>
        <v>#DIV/0!</v>
      </c>
      <c r="BG97" s="43" t="e">
        <f t="shared" si="141"/>
        <v>#DIV/0!</v>
      </c>
      <c r="BH97" s="43" t="e">
        <f t="shared" si="141"/>
        <v>#DIV/0!</v>
      </c>
      <c r="BI97" s="43" t="e">
        <f t="shared" si="141"/>
        <v>#DIV/0!</v>
      </c>
      <c r="BJ97" s="43" t="e">
        <f t="shared" si="141"/>
        <v>#DIV/0!</v>
      </c>
      <c r="BK97" s="43" t="e">
        <f t="shared" si="141"/>
        <v>#DIV/0!</v>
      </c>
      <c r="BL97" s="43" t="e">
        <f t="shared" si="141"/>
        <v>#DIV/0!</v>
      </c>
      <c r="BM97" s="43" t="e">
        <f t="shared" si="141"/>
        <v>#DIV/0!</v>
      </c>
      <c r="BN97" s="43" t="e">
        <f t="shared" si="141"/>
        <v>#DIV/0!</v>
      </c>
      <c r="BO97" s="43" t="e">
        <f t="shared" si="141"/>
        <v>#DIV/0!</v>
      </c>
      <c r="BP97" s="43" t="e">
        <f t="shared" si="141"/>
        <v>#DIV/0!</v>
      </c>
      <c r="BQ97" s="43" t="e">
        <f t="shared" si="141"/>
        <v>#DIV/0!</v>
      </c>
      <c r="BR97" s="43" t="e">
        <f t="shared" si="141"/>
        <v>#DIV/0!</v>
      </c>
      <c r="BS97" s="43" t="e">
        <f t="shared" si="141"/>
        <v>#DIV/0!</v>
      </c>
      <c r="BT97" s="43" t="e">
        <f t="shared" si="141"/>
        <v>#DIV/0!</v>
      </c>
      <c r="BU97" s="43" t="e">
        <f t="shared" si="141"/>
        <v>#DIV/0!</v>
      </c>
      <c r="BV97" s="43" t="e">
        <f t="shared" si="141"/>
        <v>#DIV/0!</v>
      </c>
      <c r="BW97" s="43" t="e">
        <f t="shared" si="141"/>
        <v>#DIV/0!</v>
      </c>
      <c r="BX97" s="43" t="e">
        <f t="shared" si="141"/>
        <v>#DIV/0!</v>
      </c>
      <c r="BY97" s="43" t="e">
        <f t="shared" si="141"/>
        <v>#DIV/0!</v>
      </c>
      <c r="BZ97" s="43" t="e">
        <f t="shared" si="141"/>
        <v>#DIV/0!</v>
      </c>
      <c r="CA97" s="43" t="e">
        <f t="shared" si="141"/>
        <v>#DIV/0!</v>
      </c>
      <c r="CB97" s="43" t="e">
        <f t="shared" si="141"/>
        <v>#DIV/0!</v>
      </c>
      <c r="CC97" s="43" t="e">
        <f t="shared" si="141"/>
        <v>#DIV/0!</v>
      </c>
      <c r="CD97" s="43" t="e">
        <f t="shared" si="141"/>
        <v>#DIV/0!</v>
      </c>
      <c r="CE97" s="43" t="e">
        <f t="shared" si="141"/>
        <v>#DIV/0!</v>
      </c>
      <c r="CF97" s="43" t="e">
        <f t="shared" si="141"/>
        <v>#DIV/0!</v>
      </c>
      <c r="CG97" s="43" t="e">
        <f t="shared" si="141"/>
        <v>#DIV/0!</v>
      </c>
      <c r="CH97" s="43" t="e">
        <f t="shared" si="141"/>
        <v>#DIV/0!</v>
      </c>
      <c r="CI97" s="43" t="e">
        <f t="shared" si="141"/>
        <v>#DIV/0!</v>
      </c>
      <c r="CJ97" s="43" t="e">
        <f t="shared" si="141"/>
        <v>#DIV/0!</v>
      </c>
      <c r="CK97" s="43" t="e">
        <f t="shared" si="141"/>
        <v>#DIV/0!</v>
      </c>
      <c r="CL97" s="43" t="e">
        <f t="shared" si="141"/>
        <v>#DIV/0!</v>
      </c>
      <c r="CM97" s="43" t="e">
        <f t="shared" si="141"/>
        <v>#DIV/0!</v>
      </c>
      <c r="CN97" s="43" t="e">
        <f t="shared" si="141"/>
        <v>#DIV/0!</v>
      </c>
      <c r="CO97" s="43" t="e">
        <f t="shared" ref="CO97:CT97" si="142">CO72/CO85*1000</f>
        <v>#DIV/0!</v>
      </c>
      <c r="CP97" s="43" t="e">
        <f t="shared" si="142"/>
        <v>#DIV/0!</v>
      </c>
      <c r="CQ97" s="43" t="e">
        <f t="shared" si="142"/>
        <v>#DIV/0!</v>
      </c>
      <c r="CR97" s="43" t="e">
        <f t="shared" si="142"/>
        <v>#DIV/0!</v>
      </c>
      <c r="CS97" s="43" t="e">
        <f t="shared" si="142"/>
        <v>#DIV/0!</v>
      </c>
      <c r="CT97" s="43" t="e">
        <f t="shared" si="142"/>
        <v>#DIV/0!</v>
      </c>
    </row>
    <row r="98" spans="1:98" ht="15.75" customHeight="1" thickBot="1">
      <c r="A98" s="41" t="s">
        <v>124</v>
      </c>
      <c r="B98" s="42" t="s">
        <v>125</v>
      </c>
      <c r="C98" s="43" t="e">
        <f t="shared" ref="C98:D98" si="143">C47*C38/10^6/C87*1000</f>
        <v>#DIV/0!</v>
      </c>
      <c r="D98" s="43" t="e">
        <f t="shared" ref="D98:E98" si="144">D47*D38/10^6/D87*1000</f>
        <v>#DIV/0!</v>
      </c>
      <c r="E98" s="43" t="e">
        <f t="shared" si="144"/>
        <v>#DIV/0!</v>
      </c>
      <c r="F98" s="43" t="e">
        <f t="shared" ref="F98:K98" si="145">F47*F38/10^6/F87*1000</f>
        <v>#DIV/0!</v>
      </c>
      <c r="G98" s="43" t="e">
        <f t="shared" si="145"/>
        <v>#DIV/0!</v>
      </c>
      <c r="H98" s="43" t="e">
        <f t="shared" si="145"/>
        <v>#DIV/0!</v>
      </c>
      <c r="I98" s="43" t="e">
        <f t="shared" si="145"/>
        <v>#DIV/0!</v>
      </c>
      <c r="J98" s="43" t="e">
        <f t="shared" si="145"/>
        <v>#DIV/0!</v>
      </c>
      <c r="K98" s="43" t="e">
        <f t="shared" si="145"/>
        <v>#DIV/0!</v>
      </c>
      <c r="L98" s="43" t="e">
        <f t="shared" ref="L98:AC98" si="146">L47*L38/10^6/L87*1000</f>
        <v>#DIV/0!</v>
      </c>
      <c r="M98" s="43" t="e">
        <f t="shared" si="146"/>
        <v>#DIV/0!</v>
      </c>
      <c r="N98" s="43" t="e">
        <f t="shared" si="146"/>
        <v>#DIV/0!</v>
      </c>
      <c r="O98" s="43" t="e">
        <f t="shared" si="146"/>
        <v>#DIV/0!</v>
      </c>
      <c r="P98" s="43" t="e">
        <f t="shared" si="146"/>
        <v>#DIV/0!</v>
      </c>
      <c r="Q98" s="43" t="e">
        <f t="shared" si="146"/>
        <v>#DIV/0!</v>
      </c>
      <c r="R98" s="43" t="e">
        <f t="shared" si="146"/>
        <v>#DIV/0!</v>
      </c>
      <c r="S98" s="43" t="e">
        <f t="shared" si="146"/>
        <v>#DIV/0!</v>
      </c>
      <c r="T98" s="43" t="e">
        <f t="shared" si="146"/>
        <v>#DIV/0!</v>
      </c>
      <c r="U98" s="43" t="e">
        <f t="shared" si="146"/>
        <v>#DIV/0!</v>
      </c>
      <c r="V98" s="43" t="e">
        <f t="shared" si="146"/>
        <v>#DIV/0!</v>
      </c>
      <c r="W98" s="43" t="e">
        <f t="shared" si="146"/>
        <v>#DIV/0!</v>
      </c>
      <c r="X98" s="43" t="e">
        <f t="shared" si="146"/>
        <v>#DIV/0!</v>
      </c>
      <c r="Y98" s="43" t="e">
        <f t="shared" si="146"/>
        <v>#DIV/0!</v>
      </c>
      <c r="Z98" s="43" t="e">
        <f t="shared" si="146"/>
        <v>#DIV/0!</v>
      </c>
      <c r="AA98" s="43" t="e">
        <f t="shared" si="146"/>
        <v>#DIV/0!</v>
      </c>
      <c r="AB98" s="43" t="e">
        <f t="shared" si="146"/>
        <v>#DIV/0!</v>
      </c>
      <c r="AC98" s="43" t="e">
        <f t="shared" si="146"/>
        <v>#DIV/0!</v>
      </c>
      <c r="AD98" s="43" t="e">
        <f t="shared" ref="AD98:CN98" si="147">AD47*AD38/10^6/AD87*1000</f>
        <v>#DIV/0!</v>
      </c>
      <c r="AE98" s="43" t="e">
        <f t="shared" si="147"/>
        <v>#DIV/0!</v>
      </c>
      <c r="AF98" s="43" t="e">
        <f t="shared" si="147"/>
        <v>#DIV/0!</v>
      </c>
      <c r="AG98" s="43" t="e">
        <f t="shared" si="147"/>
        <v>#DIV/0!</v>
      </c>
      <c r="AH98" s="43" t="e">
        <f t="shared" si="147"/>
        <v>#DIV/0!</v>
      </c>
      <c r="AI98" s="43" t="e">
        <f t="shared" si="147"/>
        <v>#DIV/0!</v>
      </c>
      <c r="AJ98" s="43" t="e">
        <f t="shared" si="147"/>
        <v>#DIV/0!</v>
      </c>
      <c r="AK98" s="43" t="e">
        <f t="shared" si="147"/>
        <v>#DIV/0!</v>
      </c>
      <c r="AL98" s="43" t="e">
        <f t="shared" si="147"/>
        <v>#DIV/0!</v>
      </c>
      <c r="AM98" s="43" t="e">
        <f t="shared" si="147"/>
        <v>#DIV/0!</v>
      </c>
      <c r="AN98" s="43" t="e">
        <f t="shared" si="147"/>
        <v>#DIV/0!</v>
      </c>
      <c r="AO98" s="43" t="e">
        <f t="shared" si="147"/>
        <v>#DIV/0!</v>
      </c>
      <c r="AP98" s="43" t="e">
        <f t="shared" si="147"/>
        <v>#DIV/0!</v>
      </c>
      <c r="AQ98" s="43" t="e">
        <f t="shared" si="147"/>
        <v>#DIV/0!</v>
      </c>
      <c r="AR98" s="43" t="e">
        <f t="shared" si="147"/>
        <v>#DIV/0!</v>
      </c>
      <c r="AS98" s="43" t="e">
        <f t="shared" si="147"/>
        <v>#DIV/0!</v>
      </c>
      <c r="AT98" s="43" t="e">
        <f t="shared" si="147"/>
        <v>#DIV/0!</v>
      </c>
      <c r="AU98" s="43" t="e">
        <f t="shared" si="147"/>
        <v>#DIV/0!</v>
      </c>
      <c r="AV98" s="43" t="e">
        <f t="shared" si="147"/>
        <v>#DIV/0!</v>
      </c>
      <c r="AW98" s="43" t="e">
        <f t="shared" si="147"/>
        <v>#DIV/0!</v>
      </c>
      <c r="AX98" s="43" t="e">
        <f t="shared" si="147"/>
        <v>#DIV/0!</v>
      </c>
      <c r="AY98" s="43" t="e">
        <f t="shared" si="147"/>
        <v>#DIV/0!</v>
      </c>
      <c r="AZ98" s="43" t="e">
        <f t="shared" si="147"/>
        <v>#DIV/0!</v>
      </c>
      <c r="BA98" s="43" t="e">
        <f t="shared" si="147"/>
        <v>#DIV/0!</v>
      </c>
      <c r="BB98" s="43" t="e">
        <f t="shared" si="147"/>
        <v>#DIV/0!</v>
      </c>
      <c r="BC98" s="43" t="e">
        <f t="shared" si="147"/>
        <v>#DIV/0!</v>
      </c>
      <c r="BD98" s="43" t="e">
        <f t="shared" si="147"/>
        <v>#DIV/0!</v>
      </c>
      <c r="BE98" s="43" t="e">
        <f t="shared" si="147"/>
        <v>#DIV/0!</v>
      </c>
      <c r="BF98" s="43" t="e">
        <f t="shared" si="147"/>
        <v>#DIV/0!</v>
      </c>
      <c r="BG98" s="43" t="e">
        <f t="shared" si="147"/>
        <v>#DIV/0!</v>
      </c>
      <c r="BH98" s="43" t="e">
        <f t="shared" si="147"/>
        <v>#DIV/0!</v>
      </c>
      <c r="BI98" s="43" t="e">
        <f t="shared" si="147"/>
        <v>#DIV/0!</v>
      </c>
      <c r="BJ98" s="43" t="e">
        <f t="shared" si="147"/>
        <v>#DIV/0!</v>
      </c>
      <c r="BK98" s="43" t="e">
        <f t="shared" si="147"/>
        <v>#DIV/0!</v>
      </c>
      <c r="BL98" s="43" t="e">
        <f t="shared" si="147"/>
        <v>#DIV/0!</v>
      </c>
      <c r="BM98" s="43" t="e">
        <f t="shared" si="147"/>
        <v>#DIV/0!</v>
      </c>
      <c r="BN98" s="43" t="e">
        <f t="shared" si="147"/>
        <v>#DIV/0!</v>
      </c>
      <c r="BO98" s="43" t="e">
        <f t="shared" si="147"/>
        <v>#DIV/0!</v>
      </c>
      <c r="BP98" s="43" t="e">
        <f t="shared" si="147"/>
        <v>#DIV/0!</v>
      </c>
      <c r="BQ98" s="43" t="e">
        <f t="shared" si="147"/>
        <v>#DIV/0!</v>
      </c>
      <c r="BR98" s="43" t="e">
        <f t="shared" si="147"/>
        <v>#DIV/0!</v>
      </c>
      <c r="BS98" s="43" t="e">
        <f t="shared" si="147"/>
        <v>#DIV/0!</v>
      </c>
      <c r="BT98" s="43" t="e">
        <f t="shared" si="147"/>
        <v>#DIV/0!</v>
      </c>
      <c r="BU98" s="43" t="e">
        <f t="shared" si="147"/>
        <v>#DIV/0!</v>
      </c>
      <c r="BV98" s="43" t="e">
        <f t="shared" si="147"/>
        <v>#DIV/0!</v>
      </c>
      <c r="BW98" s="43" t="e">
        <f t="shared" si="147"/>
        <v>#DIV/0!</v>
      </c>
      <c r="BX98" s="43" t="e">
        <f t="shared" si="147"/>
        <v>#DIV/0!</v>
      </c>
      <c r="BY98" s="43" t="e">
        <f t="shared" si="147"/>
        <v>#DIV/0!</v>
      </c>
      <c r="BZ98" s="43" t="e">
        <f t="shared" si="147"/>
        <v>#DIV/0!</v>
      </c>
      <c r="CA98" s="43" t="e">
        <f t="shared" si="147"/>
        <v>#DIV/0!</v>
      </c>
      <c r="CB98" s="43" t="e">
        <f t="shared" si="147"/>
        <v>#DIV/0!</v>
      </c>
      <c r="CC98" s="43" t="e">
        <f t="shared" si="147"/>
        <v>#DIV/0!</v>
      </c>
      <c r="CD98" s="43" t="e">
        <f t="shared" si="147"/>
        <v>#DIV/0!</v>
      </c>
      <c r="CE98" s="43" t="e">
        <f t="shared" si="147"/>
        <v>#DIV/0!</v>
      </c>
      <c r="CF98" s="43" t="e">
        <f t="shared" si="147"/>
        <v>#DIV/0!</v>
      </c>
      <c r="CG98" s="43" t="e">
        <f t="shared" si="147"/>
        <v>#DIV/0!</v>
      </c>
      <c r="CH98" s="43" t="e">
        <f t="shared" si="147"/>
        <v>#DIV/0!</v>
      </c>
      <c r="CI98" s="43" t="e">
        <f t="shared" si="147"/>
        <v>#DIV/0!</v>
      </c>
      <c r="CJ98" s="43" t="e">
        <f t="shared" si="147"/>
        <v>#DIV/0!</v>
      </c>
      <c r="CK98" s="43" t="e">
        <f t="shared" si="147"/>
        <v>#DIV/0!</v>
      </c>
      <c r="CL98" s="43" t="e">
        <f t="shared" si="147"/>
        <v>#DIV/0!</v>
      </c>
      <c r="CM98" s="43" t="e">
        <f t="shared" si="147"/>
        <v>#DIV/0!</v>
      </c>
      <c r="CN98" s="43" t="e">
        <f t="shared" si="147"/>
        <v>#DIV/0!</v>
      </c>
      <c r="CO98" s="43" t="e">
        <f t="shared" ref="CO98:CT98" si="148">CO47*CO38/10^6/CO87*1000</f>
        <v>#DIV/0!</v>
      </c>
      <c r="CP98" s="43" t="e">
        <f t="shared" si="148"/>
        <v>#DIV/0!</v>
      </c>
      <c r="CQ98" s="43" t="e">
        <f t="shared" si="148"/>
        <v>#DIV/0!</v>
      </c>
      <c r="CR98" s="43" t="e">
        <f t="shared" si="148"/>
        <v>#DIV/0!</v>
      </c>
      <c r="CS98" s="43" t="e">
        <f t="shared" si="148"/>
        <v>#DIV/0!</v>
      </c>
      <c r="CT98" s="43" t="e">
        <f t="shared" si="148"/>
        <v>#DIV/0!</v>
      </c>
    </row>
    <row r="99" spans="1:98" ht="15.75" customHeight="1" thickBot="1">
      <c r="A99" s="44" t="s">
        <v>126</v>
      </c>
      <c r="B99" s="45" t="s">
        <v>48</v>
      </c>
      <c r="C99" s="46" t="e">
        <f t="shared" ref="C99:D99" si="149">C49-SUM(C93:C98)+$C$123</f>
        <v>#DIV/0!</v>
      </c>
      <c r="D99" s="46" t="e">
        <f t="shared" ref="D99:E99" si="150">D49-SUM(D93:D98)+$C$123</f>
        <v>#DIV/0!</v>
      </c>
      <c r="E99" s="46" t="e">
        <f t="shared" si="150"/>
        <v>#DIV/0!</v>
      </c>
      <c r="F99" s="46" t="e">
        <f t="shared" ref="F99:K99" si="151">F49-SUM(F93:F98)+$C$123</f>
        <v>#DIV/0!</v>
      </c>
      <c r="G99" s="46" t="e">
        <f t="shared" si="151"/>
        <v>#DIV/0!</v>
      </c>
      <c r="H99" s="46" t="e">
        <f t="shared" si="151"/>
        <v>#DIV/0!</v>
      </c>
      <c r="I99" s="46" t="e">
        <f t="shared" si="151"/>
        <v>#DIV/0!</v>
      </c>
      <c r="J99" s="46" t="e">
        <f t="shared" si="151"/>
        <v>#DIV/0!</v>
      </c>
      <c r="K99" s="46" t="e">
        <f t="shared" si="151"/>
        <v>#DIV/0!</v>
      </c>
      <c r="L99" s="46" t="e">
        <f t="shared" ref="L99:AC99" si="152">L49-SUM(L93:L98)+$C$123</f>
        <v>#DIV/0!</v>
      </c>
      <c r="M99" s="46" t="e">
        <f t="shared" si="152"/>
        <v>#DIV/0!</v>
      </c>
      <c r="N99" s="46" t="e">
        <f t="shared" si="152"/>
        <v>#DIV/0!</v>
      </c>
      <c r="O99" s="46" t="e">
        <f t="shared" si="152"/>
        <v>#DIV/0!</v>
      </c>
      <c r="P99" s="46" t="e">
        <f t="shared" si="152"/>
        <v>#DIV/0!</v>
      </c>
      <c r="Q99" s="46" t="e">
        <f t="shared" si="152"/>
        <v>#DIV/0!</v>
      </c>
      <c r="R99" s="46" t="e">
        <f t="shared" si="152"/>
        <v>#DIV/0!</v>
      </c>
      <c r="S99" s="46" t="e">
        <f t="shared" si="152"/>
        <v>#DIV/0!</v>
      </c>
      <c r="T99" s="46" t="e">
        <f t="shared" si="152"/>
        <v>#DIV/0!</v>
      </c>
      <c r="U99" s="46" t="e">
        <f t="shared" si="152"/>
        <v>#DIV/0!</v>
      </c>
      <c r="V99" s="46" t="e">
        <f t="shared" si="152"/>
        <v>#DIV/0!</v>
      </c>
      <c r="W99" s="46" t="e">
        <f t="shared" si="152"/>
        <v>#DIV/0!</v>
      </c>
      <c r="X99" s="46" t="e">
        <f t="shared" si="152"/>
        <v>#DIV/0!</v>
      </c>
      <c r="Y99" s="46" t="e">
        <f t="shared" si="152"/>
        <v>#DIV/0!</v>
      </c>
      <c r="Z99" s="46" t="e">
        <f t="shared" si="152"/>
        <v>#DIV/0!</v>
      </c>
      <c r="AA99" s="46" t="e">
        <f t="shared" si="152"/>
        <v>#DIV/0!</v>
      </c>
      <c r="AB99" s="46" t="e">
        <f t="shared" si="152"/>
        <v>#DIV/0!</v>
      </c>
      <c r="AC99" s="46" t="e">
        <f t="shared" si="152"/>
        <v>#DIV/0!</v>
      </c>
      <c r="AD99" s="46" t="e">
        <f t="shared" ref="AD99:CN99" si="153">AD49-SUM(AD93:AD98)+$C$123</f>
        <v>#DIV/0!</v>
      </c>
      <c r="AE99" s="46" t="e">
        <f t="shared" si="153"/>
        <v>#DIV/0!</v>
      </c>
      <c r="AF99" s="46" t="e">
        <f t="shared" si="153"/>
        <v>#DIV/0!</v>
      </c>
      <c r="AG99" s="46" t="e">
        <f t="shared" si="153"/>
        <v>#DIV/0!</v>
      </c>
      <c r="AH99" s="46" t="e">
        <f t="shared" si="153"/>
        <v>#DIV/0!</v>
      </c>
      <c r="AI99" s="46" t="e">
        <f t="shared" si="153"/>
        <v>#DIV/0!</v>
      </c>
      <c r="AJ99" s="46" t="e">
        <f t="shared" si="153"/>
        <v>#DIV/0!</v>
      </c>
      <c r="AK99" s="46" t="e">
        <f t="shared" si="153"/>
        <v>#DIV/0!</v>
      </c>
      <c r="AL99" s="46" t="e">
        <f t="shared" si="153"/>
        <v>#DIV/0!</v>
      </c>
      <c r="AM99" s="46" t="e">
        <f t="shared" si="153"/>
        <v>#DIV/0!</v>
      </c>
      <c r="AN99" s="46" t="e">
        <f t="shared" si="153"/>
        <v>#DIV/0!</v>
      </c>
      <c r="AO99" s="46" t="e">
        <f t="shared" si="153"/>
        <v>#DIV/0!</v>
      </c>
      <c r="AP99" s="46" t="e">
        <f t="shared" si="153"/>
        <v>#DIV/0!</v>
      </c>
      <c r="AQ99" s="46" t="e">
        <f t="shared" si="153"/>
        <v>#DIV/0!</v>
      </c>
      <c r="AR99" s="46" t="e">
        <f t="shared" si="153"/>
        <v>#DIV/0!</v>
      </c>
      <c r="AS99" s="46" t="e">
        <f t="shared" si="153"/>
        <v>#DIV/0!</v>
      </c>
      <c r="AT99" s="46" t="e">
        <f t="shared" si="153"/>
        <v>#DIV/0!</v>
      </c>
      <c r="AU99" s="46" t="e">
        <f t="shared" si="153"/>
        <v>#DIV/0!</v>
      </c>
      <c r="AV99" s="46" t="e">
        <f t="shared" si="153"/>
        <v>#DIV/0!</v>
      </c>
      <c r="AW99" s="46" t="e">
        <f t="shared" si="153"/>
        <v>#DIV/0!</v>
      </c>
      <c r="AX99" s="46" t="e">
        <f t="shared" si="153"/>
        <v>#DIV/0!</v>
      </c>
      <c r="AY99" s="46" t="e">
        <f t="shared" si="153"/>
        <v>#DIV/0!</v>
      </c>
      <c r="AZ99" s="46" t="e">
        <f t="shared" si="153"/>
        <v>#DIV/0!</v>
      </c>
      <c r="BA99" s="46" t="e">
        <f t="shared" si="153"/>
        <v>#DIV/0!</v>
      </c>
      <c r="BB99" s="46" t="e">
        <f t="shared" si="153"/>
        <v>#DIV/0!</v>
      </c>
      <c r="BC99" s="46" t="e">
        <f t="shared" si="153"/>
        <v>#DIV/0!</v>
      </c>
      <c r="BD99" s="46" t="e">
        <f t="shared" si="153"/>
        <v>#DIV/0!</v>
      </c>
      <c r="BE99" s="46" t="e">
        <f t="shared" si="153"/>
        <v>#DIV/0!</v>
      </c>
      <c r="BF99" s="46" t="e">
        <f t="shared" si="153"/>
        <v>#DIV/0!</v>
      </c>
      <c r="BG99" s="46" t="e">
        <f t="shared" si="153"/>
        <v>#DIV/0!</v>
      </c>
      <c r="BH99" s="46" t="e">
        <f t="shared" si="153"/>
        <v>#DIV/0!</v>
      </c>
      <c r="BI99" s="46" t="e">
        <f t="shared" si="153"/>
        <v>#DIV/0!</v>
      </c>
      <c r="BJ99" s="46" t="e">
        <f t="shared" si="153"/>
        <v>#DIV/0!</v>
      </c>
      <c r="BK99" s="46" t="e">
        <f t="shared" si="153"/>
        <v>#DIV/0!</v>
      </c>
      <c r="BL99" s="46" t="e">
        <f t="shared" si="153"/>
        <v>#DIV/0!</v>
      </c>
      <c r="BM99" s="46" t="e">
        <f t="shared" si="153"/>
        <v>#DIV/0!</v>
      </c>
      <c r="BN99" s="46" t="e">
        <f t="shared" si="153"/>
        <v>#DIV/0!</v>
      </c>
      <c r="BO99" s="46" t="e">
        <f t="shared" si="153"/>
        <v>#DIV/0!</v>
      </c>
      <c r="BP99" s="46" t="e">
        <f t="shared" si="153"/>
        <v>#DIV/0!</v>
      </c>
      <c r="BQ99" s="46" t="e">
        <f t="shared" si="153"/>
        <v>#DIV/0!</v>
      </c>
      <c r="BR99" s="46" t="e">
        <f t="shared" si="153"/>
        <v>#DIV/0!</v>
      </c>
      <c r="BS99" s="46" t="e">
        <f t="shared" si="153"/>
        <v>#DIV/0!</v>
      </c>
      <c r="BT99" s="46" t="e">
        <f t="shared" si="153"/>
        <v>#DIV/0!</v>
      </c>
      <c r="BU99" s="46" t="e">
        <f t="shared" si="153"/>
        <v>#DIV/0!</v>
      </c>
      <c r="BV99" s="46" t="e">
        <f t="shared" si="153"/>
        <v>#DIV/0!</v>
      </c>
      <c r="BW99" s="46" t="e">
        <f t="shared" si="153"/>
        <v>#DIV/0!</v>
      </c>
      <c r="BX99" s="46" t="e">
        <f t="shared" si="153"/>
        <v>#DIV/0!</v>
      </c>
      <c r="BY99" s="46" t="e">
        <f t="shared" si="153"/>
        <v>#DIV/0!</v>
      </c>
      <c r="BZ99" s="46" t="e">
        <f t="shared" si="153"/>
        <v>#DIV/0!</v>
      </c>
      <c r="CA99" s="46" t="e">
        <f t="shared" si="153"/>
        <v>#DIV/0!</v>
      </c>
      <c r="CB99" s="46" t="e">
        <f t="shared" si="153"/>
        <v>#DIV/0!</v>
      </c>
      <c r="CC99" s="46" t="e">
        <f t="shared" si="153"/>
        <v>#DIV/0!</v>
      </c>
      <c r="CD99" s="46" t="e">
        <f t="shared" si="153"/>
        <v>#DIV/0!</v>
      </c>
      <c r="CE99" s="46" t="e">
        <f t="shared" si="153"/>
        <v>#DIV/0!</v>
      </c>
      <c r="CF99" s="46" t="e">
        <f t="shared" si="153"/>
        <v>#DIV/0!</v>
      </c>
      <c r="CG99" s="46" t="e">
        <f t="shared" si="153"/>
        <v>#DIV/0!</v>
      </c>
      <c r="CH99" s="46" t="e">
        <f t="shared" si="153"/>
        <v>#DIV/0!</v>
      </c>
      <c r="CI99" s="46" t="e">
        <f t="shared" si="153"/>
        <v>#DIV/0!</v>
      </c>
      <c r="CJ99" s="46" t="e">
        <f t="shared" si="153"/>
        <v>#DIV/0!</v>
      </c>
      <c r="CK99" s="46" t="e">
        <f t="shared" si="153"/>
        <v>#DIV/0!</v>
      </c>
      <c r="CL99" s="46" t="e">
        <f t="shared" si="153"/>
        <v>#DIV/0!</v>
      </c>
      <c r="CM99" s="46" t="e">
        <f t="shared" si="153"/>
        <v>#DIV/0!</v>
      </c>
      <c r="CN99" s="46" t="e">
        <f t="shared" si="153"/>
        <v>#DIV/0!</v>
      </c>
      <c r="CO99" s="46" t="e">
        <f t="shared" ref="CO99:CT99" si="154">CO49-SUM(CO93:CO98)+$C$123</f>
        <v>#DIV/0!</v>
      </c>
      <c r="CP99" s="46" t="e">
        <f t="shared" si="154"/>
        <v>#DIV/0!</v>
      </c>
      <c r="CQ99" s="46" t="e">
        <f t="shared" si="154"/>
        <v>#DIV/0!</v>
      </c>
      <c r="CR99" s="46" t="e">
        <f t="shared" si="154"/>
        <v>#DIV/0!</v>
      </c>
      <c r="CS99" s="46" t="e">
        <f t="shared" si="154"/>
        <v>#DIV/0!</v>
      </c>
      <c r="CT99" s="46" t="e">
        <f t="shared" si="154"/>
        <v>#DIV/0!</v>
      </c>
    </row>
    <row r="100" spans="1:98" ht="15.75" customHeight="1">
      <c r="A100" s="94"/>
      <c r="B100" s="47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  <c r="AD100" s="94"/>
      <c r="AE100" s="94"/>
      <c r="AF100" s="94"/>
      <c r="AG100" s="94"/>
      <c r="AH100" s="94"/>
      <c r="AI100" s="94"/>
      <c r="AJ100" s="94"/>
      <c r="AK100" s="94"/>
      <c r="AL100" s="94"/>
      <c r="AM100" s="94"/>
      <c r="AN100" s="94"/>
      <c r="AO100" s="94"/>
      <c r="AP100" s="94"/>
      <c r="AQ100" s="94"/>
      <c r="AR100" s="94"/>
      <c r="AS100" s="94"/>
      <c r="AT100" s="94"/>
      <c r="AU100" s="94"/>
      <c r="AV100" s="94"/>
      <c r="AW100" s="94"/>
      <c r="AX100" s="94"/>
      <c r="AY100" s="94"/>
      <c r="AZ100" s="94"/>
      <c r="BA100" s="94"/>
      <c r="BB100" s="94"/>
      <c r="BC100" s="94"/>
      <c r="BD100" s="94"/>
      <c r="BE100" s="94"/>
      <c r="BF100" s="94"/>
      <c r="BG100" s="94"/>
      <c r="BH100" s="94"/>
      <c r="BI100" s="94"/>
      <c r="BJ100" s="94"/>
      <c r="BK100" s="94"/>
      <c r="BL100" s="94"/>
      <c r="BM100" s="94"/>
      <c r="BN100" s="94"/>
      <c r="BO100" s="94"/>
      <c r="BP100" s="94"/>
      <c r="BQ100" s="94"/>
      <c r="BR100" s="94"/>
      <c r="BS100" s="94"/>
      <c r="BT100" s="94"/>
      <c r="BU100" s="94"/>
      <c r="BV100" s="94"/>
      <c r="BW100" s="94"/>
      <c r="BX100" s="94"/>
      <c r="BY100" s="94"/>
      <c r="BZ100" s="94"/>
      <c r="CA100" s="94"/>
      <c r="CB100" s="94"/>
      <c r="CC100" s="94"/>
      <c r="CD100" s="94"/>
      <c r="CE100" s="94"/>
      <c r="CF100" s="94"/>
      <c r="CG100" s="94"/>
      <c r="CH100" s="94"/>
      <c r="CI100" s="94"/>
      <c r="CJ100" s="94"/>
      <c r="CK100" s="94"/>
      <c r="CL100" s="94"/>
      <c r="CM100" s="94"/>
      <c r="CN100" s="94"/>
      <c r="CO100" s="94"/>
      <c r="CP100" s="94"/>
      <c r="CQ100" s="94"/>
      <c r="CR100" s="94"/>
      <c r="CS100" s="94"/>
      <c r="CT100" s="94"/>
    </row>
    <row r="101" spans="1:98" ht="15.75" customHeight="1">
      <c r="A101" s="3" t="s">
        <v>127</v>
      </c>
      <c r="B101" s="79" t="s">
        <v>48</v>
      </c>
      <c r="C101" s="80" t="e">
        <f t="shared" ref="C101:D101" si="155">SUM(C93:C99)</f>
        <v>#DIV/0!</v>
      </c>
      <c r="D101" s="80" t="e">
        <f t="shared" ref="D101:E101" si="156">SUM(D93:D99)</f>
        <v>#DIV/0!</v>
      </c>
      <c r="E101" s="80" t="e">
        <f t="shared" si="156"/>
        <v>#DIV/0!</v>
      </c>
      <c r="F101" s="80" t="e">
        <f t="shared" ref="F101:K101" si="157">SUM(F93:F99)</f>
        <v>#DIV/0!</v>
      </c>
      <c r="G101" s="80" t="e">
        <f t="shared" si="157"/>
        <v>#DIV/0!</v>
      </c>
      <c r="H101" s="80" t="e">
        <f t="shared" si="157"/>
        <v>#DIV/0!</v>
      </c>
      <c r="I101" s="80" t="e">
        <f t="shared" si="157"/>
        <v>#DIV/0!</v>
      </c>
      <c r="J101" s="80" t="e">
        <f t="shared" si="157"/>
        <v>#DIV/0!</v>
      </c>
      <c r="K101" s="80" t="e">
        <f t="shared" si="157"/>
        <v>#DIV/0!</v>
      </c>
      <c r="L101" s="80" t="e">
        <f t="shared" ref="L101:AC101" si="158">SUM(L93:L99)</f>
        <v>#DIV/0!</v>
      </c>
      <c r="M101" s="80" t="e">
        <f t="shared" si="158"/>
        <v>#DIV/0!</v>
      </c>
      <c r="N101" s="80" t="e">
        <f t="shared" si="158"/>
        <v>#DIV/0!</v>
      </c>
      <c r="O101" s="80" t="e">
        <f t="shared" si="158"/>
        <v>#DIV/0!</v>
      </c>
      <c r="P101" s="80" t="e">
        <f t="shared" si="158"/>
        <v>#DIV/0!</v>
      </c>
      <c r="Q101" s="80" t="e">
        <f t="shared" si="158"/>
        <v>#DIV/0!</v>
      </c>
      <c r="R101" s="80" t="e">
        <f t="shared" si="158"/>
        <v>#DIV/0!</v>
      </c>
      <c r="S101" s="80" t="e">
        <f t="shared" si="158"/>
        <v>#DIV/0!</v>
      </c>
      <c r="T101" s="80" t="e">
        <f t="shared" si="158"/>
        <v>#DIV/0!</v>
      </c>
      <c r="U101" s="80" t="e">
        <f t="shared" si="158"/>
        <v>#DIV/0!</v>
      </c>
      <c r="V101" s="80" t="e">
        <f t="shared" si="158"/>
        <v>#DIV/0!</v>
      </c>
      <c r="W101" s="80" t="e">
        <f t="shared" si="158"/>
        <v>#DIV/0!</v>
      </c>
      <c r="X101" s="80" t="e">
        <f t="shared" si="158"/>
        <v>#DIV/0!</v>
      </c>
      <c r="Y101" s="80" t="e">
        <f t="shared" si="158"/>
        <v>#DIV/0!</v>
      </c>
      <c r="Z101" s="80" t="e">
        <f t="shared" si="158"/>
        <v>#DIV/0!</v>
      </c>
      <c r="AA101" s="80" t="e">
        <f t="shared" si="158"/>
        <v>#DIV/0!</v>
      </c>
      <c r="AB101" s="80" t="e">
        <f t="shared" si="158"/>
        <v>#DIV/0!</v>
      </c>
      <c r="AC101" s="80" t="e">
        <f t="shared" si="158"/>
        <v>#DIV/0!</v>
      </c>
      <c r="AD101" s="80" t="e">
        <f t="shared" ref="AD101:CN101" si="159">SUM(AD93:AD99)</f>
        <v>#DIV/0!</v>
      </c>
      <c r="AE101" s="80" t="e">
        <f t="shared" si="159"/>
        <v>#DIV/0!</v>
      </c>
      <c r="AF101" s="80" t="e">
        <f t="shared" si="159"/>
        <v>#DIV/0!</v>
      </c>
      <c r="AG101" s="80" t="e">
        <f t="shared" si="159"/>
        <v>#DIV/0!</v>
      </c>
      <c r="AH101" s="80" t="e">
        <f t="shared" si="159"/>
        <v>#DIV/0!</v>
      </c>
      <c r="AI101" s="80" t="e">
        <f t="shared" si="159"/>
        <v>#DIV/0!</v>
      </c>
      <c r="AJ101" s="80" t="e">
        <f t="shared" si="159"/>
        <v>#DIV/0!</v>
      </c>
      <c r="AK101" s="80" t="e">
        <f t="shared" si="159"/>
        <v>#DIV/0!</v>
      </c>
      <c r="AL101" s="80" t="e">
        <f t="shared" si="159"/>
        <v>#DIV/0!</v>
      </c>
      <c r="AM101" s="80" t="e">
        <f t="shared" si="159"/>
        <v>#DIV/0!</v>
      </c>
      <c r="AN101" s="80" t="e">
        <f t="shared" si="159"/>
        <v>#DIV/0!</v>
      </c>
      <c r="AO101" s="80" t="e">
        <f t="shared" si="159"/>
        <v>#DIV/0!</v>
      </c>
      <c r="AP101" s="80" t="e">
        <f t="shared" si="159"/>
        <v>#DIV/0!</v>
      </c>
      <c r="AQ101" s="80" t="e">
        <f t="shared" si="159"/>
        <v>#DIV/0!</v>
      </c>
      <c r="AR101" s="80" t="e">
        <f t="shared" si="159"/>
        <v>#DIV/0!</v>
      </c>
      <c r="AS101" s="80" t="e">
        <f t="shared" si="159"/>
        <v>#DIV/0!</v>
      </c>
      <c r="AT101" s="80" t="e">
        <f t="shared" si="159"/>
        <v>#DIV/0!</v>
      </c>
      <c r="AU101" s="80" t="e">
        <f t="shared" si="159"/>
        <v>#DIV/0!</v>
      </c>
      <c r="AV101" s="80" t="e">
        <f t="shared" si="159"/>
        <v>#DIV/0!</v>
      </c>
      <c r="AW101" s="80" t="e">
        <f t="shared" si="159"/>
        <v>#DIV/0!</v>
      </c>
      <c r="AX101" s="80" t="e">
        <f t="shared" si="159"/>
        <v>#DIV/0!</v>
      </c>
      <c r="AY101" s="80" t="e">
        <f t="shared" si="159"/>
        <v>#DIV/0!</v>
      </c>
      <c r="AZ101" s="80" t="e">
        <f t="shared" si="159"/>
        <v>#DIV/0!</v>
      </c>
      <c r="BA101" s="80" t="e">
        <f t="shared" si="159"/>
        <v>#DIV/0!</v>
      </c>
      <c r="BB101" s="80" t="e">
        <f t="shared" si="159"/>
        <v>#DIV/0!</v>
      </c>
      <c r="BC101" s="80" t="e">
        <f t="shared" si="159"/>
        <v>#DIV/0!</v>
      </c>
      <c r="BD101" s="80" t="e">
        <f t="shared" si="159"/>
        <v>#DIV/0!</v>
      </c>
      <c r="BE101" s="80" t="e">
        <f t="shared" si="159"/>
        <v>#DIV/0!</v>
      </c>
      <c r="BF101" s="80" t="e">
        <f t="shared" si="159"/>
        <v>#DIV/0!</v>
      </c>
      <c r="BG101" s="80" t="e">
        <f t="shared" si="159"/>
        <v>#DIV/0!</v>
      </c>
      <c r="BH101" s="80" t="e">
        <f t="shared" si="159"/>
        <v>#DIV/0!</v>
      </c>
      <c r="BI101" s="80" t="e">
        <f t="shared" si="159"/>
        <v>#DIV/0!</v>
      </c>
      <c r="BJ101" s="80" t="e">
        <f t="shared" si="159"/>
        <v>#DIV/0!</v>
      </c>
      <c r="BK101" s="80" t="e">
        <f t="shared" si="159"/>
        <v>#DIV/0!</v>
      </c>
      <c r="BL101" s="80" t="e">
        <f t="shared" si="159"/>
        <v>#DIV/0!</v>
      </c>
      <c r="BM101" s="80" t="e">
        <f t="shared" si="159"/>
        <v>#DIV/0!</v>
      </c>
      <c r="BN101" s="80" t="e">
        <f t="shared" si="159"/>
        <v>#DIV/0!</v>
      </c>
      <c r="BO101" s="80" t="e">
        <f t="shared" si="159"/>
        <v>#DIV/0!</v>
      </c>
      <c r="BP101" s="80" t="e">
        <f t="shared" si="159"/>
        <v>#DIV/0!</v>
      </c>
      <c r="BQ101" s="80" t="e">
        <f t="shared" si="159"/>
        <v>#DIV/0!</v>
      </c>
      <c r="BR101" s="80" t="e">
        <f t="shared" si="159"/>
        <v>#DIV/0!</v>
      </c>
      <c r="BS101" s="80" t="e">
        <f t="shared" si="159"/>
        <v>#DIV/0!</v>
      </c>
      <c r="BT101" s="80" t="e">
        <f t="shared" si="159"/>
        <v>#DIV/0!</v>
      </c>
      <c r="BU101" s="80" t="e">
        <f t="shared" si="159"/>
        <v>#DIV/0!</v>
      </c>
      <c r="BV101" s="80" t="e">
        <f t="shared" si="159"/>
        <v>#DIV/0!</v>
      </c>
      <c r="BW101" s="80" t="e">
        <f t="shared" si="159"/>
        <v>#DIV/0!</v>
      </c>
      <c r="BX101" s="80" t="e">
        <f t="shared" si="159"/>
        <v>#DIV/0!</v>
      </c>
      <c r="BY101" s="80" t="e">
        <f t="shared" si="159"/>
        <v>#DIV/0!</v>
      </c>
      <c r="BZ101" s="80" t="e">
        <f t="shared" si="159"/>
        <v>#DIV/0!</v>
      </c>
      <c r="CA101" s="80" t="e">
        <f t="shared" si="159"/>
        <v>#DIV/0!</v>
      </c>
      <c r="CB101" s="80" t="e">
        <f t="shared" si="159"/>
        <v>#DIV/0!</v>
      </c>
      <c r="CC101" s="80" t="e">
        <f t="shared" si="159"/>
        <v>#DIV/0!</v>
      </c>
      <c r="CD101" s="80" t="e">
        <f t="shared" si="159"/>
        <v>#DIV/0!</v>
      </c>
      <c r="CE101" s="80" t="e">
        <f t="shared" si="159"/>
        <v>#DIV/0!</v>
      </c>
      <c r="CF101" s="80" t="e">
        <f t="shared" si="159"/>
        <v>#DIV/0!</v>
      </c>
      <c r="CG101" s="80" t="e">
        <f t="shared" si="159"/>
        <v>#DIV/0!</v>
      </c>
      <c r="CH101" s="80" t="e">
        <f t="shared" si="159"/>
        <v>#DIV/0!</v>
      </c>
      <c r="CI101" s="80" t="e">
        <f t="shared" si="159"/>
        <v>#DIV/0!</v>
      </c>
      <c r="CJ101" s="80" t="e">
        <f t="shared" si="159"/>
        <v>#DIV/0!</v>
      </c>
      <c r="CK101" s="80" t="e">
        <f t="shared" si="159"/>
        <v>#DIV/0!</v>
      </c>
      <c r="CL101" s="80" t="e">
        <f t="shared" si="159"/>
        <v>#DIV/0!</v>
      </c>
      <c r="CM101" s="80" t="e">
        <f t="shared" si="159"/>
        <v>#DIV/0!</v>
      </c>
      <c r="CN101" s="80" t="e">
        <f t="shared" si="159"/>
        <v>#DIV/0!</v>
      </c>
      <c r="CO101" s="80" t="e">
        <f t="shared" ref="CO101:CT101" si="160">SUM(CO93:CO99)</f>
        <v>#DIV/0!</v>
      </c>
      <c r="CP101" s="80" t="e">
        <f t="shared" si="160"/>
        <v>#DIV/0!</v>
      </c>
      <c r="CQ101" s="80" t="e">
        <f t="shared" si="160"/>
        <v>#DIV/0!</v>
      </c>
      <c r="CR101" s="80" t="e">
        <f t="shared" si="160"/>
        <v>#DIV/0!</v>
      </c>
      <c r="CS101" s="80" t="e">
        <f t="shared" si="160"/>
        <v>#DIV/0!</v>
      </c>
      <c r="CT101" s="80" t="e">
        <f t="shared" si="160"/>
        <v>#DIV/0!</v>
      </c>
    </row>
    <row r="102" spans="1:98" ht="15.75" customHeight="1">
      <c r="A102" s="3" t="s">
        <v>128</v>
      </c>
      <c r="B102" s="79"/>
      <c r="C102" s="80" t="e">
        <f t="shared" ref="C102:D102" si="161">IF(OR(C93&lt;0, C94&lt;0, C95&lt;0, C96&lt;0, C99&lt;0), "YES", "NO")</f>
        <v>#DIV/0!</v>
      </c>
      <c r="D102" s="80" t="e">
        <f t="shared" ref="D102:E102" si="162">IF(OR(D93&lt;0, D94&lt;0, D95&lt;0, D96&lt;0, D99&lt;0), "YES", "NO")</f>
        <v>#DIV/0!</v>
      </c>
      <c r="E102" s="80" t="e">
        <f t="shared" si="162"/>
        <v>#DIV/0!</v>
      </c>
      <c r="F102" s="80" t="e">
        <f t="shared" ref="F102:K102" si="163">IF(OR(F93&lt;0, F94&lt;0, F95&lt;0, F96&lt;0, F99&lt;0), "YES", "NO")</f>
        <v>#DIV/0!</v>
      </c>
      <c r="G102" s="80" t="e">
        <f t="shared" si="163"/>
        <v>#DIV/0!</v>
      </c>
      <c r="H102" s="80" t="e">
        <f t="shared" si="163"/>
        <v>#DIV/0!</v>
      </c>
      <c r="I102" s="80" t="e">
        <f t="shared" si="163"/>
        <v>#DIV/0!</v>
      </c>
      <c r="J102" s="80" t="e">
        <f t="shared" si="163"/>
        <v>#DIV/0!</v>
      </c>
      <c r="K102" s="80" t="e">
        <f t="shared" si="163"/>
        <v>#DIV/0!</v>
      </c>
      <c r="L102" s="80" t="e">
        <f t="shared" ref="L102:AC102" si="164">IF(OR(L93&lt;0, L94&lt;0, L95&lt;0, L96&lt;0, L99&lt;0), "YES", "NO")</f>
        <v>#DIV/0!</v>
      </c>
      <c r="M102" s="80" t="e">
        <f t="shared" si="164"/>
        <v>#DIV/0!</v>
      </c>
      <c r="N102" s="80" t="e">
        <f t="shared" si="164"/>
        <v>#DIV/0!</v>
      </c>
      <c r="O102" s="80" t="e">
        <f t="shared" si="164"/>
        <v>#DIV/0!</v>
      </c>
      <c r="P102" s="80" t="e">
        <f t="shared" si="164"/>
        <v>#DIV/0!</v>
      </c>
      <c r="Q102" s="80" t="e">
        <f t="shared" si="164"/>
        <v>#DIV/0!</v>
      </c>
      <c r="R102" s="80" t="e">
        <f t="shared" si="164"/>
        <v>#DIV/0!</v>
      </c>
      <c r="S102" s="80" t="e">
        <f t="shared" si="164"/>
        <v>#DIV/0!</v>
      </c>
      <c r="T102" s="80" t="e">
        <f t="shared" si="164"/>
        <v>#DIV/0!</v>
      </c>
      <c r="U102" s="80" t="e">
        <f t="shared" si="164"/>
        <v>#DIV/0!</v>
      </c>
      <c r="V102" s="80" t="e">
        <f t="shared" si="164"/>
        <v>#DIV/0!</v>
      </c>
      <c r="W102" s="80" t="e">
        <f t="shared" si="164"/>
        <v>#DIV/0!</v>
      </c>
      <c r="X102" s="80" t="e">
        <f t="shared" si="164"/>
        <v>#DIV/0!</v>
      </c>
      <c r="Y102" s="80" t="e">
        <f t="shared" si="164"/>
        <v>#DIV/0!</v>
      </c>
      <c r="Z102" s="80" t="e">
        <f t="shared" si="164"/>
        <v>#DIV/0!</v>
      </c>
      <c r="AA102" s="80" t="e">
        <f t="shared" si="164"/>
        <v>#DIV/0!</v>
      </c>
      <c r="AB102" s="80" t="e">
        <f t="shared" si="164"/>
        <v>#DIV/0!</v>
      </c>
      <c r="AC102" s="80" t="e">
        <f t="shared" si="164"/>
        <v>#DIV/0!</v>
      </c>
      <c r="AD102" s="80" t="e">
        <f t="shared" ref="AD102:CN102" si="165">IF(OR(AD93&lt;0, AD94&lt;0, AD95&lt;0, AD96&lt;0, AD99&lt;0), "YES", "NO")</f>
        <v>#DIV/0!</v>
      </c>
      <c r="AE102" s="80" t="e">
        <f t="shared" si="165"/>
        <v>#DIV/0!</v>
      </c>
      <c r="AF102" s="80" t="e">
        <f t="shared" si="165"/>
        <v>#DIV/0!</v>
      </c>
      <c r="AG102" s="80" t="e">
        <f t="shared" si="165"/>
        <v>#DIV/0!</v>
      </c>
      <c r="AH102" s="80" t="e">
        <f t="shared" si="165"/>
        <v>#DIV/0!</v>
      </c>
      <c r="AI102" s="80" t="e">
        <f t="shared" si="165"/>
        <v>#DIV/0!</v>
      </c>
      <c r="AJ102" s="80" t="e">
        <f t="shared" si="165"/>
        <v>#DIV/0!</v>
      </c>
      <c r="AK102" s="80" t="e">
        <f t="shared" si="165"/>
        <v>#DIV/0!</v>
      </c>
      <c r="AL102" s="80" t="e">
        <f t="shared" si="165"/>
        <v>#DIV/0!</v>
      </c>
      <c r="AM102" s="80" t="e">
        <f t="shared" si="165"/>
        <v>#DIV/0!</v>
      </c>
      <c r="AN102" s="80" t="e">
        <f t="shared" si="165"/>
        <v>#DIV/0!</v>
      </c>
      <c r="AO102" s="80" t="e">
        <f t="shared" si="165"/>
        <v>#DIV/0!</v>
      </c>
      <c r="AP102" s="80" t="e">
        <f t="shared" si="165"/>
        <v>#DIV/0!</v>
      </c>
      <c r="AQ102" s="80" t="e">
        <f t="shared" si="165"/>
        <v>#DIV/0!</v>
      </c>
      <c r="AR102" s="80" t="e">
        <f t="shared" si="165"/>
        <v>#DIV/0!</v>
      </c>
      <c r="AS102" s="80" t="e">
        <f t="shared" si="165"/>
        <v>#DIV/0!</v>
      </c>
      <c r="AT102" s="80" t="e">
        <f t="shared" si="165"/>
        <v>#DIV/0!</v>
      </c>
      <c r="AU102" s="80" t="e">
        <f t="shared" si="165"/>
        <v>#DIV/0!</v>
      </c>
      <c r="AV102" s="80" t="e">
        <f t="shared" si="165"/>
        <v>#DIV/0!</v>
      </c>
      <c r="AW102" s="80" t="e">
        <f t="shared" si="165"/>
        <v>#DIV/0!</v>
      </c>
      <c r="AX102" s="80" t="e">
        <f t="shared" si="165"/>
        <v>#DIV/0!</v>
      </c>
      <c r="AY102" s="80" t="e">
        <f t="shared" si="165"/>
        <v>#DIV/0!</v>
      </c>
      <c r="AZ102" s="80" t="e">
        <f t="shared" si="165"/>
        <v>#DIV/0!</v>
      </c>
      <c r="BA102" s="80" t="e">
        <f t="shared" si="165"/>
        <v>#DIV/0!</v>
      </c>
      <c r="BB102" s="80" t="e">
        <f t="shared" si="165"/>
        <v>#DIV/0!</v>
      </c>
      <c r="BC102" s="80" t="e">
        <f t="shared" si="165"/>
        <v>#DIV/0!</v>
      </c>
      <c r="BD102" s="80" t="e">
        <f t="shared" si="165"/>
        <v>#DIV/0!</v>
      </c>
      <c r="BE102" s="80" t="e">
        <f t="shared" si="165"/>
        <v>#DIV/0!</v>
      </c>
      <c r="BF102" s="80" t="e">
        <f t="shared" si="165"/>
        <v>#DIV/0!</v>
      </c>
      <c r="BG102" s="80" t="e">
        <f t="shared" si="165"/>
        <v>#DIV/0!</v>
      </c>
      <c r="BH102" s="80" t="e">
        <f t="shared" si="165"/>
        <v>#DIV/0!</v>
      </c>
      <c r="BI102" s="80" t="e">
        <f t="shared" si="165"/>
        <v>#DIV/0!</v>
      </c>
      <c r="BJ102" s="80" t="e">
        <f t="shared" si="165"/>
        <v>#DIV/0!</v>
      </c>
      <c r="BK102" s="80" t="e">
        <f t="shared" si="165"/>
        <v>#DIV/0!</v>
      </c>
      <c r="BL102" s="80" t="e">
        <f t="shared" si="165"/>
        <v>#DIV/0!</v>
      </c>
      <c r="BM102" s="80" t="e">
        <f t="shared" si="165"/>
        <v>#DIV/0!</v>
      </c>
      <c r="BN102" s="80" t="e">
        <f t="shared" si="165"/>
        <v>#DIV/0!</v>
      </c>
      <c r="BO102" s="80" t="e">
        <f t="shared" si="165"/>
        <v>#DIV/0!</v>
      </c>
      <c r="BP102" s="80" t="e">
        <f t="shared" si="165"/>
        <v>#DIV/0!</v>
      </c>
      <c r="BQ102" s="80" t="e">
        <f t="shared" si="165"/>
        <v>#DIV/0!</v>
      </c>
      <c r="BR102" s="80" t="e">
        <f t="shared" si="165"/>
        <v>#DIV/0!</v>
      </c>
      <c r="BS102" s="80" t="e">
        <f t="shared" si="165"/>
        <v>#DIV/0!</v>
      </c>
      <c r="BT102" s="80" t="e">
        <f t="shared" si="165"/>
        <v>#DIV/0!</v>
      </c>
      <c r="BU102" s="80" t="e">
        <f t="shared" si="165"/>
        <v>#DIV/0!</v>
      </c>
      <c r="BV102" s="80" t="e">
        <f t="shared" si="165"/>
        <v>#DIV/0!</v>
      </c>
      <c r="BW102" s="80" t="e">
        <f t="shared" si="165"/>
        <v>#DIV/0!</v>
      </c>
      <c r="BX102" s="80" t="e">
        <f t="shared" si="165"/>
        <v>#DIV/0!</v>
      </c>
      <c r="BY102" s="80" t="e">
        <f t="shared" si="165"/>
        <v>#DIV/0!</v>
      </c>
      <c r="BZ102" s="80" t="e">
        <f t="shared" si="165"/>
        <v>#DIV/0!</v>
      </c>
      <c r="CA102" s="80" t="e">
        <f t="shared" si="165"/>
        <v>#DIV/0!</v>
      </c>
      <c r="CB102" s="80" t="e">
        <f t="shared" si="165"/>
        <v>#DIV/0!</v>
      </c>
      <c r="CC102" s="80" t="e">
        <f t="shared" si="165"/>
        <v>#DIV/0!</v>
      </c>
      <c r="CD102" s="80" t="e">
        <f t="shared" si="165"/>
        <v>#DIV/0!</v>
      </c>
      <c r="CE102" s="80" t="e">
        <f t="shared" si="165"/>
        <v>#DIV/0!</v>
      </c>
      <c r="CF102" s="80" t="e">
        <f t="shared" si="165"/>
        <v>#DIV/0!</v>
      </c>
      <c r="CG102" s="80" t="e">
        <f t="shared" si="165"/>
        <v>#DIV/0!</v>
      </c>
      <c r="CH102" s="80" t="e">
        <f t="shared" si="165"/>
        <v>#DIV/0!</v>
      </c>
      <c r="CI102" s="80" t="e">
        <f t="shared" si="165"/>
        <v>#DIV/0!</v>
      </c>
      <c r="CJ102" s="80" t="e">
        <f t="shared" si="165"/>
        <v>#DIV/0!</v>
      </c>
      <c r="CK102" s="80" t="e">
        <f t="shared" si="165"/>
        <v>#DIV/0!</v>
      </c>
      <c r="CL102" s="80" t="e">
        <f t="shared" si="165"/>
        <v>#DIV/0!</v>
      </c>
      <c r="CM102" s="80" t="e">
        <f t="shared" si="165"/>
        <v>#DIV/0!</v>
      </c>
      <c r="CN102" s="80" t="e">
        <f t="shared" si="165"/>
        <v>#DIV/0!</v>
      </c>
      <c r="CO102" s="80" t="e">
        <f t="shared" ref="CO102:CT102" si="166">IF(OR(CO93&lt;0, CO94&lt;0, CO95&lt;0, CO96&lt;0, CO99&lt;0), "YES", "NO")</f>
        <v>#DIV/0!</v>
      </c>
      <c r="CP102" s="80" t="e">
        <f t="shared" si="166"/>
        <v>#DIV/0!</v>
      </c>
      <c r="CQ102" s="80" t="e">
        <f t="shared" si="166"/>
        <v>#DIV/0!</v>
      </c>
      <c r="CR102" s="80" t="e">
        <f t="shared" si="166"/>
        <v>#DIV/0!</v>
      </c>
      <c r="CS102" s="80" t="e">
        <f t="shared" si="166"/>
        <v>#DIV/0!</v>
      </c>
      <c r="CT102" s="80" t="e">
        <f t="shared" si="166"/>
        <v>#DIV/0!</v>
      </c>
    </row>
    <row r="103" spans="1:98" ht="15.75" customHeight="1">
      <c r="A103" s="3" t="s">
        <v>129</v>
      </c>
      <c r="B103" s="79"/>
      <c r="C103" s="80" t="e">
        <f t="shared" ref="C103:D103" si="167">IF(OR(C93&lt;1, C94&lt;1, C95&lt;1, C96&lt;1, C99&lt;1), "YES", "NO")</f>
        <v>#DIV/0!</v>
      </c>
      <c r="D103" s="80" t="e">
        <f t="shared" ref="D103:E103" si="168">IF(OR(D93&lt;1, D94&lt;1, D95&lt;1, D96&lt;1, D99&lt;1), "YES", "NO")</f>
        <v>#DIV/0!</v>
      </c>
      <c r="E103" s="80" t="e">
        <f t="shared" si="168"/>
        <v>#DIV/0!</v>
      </c>
      <c r="F103" s="80" t="e">
        <f t="shared" ref="F103:K103" si="169">IF(OR(F93&lt;1, F94&lt;1, F95&lt;1, F96&lt;1, F99&lt;1), "YES", "NO")</f>
        <v>#DIV/0!</v>
      </c>
      <c r="G103" s="80" t="e">
        <f t="shared" si="169"/>
        <v>#DIV/0!</v>
      </c>
      <c r="H103" s="80" t="e">
        <f t="shared" si="169"/>
        <v>#DIV/0!</v>
      </c>
      <c r="I103" s="80" t="e">
        <f t="shared" si="169"/>
        <v>#DIV/0!</v>
      </c>
      <c r="J103" s="80" t="e">
        <f t="shared" si="169"/>
        <v>#DIV/0!</v>
      </c>
      <c r="K103" s="80" t="e">
        <f t="shared" si="169"/>
        <v>#DIV/0!</v>
      </c>
      <c r="L103" s="80" t="e">
        <f t="shared" ref="L103:AC103" si="170">IF(OR(L93&lt;1, L94&lt;1, L95&lt;1, L96&lt;1, L99&lt;1), "YES", "NO")</f>
        <v>#DIV/0!</v>
      </c>
      <c r="M103" s="80" t="e">
        <f t="shared" si="170"/>
        <v>#DIV/0!</v>
      </c>
      <c r="N103" s="80" t="e">
        <f t="shared" si="170"/>
        <v>#DIV/0!</v>
      </c>
      <c r="O103" s="80" t="e">
        <f t="shared" si="170"/>
        <v>#DIV/0!</v>
      </c>
      <c r="P103" s="80" t="e">
        <f t="shared" si="170"/>
        <v>#DIV/0!</v>
      </c>
      <c r="Q103" s="80" t="e">
        <f t="shared" si="170"/>
        <v>#DIV/0!</v>
      </c>
      <c r="R103" s="80" t="e">
        <f t="shared" si="170"/>
        <v>#DIV/0!</v>
      </c>
      <c r="S103" s="80" t="e">
        <f t="shared" si="170"/>
        <v>#DIV/0!</v>
      </c>
      <c r="T103" s="80" t="e">
        <f t="shared" si="170"/>
        <v>#DIV/0!</v>
      </c>
      <c r="U103" s="80" t="e">
        <f t="shared" si="170"/>
        <v>#DIV/0!</v>
      </c>
      <c r="V103" s="80" t="e">
        <f t="shared" si="170"/>
        <v>#DIV/0!</v>
      </c>
      <c r="W103" s="80" t="e">
        <f t="shared" si="170"/>
        <v>#DIV/0!</v>
      </c>
      <c r="X103" s="80" t="e">
        <f t="shared" si="170"/>
        <v>#DIV/0!</v>
      </c>
      <c r="Y103" s="80" t="e">
        <f t="shared" si="170"/>
        <v>#DIV/0!</v>
      </c>
      <c r="Z103" s="80" t="e">
        <f t="shared" si="170"/>
        <v>#DIV/0!</v>
      </c>
      <c r="AA103" s="80" t="e">
        <f t="shared" si="170"/>
        <v>#DIV/0!</v>
      </c>
      <c r="AB103" s="80" t="e">
        <f t="shared" si="170"/>
        <v>#DIV/0!</v>
      </c>
      <c r="AC103" s="80" t="e">
        <f t="shared" si="170"/>
        <v>#DIV/0!</v>
      </c>
      <c r="AD103" s="80" t="e">
        <f t="shared" ref="AD103:CN103" si="171">IF(OR(AD93&lt;1, AD94&lt;1, AD95&lt;1, AD96&lt;1, AD99&lt;1), "YES", "NO")</f>
        <v>#DIV/0!</v>
      </c>
      <c r="AE103" s="80" t="e">
        <f t="shared" si="171"/>
        <v>#DIV/0!</v>
      </c>
      <c r="AF103" s="80" t="e">
        <f t="shared" si="171"/>
        <v>#DIV/0!</v>
      </c>
      <c r="AG103" s="80" t="e">
        <f t="shared" si="171"/>
        <v>#DIV/0!</v>
      </c>
      <c r="AH103" s="80" t="e">
        <f t="shared" si="171"/>
        <v>#DIV/0!</v>
      </c>
      <c r="AI103" s="80" t="e">
        <f t="shared" si="171"/>
        <v>#DIV/0!</v>
      </c>
      <c r="AJ103" s="80" t="e">
        <f t="shared" si="171"/>
        <v>#DIV/0!</v>
      </c>
      <c r="AK103" s="80" t="e">
        <f t="shared" si="171"/>
        <v>#DIV/0!</v>
      </c>
      <c r="AL103" s="80" t="e">
        <f t="shared" si="171"/>
        <v>#DIV/0!</v>
      </c>
      <c r="AM103" s="80" t="e">
        <f t="shared" si="171"/>
        <v>#DIV/0!</v>
      </c>
      <c r="AN103" s="80" t="e">
        <f t="shared" si="171"/>
        <v>#DIV/0!</v>
      </c>
      <c r="AO103" s="80" t="e">
        <f t="shared" si="171"/>
        <v>#DIV/0!</v>
      </c>
      <c r="AP103" s="80" t="e">
        <f t="shared" si="171"/>
        <v>#DIV/0!</v>
      </c>
      <c r="AQ103" s="80" t="e">
        <f t="shared" si="171"/>
        <v>#DIV/0!</v>
      </c>
      <c r="AR103" s="80" t="e">
        <f t="shared" si="171"/>
        <v>#DIV/0!</v>
      </c>
      <c r="AS103" s="80" t="e">
        <f t="shared" si="171"/>
        <v>#DIV/0!</v>
      </c>
      <c r="AT103" s="80" t="e">
        <f t="shared" si="171"/>
        <v>#DIV/0!</v>
      </c>
      <c r="AU103" s="80" t="e">
        <f t="shared" si="171"/>
        <v>#DIV/0!</v>
      </c>
      <c r="AV103" s="80" t="e">
        <f t="shared" si="171"/>
        <v>#DIV/0!</v>
      </c>
      <c r="AW103" s="80" t="e">
        <f t="shared" si="171"/>
        <v>#DIV/0!</v>
      </c>
      <c r="AX103" s="80" t="e">
        <f t="shared" si="171"/>
        <v>#DIV/0!</v>
      </c>
      <c r="AY103" s="80" t="e">
        <f t="shared" si="171"/>
        <v>#DIV/0!</v>
      </c>
      <c r="AZ103" s="80" t="e">
        <f t="shared" si="171"/>
        <v>#DIV/0!</v>
      </c>
      <c r="BA103" s="80" t="e">
        <f t="shared" si="171"/>
        <v>#DIV/0!</v>
      </c>
      <c r="BB103" s="80" t="e">
        <f t="shared" si="171"/>
        <v>#DIV/0!</v>
      </c>
      <c r="BC103" s="80" t="e">
        <f t="shared" si="171"/>
        <v>#DIV/0!</v>
      </c>
      <c r="BD103" s="80" t="e">
        <f t="shared" si="171"/>
        <v>#DIV/0!</v>
      </c>
      <c r="BE103" s="80" t="e">
        <f t="shared" si="171"/>
        <v>#DIV/0!</v>
      </c>
      <c r="BF103" s="80" t="e">
        <f t="shared" si="171"/>
        <v>#DIV/0!</v>
      </c>
      <c r="BG103" s="80" t="e">
        <f t="shared" si="171"/>
        <v>#DIV/0!</v>
      </c>
      <c r="BH103" s="80" t="e">
        <f t="shared" si="171"/>
        <v>#DIV/0!</v>
      </c>
      <c r="BI103" s="80" t="e">
        <f t="shared" si="171"/>
        <v>#DIV/0!</v>
      </c>
      <c r="BJ103" s="80" t="e">
        <f t="shared" si="171"/>
        <v>#DIV/0!</v>
      </c>
      <c r="BK103" s="80" t="e">
        <f t="shared" si="171"/>
        <v>#DIV/0!</v>
      </c>
      <c r="BL103" s="80" t="e">
        <f t="shared" si="171"/>
        <v>#DIV/0!</v>
      </c>
      <c r="BM103" s="80" t="e">
        <f t="shared" si="171"/>
        <v>#DIV/0!</v>
      </c>
      <c r="BN103" s="80" t="e">
        <f t="shared" si="171"/>
        <v>#DIV/0!</v>
      </c>
      <c r="BO103" s="80" t="e">
        <f t="shared" si="171"/>
        <v>#DIV/0!</v>
      </c>
      <c r="BP103" s="80" t="e">
        <f t="shared" si="171"/>
        <v>#DIV/0!</v>
      </c>
      <c r="BQ103" s="80" t="e">
        <f t="shared" si="171"/>
        <v>#DIV/0!</v>
      </c>
      <c r="BR103" s="80" t="e">
        <f t="shared" si="171"/>
        <v>#DIV/0!</v>
      </c>
      <c r="BS103" s="80" t="e">
        <f t="shared" si="171"/>
        <v>#DIV/0!</v>
      </c>
      <c r="BT103" s="80" t="e">
        <f t="shared" si="171"/>
        <v>#DIV/0!</v>
      </c>
      <c r="BU103" s="80" t="e">
        <f t="shared" si="171"/>
        <v>#DIV/0!</v>
      </c>
      <c r="BV103" s="80" t="e">
        <f t="shared" si="171"/>
        <v>#DIV/0!</v>
      </c>
      <c r="BW103" s="80" t="e">
        <f t="shared" si="171"/>
        <v>#DIV/0!</v>
      </c>
      <c r="BX103" s="80" t="e">
        <f t="shared" si="171"/>
        <v>#DIV/0!</v>
      </c>
      <c r="BY103" s="80" t="e">
        <f t="shared" si="171"/>
        <v>#DIV/0!</v>
      </c>
      <c r="BZ103" s="80" t="e">
        <f t="shared" si="171"/>
        <v>#DIV/0!</v>
      </c>
      <c r="CA103" s="80" t="e">
        <f t="shared" si="171"/>
        <v>#DIV/0!</v>
      </c>
      <c r="CB103" s="80" t="e">
        <f t="shared" si="171"/>
        <v>#DIV/0!</v>
      </c>
      <c r="CC103" s="80" t="e">
        <f t="shared" si="171"/>
        <v>#DIV/0!</v>
      </c>
      <c r="CD103" s="80" t="e">
        <f t="shared" si="171"/>
        <v>#DIV/0!</v>
      </c>
      <c r="CE103" s="80" t="e">
        <f t="shared" si="171"/>
        <v>#DIV/0!</v>
      </c>
      <c r="CF103" s="80" t="e">
        <f t="shared" si="171"/>
        <v>#DIV/0!</v>
      </c>
      <c r="CG103" s="80" t="e">
        <f t="shared" si="171"/>
        <v>#DIV/0!</v>
      </c>
      <c r="CH103" s="80" t="e">
        <f t="shared" si="171"/>
        <v>#DIV/0!</v>
      </c>
      <c r="CI103" s="80" t="e">
        <f t="shared" si="171"/>
        <v>#DIV/0!</v>
      </c>
      <c r="CJ103" s="80" t="e">
        <f t="shared" si="171"/>
        <v>#DIV/0!</v>
      </c>
      <c r="CK103" s="80" t="e">
        <f t="shared" si="171"/>
        <v>#DIV/0!</v>
      </c>
      <c r="CL103" s="80" t="e">
        <f t="shared" si="171"/>
        <v>#DIV/0!</v>
      </c>
      <c r="CM103" s="80" t="e">
        <f t="shared" si="171"/>
        <v>#DIV/0!</v>
      </c>
      <c r="CN103" s="80" t="e">
        <f t="shared" si="171"/>
        <v>#DIV/0!</v>
      </c>
      <c r="CO103" s="80" t="e">
        <f t="shared" ref="CO103:CT103" si="172">IF(OR(CO93&lt;1, CO94&lt;1, CO95&lt;1, CO96&lt;1, CO99&lt;1), "YES", "NO")</f>
        <v>#DIV/0!</v>
      </c>
      <c r="CP103" s="80" t="e">
        <f t="shared" si="172"/>
        <v>#DIV/0!</v>
      </c>
      <c r="CQ103" s="80" t="e">
        <f t="shared" si="172"/>
        <v>#DIV/0!</v>
      </c>
      <c r="CR103" s="80" t="e">
        <f t="shared" si="172"/>
        <v>#DIV/0!</v>
      </c>
      <c r="CS103" s="80" t="e">
        <f t="shared" si="172"/>
        <v>#DIV/0!</v>
      </c>
      <c r="CT103" s="80" t="e">
        <f t="shared" si="172"/>
        <v>#DIV/0!</v>
      </c>
    </row>
    <row r="104" spans="1:98" ht="15.75" customHeight="1">
      <c r="A104" s="3"/>
      <c r="B104" s="79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  <c r="AQ104" s="80"/>
      <c r="AR104" s="80"/>
      <c r="AS104" s="80"/>
      <c r="AT104" s="80"/>
      <c r="AU104" s="80"/>
      <c r="AV104" s="80"/>
      <c r="AW104" s="80"/>
      <c r="AX104" s="80"/>
      <c r="AY104" s="80"/>
      <c r="AZ104" s="80"/>
      <c r="BA104" s="80"/>
      <c r="BB104" s="80"/>
      <c r="BC104" s="80"/>
      <c r="BD104" s="80"/>
      <c r="BE104" s="80"/>
      <c r="BF104" s="80"/>
      <c r="BG104" s="80"/>
      <c r="BH104" s="80"/>
      <c r="BI104" s="80"/>
      <c r="BJ104" s="80"/>
      <c r="BK104" s="80"/>
      <c r="BL104" s="80"/>
      <c r="BM104" s="80"/>
      <c r="BN104" s="80"/>
      <c r="BO104" s="80"/>
      <c r="BP104" s="80"/>
      <c r="BQ104" s="80"/>
      <c r="BR104" s="80"/>
      <c r="BS104" s="80"/>
      <c r="BT104" s="80"/>
      <c r="BU104" s="80"/>
      <c r="BV104" s="80"/>
      <c r="BW104" s="80"/>
      <c r="BX104" s="80"/>
      <c r="BY104" s="80"/>
      <c r="BZ104" s="80"/>
      <c r="CA104" s="80"/>
      <c r="CB104" s="80"/>
      <c r="CC104" s="80"/>
      <c r="CD104" s="80"/>
      <c r="CE104" s="80"/>
      <c r="CF104" s="80"/>
      <c r="CG104" s="80"/>
      <c r="CH104" s="80"/>
      <c r="CI104" s="80"/>
      <c r="CJ104" s="80"/>
      <c r="CK104" s="80"/>
      <c r="CL104" s="80"/>
      <c r="CM104" s="80"/>
      <c r="CN104" s="80"/>
      <c r="CO104" s="80"/>
      <c r="CP104" s="80"/>
      <c r="CQ104" s="80"/>
      <c r="CR104" s="80"/>
      <c r="CS104" s="80"/>
      <c r="CT104" s="80"/>
    </row>
    <row r="105" spans="1:98" ht="15.75" customHeight="1">
      <c r="A105" s="13" t="s">
        <v>130</v>
      </c>
      <c r="B105" s="79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  <c r="AQ105" s="80"/>
      <c r="AR105" s="80"/>
      <c r="AS105" s="80"/>
      <c r="AT105" s="80"/>
      <c r="AU105" s="80"/>
      <c r="AV105" s="80"/>
      <c r="AW105" s="80"/>
      <c r="AX105" s="80"/>
      <c r="AY105" s="80"/>
      <c r="AZ105" s="80"/>
      <c r="BA105" s="80"/>
      <c r="BB105" s="80"/>
      <c r="BC105" s="80"/>
      <c r="BD105" s="80"/>
      <c r="BE105" s="80"/>
      <c r="BF105" s="80"/>
      <c r="BG105" s="80"/>
      <c r="BH105" s="80"/>
      <c r="BI105" s="80"/>
      <c r="BJ105" s="80"/>
      <c r="BK105" s="80"/>
      <c r="BL105" s="80"/>
      <c r="BM105" s="80"/>
      <c r="BN105" s="80"/>
      <c r="BO105" s="80"/>
      <c r="BP105" s="80"/>
      <c r="BQ105" s="80"/>
      <c r="BR105" s="80"/>
      <c r="BS105" s="80"/>
      <c r="BT105" s="80"/>
      <c r="BU105" s="80"/>
      <c r="BV105" s="80"/>
      <c r="BW105" s="80"/>
      <c r="BX105" s="80"/>
      <c r="BY105" s="80"/>
      <c r="BZ105" s="80"/>
      <c r="CA105" s="80"/>
      <c r="CB105" s="80"/>
      <c r="CC105" s="80"/>
      <c r="CD105" s="80"/>
      <c r="CE105" s="80"/>
      <c r="CF105" s="80"/>
      <c r="CG105" s="80"/>
      <c r="CH105" s="80"/>
      <c r="CI105" s="80"/>
      <c r="CJ105" s="80"/>
      <c r="CK105" s="80"/>
      <c r="CL105" s="80"/>
      <c r="CM105" s="80"/>
      <c r="CN105" s="80"/>
      <c r="CO105" s="80"/>
      <c r="CP105" s="80"/>
      <c r="CQ105" s="80"/>
      <c r="CR105" s="80"/>
      <c r="CS105" s="80"/>
      <c r="CT105" s="80"/>
    </row>
    <row r="106" spans="1:98" ht="15.75" customHeight="1">
      <c r="A106" s="95" t="s">
        <v>131</v>
      </c>
      <c r="B106" s="48" t="s">
        <v>48</v>
      </c>
      <c r="C106" s="49">
        <f t="shared" ref="C106:D106" si="173">C48/C89*1000</f>
        <v>0.75</v>
      </c>
      <c r="D106" s="49">
        <f t="shared" ref="D106:E106" si="174">D48/D89*1000</f>
        <v>0.75</v>
      </c>
      <c r="E106" s="49">
        <f t="shared" si="174"/>
        <v>0.75</v>
      </c>
      <c r="F106" s="49">
        <f t="shared" ref="F106:K106" si="175">F48/F89*1000</f>
        <v>0.75</v>
      </c>
      <c r="G106" s="49">
        <f t="shared" si="175"/>
        <v>0.75</v>
      </c>
      <c r="H106" s="49">
        <f t="shared" si="175"/>
        <v>0.75</v>
      </c>
      <c r="I106" s="49">
        <f t="shared" si="175"/>
        <v>0.75</v>
      </c>
      <c r="J106" s="49">
        <f t="shared" si="175"/>
        <v>0.75</v>
      </c>
      <c r="K106" s="49">
        <f t="shared" si="175"/>
        <v>0.75</v>
      </c>
      <c r="L106" s="49">
        <f t="shared" ref="L106:AC106" si="176">L48/L89*1000</f>
        <v>0.75</v>
      </c>
      <c r="M106" s="49">
        <f t="shared" si="176"/>
        <v>0.75</v>
      </c>
      <c r="N106" s="49">
        <f t="shared" si="176"/>
        <v>0.75</v>
      </c>
      <c r="O106" s="49">
        <f t="shared" si="176"/>
        <v>0.75</v>
      </c>
      <c r="P106" s="49">
        <f t="shared" si="176"/>
        <v>0.75</v>
      </c>
      <c r="Q106" s="49">
        <f t="shared" si="176"/>
        <v>0.75</v>
      </c>
      <c r="R106" s="49">
        <f t="shared" si="176"/>
        <v>0.75</v>
      </c>
      <c r="S106" s="49">
        <f t="shared" si="176"/>
        <v>0.75</v>
      </c>
      <c r="T106" s="49">
        <f t="shared" si="176"/>
        <v>0.75</v>
      </c>
      <c r="U106" s="49">
        <f t="shared" si="176"/>
        <v>0.75</v>
      </c>
      <c r="V106" s="49">
        <f t="shared" si="176"/>
        <v>0.75</v>
      </c>
      <c r="W106" s="49">
        <f t="shared" si="176"/>
        <v>0.75</v>
      </c>
      <c r="X106" s="49">
        <f t="shared" si="176"/>
        <v>0.75</v>
      </c>
      <c r="Y106" s="49">
        <f t="shared" si="176"/>
        <v>0.75</v>
      </c>
      <c r="Z106" s="49">
        <f t="shared" si="176"/>
        <v>0.75</v>
      </c>
      <c r="AA106" s="49">
        <f t="shared" si="176"/>
        <v>0.75</v>
      </c>
      <c r="AB106" s="49">
        <f t="shared" si="176"/>
        <v>0.75</v>
      </c>
      <c r="AC106" s="49">
        <f t="shared" si="176"/>
        <v>0.75</v>
      </c>
      <c r="AD106" s="49">
        <f t="shared" ref="AD106:CN106" si="177">AD48/AD89*1000</f>
        <v>0.75</v>
      </c>
      <c r="AE106" s="49">
        <f t="shared" si="177"/>
        <v>0.75</v>
      </c>
      <c r="AF106" s="49">
        <f t="shared" si="177"/>
        <v>0.75</v>
      </c>
      <c r="AG106" s="49">
        <f t="shared" si="177"/>
        <v>0.75</v>
      </c>
      <c r="AH106" s="49">
        <f t="shared" si="177"/>
        <v>0.75</v>
      </c>
      <c r="AI106" s="49">
        <f t="shared" si="177"/>
        <v>0.75</v>
      </c>
      <c r="AJ106" s="49">
        <f t="shared" si="177"/>
        <v>0.75</v>
      </c>
      <c r="AK106" s="49">
        <f t="shared" si="177"/>
        <v>0.75</v>
      </c>
      <c r="AL106" s="49">
        <f t="shared" si="177"/>
        <v>0.75</v>
      </c>
      <c r="AM106" s="49">
        <f t="shared" si="177"/>
        <v>0.75</v>
      </c>
      <c r="AN106" s="49">
        <f t="shared" si="177"/>
        <v>0.75</v>
      </c>
      <c r="AO106" s="49">
        <f t="shared" si="177"/>
        <v>0.75</v>
      </c>
      <c r="AP106" s="49">
        <f t="shared" si="177"/>
        <v>0.75</v>
      </c>
      <c r="AQ106" s="49">
        <f t="shared" si="177"/>
        <v>0.75</v>
      </c>
      <c r="AR106" s="49">
        <f t="shared" si="177"/>
        <v>0.75</v>
      </c>
      <c r="AS106" s="49">
        <f t="shared" si="177"/>
        <v>0.75</v>
      </c>
      <c r="AT106" s="49">
        <f t="shared" si="177"/>
        <v>0.75</v>
      </c>
      <c r="AU106" s="49">
        <f t="shared" si="177"/>
        <v>0.75</v>
      </c>
      <c r="AV106" s="49">
        <f t="shared" si="177"/>
        <v>0.75</v>
      </c>
      <c r="AW106" s="49">
        <f t="shared" si="177"/>
        <v>0.75</v>
      </c>
      <c r="AX106" s="49">
        <f t="shared" si="177"/>
        <v>0.75</v>
      </c>
      <c r="AY106" s="49">
        <f t="shared" si="177"/>
        <v>0.75</v>
      </c>
      <c r="AZ106" s="49">
        <f t="shared" si="177"/>
        <v>0.75</v>
      </c>
      <c r="BA106" s="49">
        <f t="shared" si="177"/>
        <v>0.75</v>
      </c>
      <c r="BB106" s="49">
        <f t="shared" si="177"/>
        <v>0.75</v>
      </c>
      <c r="BC106" s="49">
        <f t="shared" si="177"/>
        <v>0.75</v>
      </c>
      <c r="BD106" s="49">
        <f t="shared" si="177"/>
        <v>0.75</v>
      </c>
      <c r="BE106" s="49">
        <f t="shared" si="177"/>
        <v>0.75</v>
      </c>
      <c r="BF106" s="49">
        <f t="shared" si="177"/>
        <v>0.75</v>
      </c>
      <c r="BG106" s="49">
        <f t="shared" si="177"/>
        <v>0.75</v>
      </c>
      <c r="BH106" s="49">
        <f t="shared" si="177"/>
        <v>0.75</v>
      </c>
      <c r="BI106" s="49">
        <f t="shared" si="177"/>
        <v>0.75</v>
      </c>
      <c r="BJ106" s="49">
        <f t="shared" si="177"/>
        <v>0.75</v>
      </c>
      <c r="BK106" s="49">
        <f t="shared" si="177"/>
        <v>0.75</v>
      </c>
      <c r="BL106" s="49">
        <f t="shared" si="177"/>
        <v>0.75</v>
      </c>
      <c r="BM106" s="49">
        <f t="shared" si="177"/>
        <v>0.75</v>
      </c>
      <c r="BN106" s="49">
        <f t="shared" si="177"/>
        <v>0.75</v>
      </c>
      <c r="BO106" s="49">
        <f t="shared" si="177"/>
        <v>0.75</v>
      </c>
      <c r="BP106" s="49">
        <f t="shared" si="177"/>
        <v>0.75</v>
      </c>
      <c r="BQ106" s="49">
        <f t="shared" si="177"/>
        <v>0.75</v>
      </c>
      <c r="BR106" s="49">
        <f t="shared" si="177"/>
        <v>0.75</v>
      </c>
      <c r="BS106" s="49">
        <f t="shared" si="177"/>
        <v>0.75</v>
      </c>
      <c r="BT106" s="49">
        <f t="shared" si="177"/>
        <v>0.75</v>
      </c>
      <c r="BU106" s="49">
        <f t="shared" si="177"/>
        <v>0.75</v>
      </c>
      <c r="BV106" s="49">
        <f t="shared" si="177"/>
        <v>0.75</v>
      </c>
      <c r="BW106" s="49">
        <f t="shared" si="177"/>
        <v>0.75</v>
      </c>
      <c r="BX106" s="49">
        <f t="shared" si="177"/>
        <v>0.75</v>
      </c>
      <c r="BY106" s="49">
        <f t="shared" si="177"/>
        <v>0.75</v>
      </c>
      <c r="BZ106" s="49">
        <f t="shared" si="177"/>
        <v>0.75</v>
      </c>
      <c r="CA106" s="49">
        <f t="shared" si="177"/>
        <v>0.75</v>
      </c>
      <c r="CB106" s="49">
        <f t="shared" si="177"/>
        <v>0.75</v>
      </c>
      <c r="CC106" s="49">
        <f t="shared" si="177"/>
        <v>0.75</v>
      </c>
      <c r="CD106" s="49">
        <f t="shared" si="177"/>
        <v>0.75</v>
      </c>
      <c r="CE106" s="49">
        <f t="shared" si="177"/>
        <v>0.75</v>
      </c>
      <c r="CF106" s="49">
        <f t="shared" si="177"/>
        <v>0.75</v>
      </c>
      <c r="CG106" s="49">
        <f t="shared" si="177"/>
        <v>0.75</v>
      </c>
      <c r="CH106" s="49">
        <f t="shared" si="177"/>
        <v>0.75</v>
      </c>
      <c r="CI106" s="49">
        <f t="shared" si="177"/>
        <v>0.75</v>
      </c>
      <c r="CJ106" s="49">
        <f t="shared" si="177"/>
        <v>0.75</v>
      </c>
      <c r="CK106" s="49">
        <f t="shared" si="177"/>
        <v>0.75</v>
      </c>
      <c r="CL106" s="49">
        <f t="shared" si="177"/>
        <v>0.75</v>
      </c>
      <c r="CM106" s="49">
        <f t="shared" si="177"/>
        <v>0.75</v>
      </c>
      <c r="CN106" s="49">
        <f t="shared" si="177"/>
        <v>0.75</v>
      </c>
      <c r="CO106" s="49">
        <f t="shared" ref="CO106:CT106" si="178">CO48/CO89*1000</f>
        <v>0.75</v>
      </c>
      <c r="CP106" s="49">
        <f t="shared" si="178"/>
        <v>0.75</v>
      </c>
      <c r="CQ106" s="49">
        <f t="shared" si="178"/>
        <v>0.75</v>
      </c>
      <c r="CR106" s="49">
        <f t="shared" si="178"/>
        <v>0.75</v>
      </c>
      <c r="CS106" s="49">
        <f t="shared" si="178"/>
        <v>0.75</v>
      </c>
      <c r="CT106" s="49">
        <f t="shared" si="178"/>
        <v>0.75</v>
      </c>
    </row>
    <row r="107" spans="1:98" ht="15.75" customHeight="1">
      <c r="A107" s="95" t="s">
        <v>132</v>
      </c>
      <c r="B107" s="48" t="s">
        <v>48</v>
      </c>
      <c r="C107" s="49">
        <f t="shared" ref="C107:D107" si="179">C50-C106</f>
        <v>21.75</v>
      </c>
      <c r="D107" s="49">
        <f t="shared" ref="D107:E107" si="180">D50-D106</f>
        <v>21.75</v>
      </c>
      <c r="E107" s="49">
        <f t="shared" si="180"/>
        <v>21.75</v>
      </c>
      <c r="F107" s="49">
        <f t="shared" ref="F107:K107" si="181">F50-F106</f>
        <v>21.75</v>
      </c>
      <c r="G107" s="49">
        <f t="shared" si="181"/>
        <v>21.75</v>
      </c>
      <c r="H107" s="49">
        <f t="shared" si="181"/>
        <v>21.75</v>
      </c>
      <c r="I107" s="49">
        <f t="shared" si="181"/>
        <v>21.75</v>
      </c>
      <c r="J107" s="49">
        <f t="shared" si="181"/>
        <v>21.75</v>
      </c>
      <c r="K107" s="49">
        <f t="shared" si="181"/>
        <v>21.75</v>
      </c>
      <c r="L107" s="49">
        <f t="shared" ref="L107:AC107" si="182">L50-L106</f>
        <v>21.75</v>
      </c>
      <c r="M107" s="49">
        <f t="shared" si="182"/>
        <v>21.75</v>
      </c>
      <c r="N107" s="49">
        <f t="shared" si="182"/>
        <v>21.75</v>
      </c>
      <c r="O107" s="49">
        <f t="shared" si="182"/>
        <v>21.75</v>
      </c>
      <c r="P107" s="49">
        <f t="shared" si="182"/>
        <v>21.75</v>
      </c>
      <c r="Q107" s="49">
        <f t="shared" si="182"/>
        <v>21.75</v>
      </c>
      <c r="R107" s="49">
        <f t="shared" si="182"/>
        <v>21.75</v>
      </c>
      <c r="S107" s="49">
        <f t="shared" si="182"/>
        <v>21.75</v>
      </c>
      <c r="T107" s="49">
        <f t="shared" si="182"/>
        <v>21.75</v>
      </c>
      <c r="U107" s="49">
        <f t="shared" si="182"/>
        <v>21.75</v>
      </c>
      <c r="V107" s="49">
        <f t="shared" si="182"/>
        <v>21.75</v>
      </c>
      <c r="W107" s="49">
        <f t="shared" si="182"/>
        <v>21.75</v>
      </c>
      <c r="X107" s="49">
        <f t="shared" si="182"/>
        <v>21.75</v>
      </c>
      <c r="Y107" s="49">
        <f t="shared" si="182"/>
        <v>21.75</v>
      </c>
      <c r="Z107" s="49">
        <f t="shared" si="182"/>
        <v>21.75</v>
      </c>
      <c r="AA107" s="49">
        <f t="shared" si="182"/>
        <v>21.75</v>
      </c>
      <c r="AB107" s="49">
        <f t="shared" si="182"/>
        <v>21.75</v>
      </c>
      <c r="AC107" s="49">
        <f t="shared" si="182"/>
        <v>21.75</v>
      </c>
      <c r="AD107" s="49">
        <f t="shared" ref="AD107:CN107" si="183">AD50-AD106</f>
        <v>21.75</v>
      </c>
      <c r="AE107" s="49">
        <f t="shared" si="183"/>
        <v>21.75</v>
      </c>
      <c r="AF107" s="49">
        <f t="shared" si="183"/>
        <v>21.75</v>
      </c>
      <c r="AG107" s="49">
        <f t="shared" si="183"/>
        <v>21.75</v>
      </c>
      <c r="AH107" s="49">
        <f t="shared" si="183"/>
        <v>21.75</v>
      </c>
      <c r="AI107" s="49">
        <f t="shared" si="183"/>
        <v>21.75</v>
      </c>
      <c r="AJ107" s="49">
        <f t="shared" si="183"/>
        <v>21.75</v>
      </c>
      <c r="AK107" s="49">
        <f t="shared" si="183"/>
        <v>21.75</v>
      </c>
      <c r="AL107" s="49">
        <f t="shared" si="183"/>
        <v>21.75</v>
      </c>
      <c r="AM107" s="49">
        <f t="shared" si="183"/>
        <v>21.75</v>
      </c>
      <c r="AN107" s="49">
        <f t="shared" si="183"/>
        <v>21.75</v>
      </c>
      <c r="AO107" s="49">
        <f t="shared" si="183"/>
        <v>21.75</v>
      </c>
      <c r="AP107" s="49">
        <f t="shared" si="183"/>
        <v>21.75</v>
      </c>
      <c r="AQ107" s="49">
        <f t="shared" si="183"/>
        <v>21.75</v>
      </c>
      <c r="AR107" s="49">
        <f t="shared" si="183"/>
        <v>21.75</v>
      </c>
      <c r="AS107" s="49">
        <f t="shared" si="183"/>
        <v>21.75</v>
      </c>
      <c r="AT107" s="49">
        <f t="shared" si="183"/>
        <v>21.75</v>
      </c>
      <c r="AU107" s="49">
        <f t="shared" si="183"/>
        <v>21.75</v>
      </c>
      <c r="AV107" s="49">
        <f t="shared" si="183"/>
        <v>21.75</v>
      </c>
      <c r="AW107" s="49">
        <f t="shared" si="183"/>
        <v>21.75</v>
      </c>
      <c r="AX107" s="49">
        <f t="shared" si="183"/>
        <v>21.75</v>
      </c>
      <c r="AY107" s="49">
        <f t="shared" si="183"/>
        <v>21.75</v>
      </c>
      <c r="AZ107" s="49">
        <f t="shared" si="183"/>
        <v>21.75</v>
      </c>
      <c r="BA107" s="49">
        <f t="shared" si="183"/>
        <v>21.75</v>
      </c>
      <c r="BB107" s="49">
        <f t="shared" si="183"/>
        <v>21.75</v>
      </c>
      <c r="BC107" s="49">
        <f t="shared" si="183"/>
        <v>21.75</v>
      </c>
      <c r="BD107" s="49">
        <f t="shared" si="183"/>
        <v>21.75</v>
      </c>
      <c r="BE107" s="49">
        <f t="shared" si="183"/>
        <v>21.75</v>
      </c>
      <c r="BF107" s="49">
        <f t="shared" si="183"/>
        <v>21.75</v>
      </c>
      <c r="BG107" s="49">
        <f t="shared" si="183"/>
        <v>21.75</v>
      </c>
      <c r="BH107" s="49">
        <f t="shared" si="183"/>
        <v>21.75</v>
      </c>
      <c r="BI107" s="49">
        <f t="shared" si="183"/>
        <v>21.75</v>
      </c>
      <c r="BJ107" s="49">
        <f t="shared" si="183"/>
        <v>21.75</v>
      </c>
      <c r="BK107" s="49">
        <f t="shared" si="183"/>
        <v>21.75</v>
      </c>
      <c r="BL107" s="49">
        <f t="shared" si="183"/>
        <v>21.75</v>
      </c>
      <c r="BM107" s="49">
        <f t="shared" si="183"/>
        <v>21.75</v>
      </c>
      <c r="BN107" s="49">
        <f t="shared" si="183"/>
        <v>21.75</v>
      </c>
      <c r="BO107" s="49">
        <f t="shared" si="183"/>
        <v>21.75</v>
      </c>
      <c r="BP107" s="49">
        <f t="shared" si="183"/>
        <v>21.75</v>
      </c>
      <c r="BQ107" s="49">
        <f t="shared" si="183"/>
        <v>21.75</v>
      </c>
      <c r="BR107" s="49">
        <f t="shared" si="183"/>
        <v>21.75</v>
      </c>
      <c r="BS107" s="49">
        <f t="shared" si="183"/>
        <v>21.75</v>
      </c>
      <c r="BT107" s="49">
        <f t="shared" si="183"/>
        <v>21.75</v>
      </c>
      <c r="BU107" s="49">
        <f t="shared" si="183"/>
        <v>21.75</v>
      </c>
      <c r="BV107" s="49">
        <f t="shared" si="183"/>
        <v>21.75</v>
      </c>
      <c r="BW107" s="49">
        <f t="shared" si="183"/>
        <v>21.75</v>
      </c>
      <c r="BX107" s="49">
        <f t="shared" si="183"/>
        <v>21.75</v>
      </c>
      <c r="BY107" s="49">
        <f t="shared" si="183"/>
        <v>21.75</v>
      </c>
      <c r="BZ107" s="49">
        <f t="shared" si="183"/>
        <v>21.75</v>
      </c>
      <c r="CA107" s="49">
        <f t="shared" si="183"/>
        <v>21.75</v>
      </c>
      <c r="CB107" s="49">
        <f t="shared" si="183"/>
        <v>21.75</v>
      </c>
      <c r="CC107" s="49">
        <f t="shared" si="183"/>
        <v>21.75</v>
      </c>
      <c r="CD107" s="49">
        <f t="shared" si="183"/>
        <v>21.75</v>
      </c>
      <c r="CE107" s="49">
        <f t="shared" si="183"/>
        <v>21.75</v>
      </c>
      <c r="CF107" s="49">
        <f t="shared" si="183"/>
        <v>21.75</v>
      </c>
      <c r="CG107" s="49">
        <f t="shared" si="183"/>
        <v>21.75</v>
      </c>
      <c r="CH107" s="49">
        <f t="shared" si="183"/>
        <v>21.75</v>
      </c>
      <c r="CI107" s="49">
        <f t="shared" si="183"/>
        <v>21.75</v>
      </c>
      <c r="CJ107" s="49">
        <f t="shared" si="183"/>
        <v>21.75</v>
      </c>
      <c r="CK107" s="49">
        <f t="shared" si="183"/>
        <v>21.75</v>
      </c>
      <c r="CL107" s="49">
        <f t="shared" si="183"/>
        <v>21.75</v>
      </c>
      <c r="CM107" s="49">
        <f t="shared" si="183"/>
        <v>21.75</v>
      </c>
      <c r="CN107" s="49">
        <f t="shared" si="183"/>
        <v>21.75</v>
      </c>
      <c r="CO107" s="49">
        <f t="shared" ref="CO107:CT107" si="184">CO50-CO106</f>
        <v>21.75</v>
      </c>
      <c r="CP107" s="49">
        <f t="shared" si="184"/>
        <v>21.75</v>
      </c>
      <c r="CQ107" s="49">
        <f t="shared" si="184"/>
        <v>21.75</v>
      </c>
      <c r="CR107" s="49">
        <f t="shared" si="184"/>
        <v>21.75</v>
      </c>
      <c r="CS107" s="49">
        <f t="shared" si="184"/>
        <v>21.75</v>
      </c>
      <c r="CT107" s="49">
        <f t="shared" si="184"/>
        <v>21.75</v>
      </c>
    </row>
    <row r="108" spans="1:98" ht="15.75" customHeight="1">
      <c r="A108" s="95" t="s">
        <v>133</v>
      </c>
      <c r="B108" s="48" t="s">
        <v>48</v>
      </c>
      <c r="C108" s="49">
        <f t="shared" ref="C108:D108" si="185">SUM(C106:C107)</f>
        <v>22.5</v>
      </c>
      <c r="D108" s="49">
        <f t="shared" ref="D108:E108" si="186">SUM(D106:D107)</f>
        <v>22.5</v>
      </c>
      <c r="E108" s="49">
        <f t="shared" si="186"/>
        <v>22.5</v>
      </c>
      <c r="F108" s="49">
        <f t="shared" ref="F108:K108" si="187">SUM(F106:F107)</f>
        <v>22.5</v>
      </c>
      <c r="G108" s="49">
        <f t="shared" si="187"/>
        <v>22.5</v>
      </c>
      <c r="H108" s="49">
        <f t="shared" si="187"/>
        <v>22.5</v>
      </c>
      <c r="I108" s="49">
        <f t="shared" si="187"/>
        <v>22.5</v>
      </c>
      <c r="J108" s="49">
        <f t="shared" si="187"/>
        <v>22.5</v>
      </c>
      <c r="K108" s="49">
        <f t="shared" si="187"/>
        <v>22.5</v>
      </c>
      <c r="L108" s="49">
        <f t="shared" ref="L108:AC108" si="188">SUM(L106:L107)</f>
        <v>22.5</v>
      </c>
      <c r="M108" s="49">
        <f t="shared" si="188"/>
        <v>22.5</v>
      </c>
      <c r="N108" s="49">
        <f t="shared" si="188"/>
        <v>22.5</v>
      </c>
      <c r="O108" s="49">
        <f t="shared" si="188"/>
        <v>22.5</v>
      </c>
      <c r="P108" s="49">
        <f t="shared" si="188"/>
        <v>22.5</v>
      </c>
      <c r="Q108" s="49">
        <f t="shared" si="188"/>
        <v>22.5</v>
      </c>
      <c r="R108" s="49">
        <f t="shared" si="188"/>
        <v>22.5</v>
      </c>
      <c r="S108" s="49">
        <f t="shared" si="188"/>
        <v>22.5</v>
      </c>
      <c r="T108" s="49">
        <f t="shared" si="188"/>
        <v>22.5</v>
      </c>
      <c r="U108" s="49">
        <f t="shared" si="188"/>
        <v>22.5</v>
      </c>
      <c r="V108" s="49">
        <f t="shared" si="188"/>
        <v>22.5</v>
      </c>
      <c r="W108" s="49">
        <f t="shared" si="188"/>
        <v>22.5</v>
      </c>
      <c r="X108" s="49">
        <f t="shared" si="188"/>
        <v>22.5</v>
      </c>
      <c r="Y108" s="49">
        <f t="shared" si="188"/>
        <v>22.5</v>
      </c>
      <c r="Z108" s="49">
        <f t="shared" si="188"/>
        <v>22.5</v>
      </c>
      <c r="AA108" s="49">
        <f t="shared" si="188"/>
        <v>22.5</v>
      </c>
      <c r="AB108" s="49">
        <f t="shared" si="188"/>
        <v>22.5</v>
      </c>
      <c r="AC108" s="49">
        <f t="shared" si="188"/>
        <v>22.5</v>
      </c>
      <c r="AD108" s="49">
        <f t="shared" ref="AD108:CN108" si="189">SUM(AD106:AD107)</f>
        <v>22.5</v>
      </c>
      <c r="AE108" s="49">
        <f t="shared" si="189"/>
        <v>22.5</v>
      </c>
      <c r="AF108" s="49">
        <f t="shared" si="189"/>
        <v>22.5</v>
      </c>
      <c r="AG108" s="49">
        <f t="shared" si="189"/>
        <v>22.5</v>
      </c>
      <c r="AH108" s="49">
        <f t="shared" si="189"/>
        <v>22.5</v>
      </c>
      <c r="AI108" s="49">
        <f t="shared" si="189"/>
        <v>22.5</v>
      </c>
      <c r="AJ108" s="49">
        <f t="shared" si="189"/>
        <v>22.5</v>
      </c>
      <c r="AK108" s="49">
        <f t="shared" si="189"/>
        <v>22.5</v>
      </c>
      <c r="AL108" s="49">
        <f t="shared" si="189"/>
        <v>22.5</v>
      </c>
      <c r="AM108" s="49">
        <f t="shared" si="189"/>
        <v>22.5</v>
      </c>
      <c r="AN108" s="49">
        <f t="shared" si="189"/>
        <v>22.5</v>
      </c>
      <c r="AO108" s="49">
        <f t="shared" si="189"/>
        <v>22.5</v>
      </c>
      <c r="AP108" s="49">
        <f t="shared" si="189"/>
        <v>22.5</v>
      </c>
      <c r="AQ108" s="49">
        <f t="shared" si="189"/>
        <v>22.5</v>
      </c>
      <c r="AR108" s="49">
        <f t="shared" si="189"/>
        <v>22.5</v>
      </c>
      <c r="AS108" s="49">
        <f t="shared" si="189"/>
        <v>22.5</v>
      </c>
      <c r="AT108" s="49">
        <f t="shared" si="189"/>
        <v>22.5</v>
      </c>
      <c r="AU108" s="49">
        <f t="shared" si="189"/>
        <v>22.5</v>
      </c>
      <c r="AV108" s="49">
        <f t="shared" si="189"/>
        <v>22.5</v>
      </c>
      <c r="AW108" s="49">
        <f t="shared" si="189"/>
        <v>22.5</v>
      </c>
      <c r="AX108" s="49">
        <f t="shared" si="189"/>
        <v>22.5</v>
      </c>
      <c r="AY108" s="49">
        <f t="shared" si="189"/>
        <v>22.5</v>
      </c>
      <c r="AZ108" s="49">
        <f t="shared" si="189"/>
        <v>22.5</v>
      </c>
      <c r="BA108" s="49">
        <f t="shared" si="189"/>
        <v>22.5</v>
      </c>
      <c r="BB108" s="49">
        <f t="shared" si="189"/>
        <v>22.5</v>
      </c>
      <c r="BC108" s="49">
        <f t="shared" si="189"/>
        <v>22.5</v>
      </c>
      <c r="BD108" s="49">
        <f t="shared" si="189"/>
        <v>22.5</v>
      </c>
      <c r="BE108" s="49">
        <f t="shared" si="189"/>
        <v>22.5</v>
      </c>
      <c r="BF108" s="49">
        <f t="shared" si="189"/>
        <v>22.5</v>
      </c>
      <c r="BG108" s="49">
        <f t="shared" si="189"/>
        <v>22.5</v>
      </c>
      <c r="BH108" s="49">
        <f t="shared" si="189"/>
        <v>22.5</v>
      </c>
      <c r="BI108" s="49">
        <f t="shared" si="189"/>
        <v>22.5</v>
      </c>
      <c r="BJ108" s="49">
        <f t="shared" si="189"/>
        <v>22.5</v>
      </c>
      <c r="BK108" s="49">
        <f t="shared" si="189"/>
        <v>22.5</v>
      </c>
      <c r="BL108" s="49">
        <f t="shared" si="189"/>
        <v>22.5</v>
      </c>
      <c r="BM108" s="49">
        <f t="shared" si="189"/>
        <v>22.5</v>
      </c>
      <c r="BN108" s="49">
        <f t="shared" si="189"/>
        <v>22.5</v>
      </c>
      <c r="BO108" s="49">
        <f t="shared" si="189"/>
        <v>22.5</v>
      </c>
      <c r="BP108" s="49">
        <f t="shared" si="189"/>
        <v>22.5</v>
      </c>
      <c r="BQ108" s="49">
        <f t="shared" si="189"/>
        <v>22.5</v>
      </c>
      <c r="BR108" s="49">
        <f t="shared" si="189"/>
        <v>22.5</v>
      </c>
      <c r="BS108" s="49">
        <f t="shared" si="189"/>
        <v>22.5</v>
      </c>
      <c r="BT108" s="49">
        <f t="shared" si="189"/>
        <v>22.5</v>
      </c>
      <c r="BU108" s="49">
        <f t="shared" si="189"/>
        <v>22.5</v>
      </c>
      <c r="BV108" s="49">
        <f t="shared" si="189"/>
        <v>22.5</v>
      </c>
      <c r="BW108" s="49">
        <f t="shared" si="189"/>
        <v>22.5</v>
      </c>
      <c r="BX108" s="49">
        <f t="shared" si="189"/>
        <v>22.5</v>
      </c>
      <c r="BY108" s="49">
        <f t="shared" si="189"/>
        <v>22.5</v>
      </c>
      <c r="BZ108" s="49">
        <f t="shared" si="189"/>
        <v>22.5</v>
      </c>
      <c r="CA108" s="49">
        <f t="shared" si="189"/>
        <v>22.5</v>
      </c>
      <c r="CB108" s="49">
        <f t="shared" si="189"/>
        <v>22.5</v>
      </c>
      <c r="CC108" s="49">
        <f t="shared" si="189"/>
        <v>22.5</v>
      </c>
      <c r="CD108" s="49">
        <f t="shared" si="189"/>
        <v>22.5</v>
      </c>
      <c r="CE108" s="49">
        <f t="shared" si="189"/>
        <v>22.5</v>
      </c>
      <c r="CF108" s="49">
        <f t="shared" si="189"/>
        <v>22.5</v>
      </c>
      <c r="CG108" s="49">
        <f t="shared" si="189"/>
        <v>22.5</v>
      </c>
      <c r="CH108" s="49">
        <f t="shared" si="189"/>
        <v>22.5</v>
      </c>
      <c r="CI108" s="49">
        <f t="shared" si="189"/>
        <v>22.5</v>
      </c>
      <c r="CJ108" s="49">
        <f t="shared" si="189"/>
        <v>22.5</v>
      </c>
      <c r="CK108" s="49">
        <f t="shared" si="189"/>
        <v>22.5</v>
      </c>
      <c r="CL108" s="49">
        <f t="shared" si="189"/>
        <v>22.5</v>
      </c>
      <c r="CM108" s="49">
        <f t="shared" si="189"/>
        <v>22.5</v>
      </c>
      <c r="CN108" s="49">
        <f t="shared" si="189"/>
        <v>22.5</v>
      </c>
      <c r="CO108" s="49">
        <f t="shared" ref="CO108:CT108" si="190">SUM(CO106:CO107)</f>
        <v>22.5</v>
      </c>
      <c r="CP108" s="49">
        <f t="shared" si="190"/>
        <v>22.5</v>
      </c>
      <c r="CQ108" s="49">
        <f t="shared" si="190"/>
        <v>22.5</v>
      </c>
      <c r="CR108" s="49">
        <f t="shared" si="190"/>
        <v>22.5</v>
      </c>
      <c r="CS108" s="49">
        <f t="shared" si="190"/>
        <v>22.5</v>
      </c>
      <c r="CT108" s="49">
        <f t="shared" si="190"/>
        <v>22.5</v>
      </c>
    </row>
    <row r="109" spans="1:98" ht="15.75" customHeight="1">
      <c r="A109" s="3"/>
      <c r="B109" s="79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  <c r="AQ109" s="80"/>
      <c r="AR109" s="80"/>
      <c r="AS109" s="80"/>
      <c r="AT109" s="80"/>
      <c r="AU109" s="80"/>
      <c r="AV109" s="80"/>
      <c r="AW109" s="80"/>
      <c r="AX109" s="80"/>
      <c r="AY109" s="80"/>
      <c r="AZ109" s="80"/>
      <c r="BA109" s="80"/>
      <c r="BB109" s="80"/>
      <c r="BC109" s="80"/>
      <c r="BD109" s="80"/>
      <c r="BE109" s="80"/>
      <c r="BF109" s="80"/>
      <c r="BG109" s="80"/>
      <c r="BH109" s="80"/>
      <c r="BI109" s="80"/>
      <c r="BJ109" s="80"/>
      <c r="BK109" s="80"/>
      <c r="BL109" s="80"/>
      <c r="BM109" s="80"/>
      <c r="BN109" s="80"/>
      <c r="BO109" s="80"/>
      <c r="BP109" s="80"/>
      <c r="BQ109" s="80"/>
      <c r="BR109" s="80"/>
      <c r="BS109" s="80"/>
      <c r="BT109" s="80"/>
      <c r="BU109" s="80"/>
      <c r="BV109" s="80"/>
      <c r="BW109" s="80"/>
      <c r="BX109" s="80"/>
      <c r="BY109" s="80"/>
      <c r="BZ109" s="80"/>
      <c r="CA109" s="80"/>
      <c r="CB109" s="80"/>
      <c r="CC109" s="80"/>
      <c r="CD109" s="80"/>
      <c r="CE109" s="80"/>
      <c r="CF109" s="80"/>
      <c r="CG109" s="80"/>
      <c r="CH109" s="80"/>
      <c r="CI109" s="80"/>
      <c r="CJ109" s="80"/>
      <c r="CK109" s="80"/>
      <c r="CL109" s="80"/>
      <c r="CM109" s="80"/>
      <c r="CN109" s="80"/>
      <c r="CO109" s="80"/>
      <c r="CP109" s="80"/>
      <c r="CQ109" s="80"/>
      <c r="CR109" s="80"/>
      <c r="CS109" s="80"/>
      <c r="CT109" s="80"/>
    </row>
    <row r="110" spans="1:98" ht="15.75" customHeight="1">
      <c r="A110" s="13" t="s">
        <v>134</v>
      </c>
      <c r="B110" s="79" t="s">
        <v>48</v>
      </c>
      <c r="C110" s="80" t="e">
        <f t="shared" ref="C110:D110" si="191">SUM(C101,C108)</f>
        <v>#DIV/0!</v>
      </c>
      <c r="D110" s="80" t="e">
        <f t="shared" ref="D110:E110" si="192">SUM(D101,D108)</f>
        <v>#DIV/0!</v>
      </c>
      <c r="E110" s="80" t="e">
        <f t="shared" si="192"/>
        <v>#DIV/0!</v>
      </c>
      <c r="F110" s="80" t="e">
        <f t="shared" ref="F110:K110" si="193">SUM(F101,F108)</f>
        <v>#DIV/0!</v>
      </c>
      <c r="G110" s="80" t="e">
        <f t="shared" si="193"/>
        <v>#DIV/0!</v>
      </c>
      <c r="H110" s="80" t="e">
        <f t="shared" si="193"/>
        <v>#DIV/0!</v>
      </c>
      <c r="I110" s="80" t="e">
        <f t="shared" si="193"/>
        <v>#DIV/0!</v>
      </c>
      <c r="J110" s="80" t="e">
        <f t="shared" si="193"/>
        <v>#DIV/0!</v>
      </c>
      <c r="K110" s="80" t="e">
        <f t="shared" si="193"/>
        <v>#DIV/0!</v>
      </c>
      <c r="L110" s="80" t="e">
        <f t="shared" ref="L110:AC110" si="194">SUM(L101,L108)</f>
        <v>#DIV/0!</v>
      </c>
      <c r="M110" s="80" t="e">
        <f t="shared" si="194"/>
        <v>#DIV/0!</v>
      </c>
      <c r="N110" s="80" t="e">
        <f t="shared" si="194"/>
        <v>#DIV/0!</v>
      </c>
      <c r="O110" s="80" t="e">
        <f t="shared" si="194"/>
        <v>#DIV/0!</v>
      </c>
      <c r="P110" s="80" t="e">
        <f t="shared" si="194"/>
        <v>#DIV/0!</v>
      </c>
      <c r="Q110" s="80" t="e">
        <f t="shared" si="194"/>
        <v>#DIV/0!</v>
      </c>
      <c r="R110" s="80" t="e">
        <f t="shared" si="194"/>
        <v>#DIV/0!</v>
      </c>
      <c r="S110" s="80" t="e">
        <f t="shared" si="194"/>
        <v>#DIV/0!</v>
      </c>
      <c r="T110" s="80" t="e">
        <f t="shared" si="194"/>
        <v>#DIV/0!</v>
      </c>
      <c r="U110" s="80" t="e">
        <f t="shared" si="194"/>
        <v>#DIV/0!</v>
      </c>
      <c r="V110" s="80" t="e">
        <f t="shared" si="194"/>
        <v>#DIV/0!</v>
      </c>
      <c r="W110" s="80" t="e">
        <f t="shared" si="194"/>
        <v>#DIV/0!</v>
      </c>
      <c r="X110" s="80" t="e">
        <f t="shared" si="194"/>
        <v>#DIV/0!</v>
      </c>
      <c r="Y110" s="80" t="e">
        <f t="shared" si="194"/>
        <v>#DIV/0!</v>
      </c>
      <c r="Z110" s="80" t="e">
        <f t="shared" si="194"/>
        <v>#DIV/0!</v>
      </c>
      <c r="AA110" s="80" t="e">
        <f t="shared" si="194"/>
        <v>#DIV/0!</v>
      </c>
      <c r="AB110" s="80" t="e">
        <f t="shared" si="194"/>
        <v>#DIV/0!</v>
      </c>
      <c r="AC110" s="80" t="e">
        <f t="shared" si="194"/>
        <v>#DIV/0!</v>
      </c>
      <c r="AD110" s="80" t="e">
        <f t="shared" ref="AD110:CN110" si="195">SUM(AD101,AD108)</f>
        <v>#DIV/0!</v>
      </c>
      <c r="AE110" s="80" t="e">
        <f t="shared" si="195"/>
        <v>#DIV/0!</v>
      </c>
      <c r="AF110" s="80" t="e">
        <f t="shared" si="195"/>
        <v>#DIV/0!</v>
      </c>
      <c r="AG110" s="80" t="e">
        <f t="shared" si="195"/>
        <v>#DIV/0!</v>
      </c>
      <c r="AH110" s="80" t="e">
        <f t="shared" si="195"/>
        <v>#DIV/0!</v>
      </c>
      <c r="AI110" s="80" t="e">
        <f t="shared" si="195"/>
        <v>#DIV/0!</v>
      </c>
      <c r="AJ110" s="80" t="e">
        <f t="shared" si="195"/>
        <v>#DIV/0!</v>
      </c>
      <c r="AK110" s="80" t="e">
        <f t="shared" si="195"/>
        <v>#DIV/0!</v>
      </c>
      <c r="AL110" s="80" t="e">
        <f t="shared" si="195"/>
        <v>#DIV/0!</v>
      </c>
      <c r="AM110" s="80" t="e">
        <f t="shared" si="195"/>
        <v>#DIV/0!</v>
      </c>
      <c r="AN110" s="80" t="e">
        <f t="shared" si="195"/>
        <v>#DIV/0!</v>
      </c>
      <c r="AO110" s="80" t="e">
        <f t="shared" si="195"/>
        <v>#DIV/0!</v>
      </c>
      <c r="AP110" s="80" t="e">
        <f t="shared" si="195"/>
        <v>#DIV/0!</v>
      </c>
      <c r="AQ110" s="80" t="e">
        <f t="shared" si="195"/>
        <v>#DIV/0!</v>
      </c>
      <c r="AR110" s="80" t="e">
        <f t="shared" si="195"/>
        <v>#DIV/0!</v>
      </c>
      <c r="AS110" s="80" t="e">
        <f t="shared" si="195"/>
        <v>#DIV/0!</v>
      </c>
      <c r="AT110" s="80" t="e">
        <f t="shared" si="195"/>
        <v>#DIV/0!</v>
      </c>
      <c r="AU110" s="80" t="e">
        <f t="shared" si="195"/>
        <v>#DIV/0!</v>
      </c>
      <c r="AV110" s="80" t="e">
        <f t="shared" si="195"/>
        <v>#DIV/0!</v>
      </c>
      <c r="AW110" s="80" t="e">
        <f t="shared" si="195"/>
        <v>#DIV/0!</v>
      </c>
      <c r="AX110" s="80" t="e">
        <f t="shared" si="195"/>
        <v>#DIV/0!</v>
      </c>
      <c r="AY110" s="80" t="e">
        <f t="shared" si="195"/>
        <v>#DIV/0!</v>
      </c>
      <c r="AZ110" s="80" t="e">
        <f t="shared" si="195"/>
        <v>#DIV/0!</v>
      </c>
      <c r="BA110" s="80" t="e">
        <f t="shared" si="195"/>
        <v>#DIV/0!</v>
      </c>
      <c r="BB110" s="80" t="e">
        <f t="shared" si="195"/>
        <v>#DIV/0!</v>
      </c>
      <c r="BC110" s="80" t="e">
        <f t="shared" si="195"/>
        <v>#DIV/0!</v>
      </c>
      <c r="BD110" s="80" t="e">
        <f t="shared" si="195"/>
        <v>#DIV/0!</v>
      </c>
      <c r="BE110" s="80" t="e">
        <f t="shared" si="195"/>
        <v>#DIV/0!</v>
      </c>
      <c r="BF110" s="80" t="e">
        <f t="shared" si="195"/>
        <v>#DIV/0!</v>
      </c>
      <c r="BG110" s="80" t="e">
        <f t="shared" si="195"/>
        <v>#DIV/0!</v>
      </c>
      <c r="BH110" s="80" t="e">
        <f t="shared" si="195"/>
        <v>#DIV/0!</v>
      </c>
      <c r="BI110" s="80" t="e">
        <f t="shared" si="195"/>
        <v>#DIV/0!</v>
      </c>
      <c r="BJ110" s="80" t="e">
        <f t="shared" si="195"/>
        <v>#DIV/0!</v>
      </c>
      <c r="BK110" s="80" t="e">
        <f t="shared" si="195"/>
        <v>#DIV/0!</v>
      </c>
      <c r="BL110" s="80" t="e">
        <f t="shared" si="195"/>
        <v>#DIV/0!</v>
      </c>
      <c r="BM110" s="80" t="e">
        <f t="shared" si="195"/>
        <v>#DIV/0!</v>
      </c>
      <c r="BN110" s="80" t="e">
        <f t="shared" si="195"/>
        <v>#DIV/0!</v>
      </c>
      <c r="BO110" s="80" t="e">
        <f t="shared" si="195"/>
        <v>#DIV/0!</v>
      </c>
      <c r="BP110" s="80" t="e">
        <f t="shared" si="195"/>
        <v>#DIV/0!</v>
      </c>
      <c r="BQ110" s="80" t="e">
        <f t="shared" si="195"/>
        <v>#DIV/0!</v>
      </c>
      <c r="BR110" s="80" t="e">
        <f t="shared" si="195"/>
        <v>#DIV/0!</v>
      </c>
      <c r="BS110" s="80" t="e">
        <f t="shared" si="195"/>
        <v>#DIV/0!</v>
      </c>
      <c r="BT110" s="80" t="e">
        <f t="shared" si="195"/>
        <v>#DIV/0!</v>
      </c>
      <c r="BU110" s="80" t="e">
        <f t="shared" si="195"/>
        <v>#DIV/0!</v>
      </c>
      <c r="BV110" s="80" t="e">
        <f t="shared" si="195"/>
        <v>#DIV/0!</v>
      </c>
      <c r="BW110" s="80" t="e">
        <f t="shared" si="195"/>
        <v>#DIV/0!</v>
      </c>
      <c r="BX110" s="80" t="e">
        <f t="shared" si="195"/>
        <v>#DIV/0!</v>
      </c>
      <c r="BY110" s="80" t="e">
        <f t="shared" si="195"/>
        <v>#DIV/0!</v>
      </c>
      <c r="BZ110" s="80" t="e">
        <f t="shared" si="195"/>
        <v>#DIV/0!</v>
      </c>
      <c r="CA110" s="80" t="e">
        <f t="shared" si="195"/>
        <v>#DIV/0!</v>
      </c>
      <c r="CB110" s="80" t="e">
        <f t="shared" si="195"/>
        <v>#DIV/0!</v>
      </c>
      <c r="CC110" s="80" t="e">
        <f t="shared" si="195"/>
        <v>#DIV/0!</v>
      </c>
      <c r="CD110" s="80" t="e">
        <f t="shared" si="195"/>
        <v>#DIV/0!</v>
      </c>
      <c r="CE110" s="80" t="e">
        <f t="shared" si="195"/>
        <v>#DIV/0!</v>
      </c>
      <c r="CF110" s="80" t="e">
        <f t="shared" si="195"/>
        <v>#DIV/0!</v>
      </c>
      <c r="CG110" s="80" t="e">
        <f t="shared" si="195"/>
        <v>#DIV/0!</v>
      </c>
      <c r="CH110" s="80" t="e">
        <f t="shared" si="195"/>
        <v>#DIV/0!</v>
      </c>
      <c r="CI110" s="80" t="e">
        <f t="shared" si="195"/>
        <v>#DIV/0!</v>
      </c>
      <c r="CJ110" s="80" t="e">
        <f t="shared" si="195"/>
        <v>#DIV/0!</v>
      </c>
      <c r="CK110" s="80" t="e">
        <f t="shared" si="195"/>
        <v>#DIV/0!</v>
      </c>
      <c r="CL110" s="80" t="e">
        <f t="shared" si="195"/>
        <v>#DIV/0!</v>
      </c>
      <c r="CM110" s="80" t="e">
        <f t="shared" si="195"/>
        <v>#DIV/0!</v>
      </c>
      <c r="CN110" s="80" t="e">
        <f t="shared" si="195"/>
        <v>#DIV/0!</v>
      </c>
      <c r="CO110" s="80" t="e">
        <f t="shared" ref="CO110:CT110" si="196">SUM(CO101,CO108)</f>
        <v>#DIV/0!</v>
      </c>
      <c r="CP110" s="80" t="e">
        <f t="shared" si="196"/>
        <v>#DIV/0!</v>
      </c>
      <c r="CQ110" s="80" t="e">
        <f t="shared" si="196"/>
        <v>#DIV/0!</v>
      </c>
      <c r="CR110" s="80" t="e">
        <f t="shared" si="196"/>
        <v>#DIV/0!</v>
      </c>
      <c r="CS110" s="80" t="e">
        <f t="shared" si="196"/>
        <v>#DIV/0!</v>
      </c>
      <c r="CT110" s="80" t="e">
        <f t="shared" si="196"/>
        <v>#DIV/0!</v>
      </c>
    </row>
    <row r="111" spans="1:98" ht="15.75" customHeight="1">
      <c r="A111" s="13"/>
      <c r="B111" s="79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</row>
    <row r="112" spans="1:98" ht="15.75" customHeight="1" thickBot="1">
      <c r="A112" s="96" t="s">
        <v>135</v>
      </c>
      <c r="B112" s="50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  <c r="AA112" s="97"/>
      <c r="AB112" s="97"/>
      <c r="AC112" s="97"/>
      <c r="AD112" s="97"/>
      <c r="AE112" s="97"/>
      <c r="AF112" s="97"/>
      <c r="AG112" s="97"/>
      <c r="AH112" s="97"/>
      <c r="AI112" s="97"/>
      <c r="AJ112" s="97"/>
      <c r="AK112" s="97"/>
      <c r="AL112" s="97"/>
      <c r="AM112" s="97"/>
      <c r="AN112" s="97"/>
      <c r="AO112" s="97"/>
      <c r="AP112" s="97"/>
      <c r="AQ112" s="97"/>
      <c r="AR112" s="97"/>
      <c r="AS112" s="97"/>
      <c r="AT112" s="97"/>
      <c r="AU112" s="97"/>
      <c r="AV112" s="97"/>
      <c r="AW112" s="97"/>
      <c r="AX112" s="97"/>
      <c r="AY112" s="97"/>
      <c r="AZ112" s="97"/>
      <c r="BA112" s="97"/>
      <c r="BB112" s="97"/>
      <c r="BC112" s="97"/>
      <c r="BD112" s="97"/>
      <c r="BE112" s="97"/>
      <c r="BF112" s="97"/>
      <c r="BG112" s="97"/>
      <c r="BH112" s="97"/>
      <c r="BI112" s="97"/>
      <c r="BJ112" s="97"/>
      <c r="BK112" s="97"/>
      <c r="BL112" s="97"/>
      <c r="BM112" s="97"/>
      <c r="BN112" s="97"/>
      <c r="BO112" s="97"/>
      <c r="BP112" s="97"/>
      <c r="BQ112" s="97"/>
      <c r="BR112" s="97"/>
      <c r="BS112" s="97"/>
      <c r="BT112" s="97"/>
      <c r="BU112" s="97"/>
      <c r="BV112" s="97"/>
      <c r="BW112" s="97"/>
      <c r="BX112" s="97"/>
      <c r="BY112" s="97"/>
      <c r="BZ112" s="97"/>
      <c r="CA112" s="97"/>
      <c r="CB112" s="97"/>
      <c r="CC112" s="97"/>
      <c r="CD112" s="97"/>
      <c r="CE112" s="97"/>
      <c r="CF112" s="97"/>
      <c r="CG112" s="97"/>
      <c r="CH112" s="97"/>
      <c r="CI112" s="97"/>
      <c r="CJ112" s="97"/>
      <c r="CK112" s="97"/>
      <c r="CL112" s="97"/>
      <c r="CM112" s="97"/>
      <c r="CN112" s="97"/>
      <c r="CO112" s="97"/>
      <c r="CP112" s="97"/>
      <c r="CQ112" s="97"/>
      <c r="CR112" s="97"/>
      <c r="CS112" s="97"/>
      <c r="CT112" s="97"/>
    </row>
    <row r="113" spans="1:98" ht="15.75" customHeight="1">
      <c r="A113" s="52" t="s">
        <v>136</v>
      </c>
      <c r="B113" s="53" t="s">
        <v>48</v>
      </c>
      <c r="C113" s="54" t="e">
        <f t="shared" ref="C113:D113" si="197">C76/(C86)*1000</f>
        <v>#DIV/0!</v>
      </c>
      <c r="D113" s="54" t="e">
        <f t="shared" ref="D113:E113" si="198">D76/(D86)*1000</f>
        <v>#DIV/0!</v>
      </c>
      <c r="E113" s="54" t="e">
        <f t="shared" si="198"/>
        <v>#DIV/0!</v>
      </c>
      <c r="F113" s="54" t="e">
        <f t="shared" ref="F113:K113" si="199">F76/(F86)*1000</f>
        <v>#DIV/0!</v>
      </c>
      <c r="G113" s="54" t="e">
        <f t="shared" si="199"/>
        <v>#DIV/0!</v>
      </c>
      <c r="H113" s="54" t="e">
        <f t="shared" si="199"/>
        <v>#DIV/0!</v>
      </c>
      <c r="I113" s="54" t="e">
        <f t="shared" si="199"/>
        <v>#DIV/0!</v>
      </c>
      <c r="J113" s="54" t="e">
        <f t="shared" si="199"/>
        <v>#DIV/0!</v>
      </c>
      <c r="K113" s="54" t="e">
        <f t="shared" si="199"/>
        <v>#DIV/0!</v>
      </c>
      <c r="L113" s="54" t="e">
        <f t="shared" ref="L113:AC113" si="200">L76/(L86)*1000</f>
        <v>#DIV/0!</v>
      </c>
      <c r="M113" s="54" t="e">
        <f t="shared" si="200"/>
        <v>#DIV/0!</v>
      </c>
      <c r="N113" s="54" t="e">
        <f t="shared" si="200"/>
        <v>#DIV/0!</v>
      </c>
      <c r="O113" s="54" t="e">
        <f t="shared" si="200"/>
        <v>#DIV/0!</v>
      </c>
      <c r="P113" s="54" t="e">
        <f t="shared" si="200"/>
        <v>#DIV/0!</v>
      </c>
      <c r="Q113" s="54" t="e">
        <f t="shared" si="200"/>
        <v>#DIV/0!</v>
      </c>
      <c r="R113" s="54" t="e">
        <f t="shared" si="200"/>
        <v>#DIV/0!</v>
      </c>
      <c r="S113" s="54" t="e">
        <f t="shared" si="200"/>
        <v>#DIV/0!</v>
      </c>
      <c r="T113" s="54" t="e">
        <f t="shared" si="200"/>
        <v>#DIV/0!</v>
      </c>
      <c r="U113" s="54" t="e">
        <f t="shared" si="200"/>
        <v>#DIV/0!</v>
      </c>
      <c r="V113" s="54" t="e">
        <f t="shared" si="200"/>
        <v>#DIV/0!</v>
      </c>
      <c r="W113" s="54" t="e">
        <f t="shared" si="200"/>
        <v>#DIV/0!</v>
      </c>
      <c r="X113" s="54" t="e">
        <f t="shared" si="200"/>
        <v>#DIV/0!</v>
      </c>
      <c r="Y113" s="54" t="e">
        <f t="shared" si="200"/>
        <v>#DIV/0!</v>
      </c>
      <c r="Z113" s="54" t="e">
        <f t="shared" si="200"/>
        <v>#DIV/0!</v>
      </c>
      <c r="AA113" s="54" t="e">
        <f t="shared" si="200"/>
        <v>#DIV/0!</v>
      </c>
      <c r="AB113" s="54" t="e">
        <f t="shared" si="200"/>
        <v>#DIV/0!</v>
      </c>
      <c r="AC113" s="54" t="e">
        <f t="shared" si="200"/>
        <v>#DIV/0!</v>
      </c>
      <c r="AD113" s="54" t="e">
        <f t="shared" ref="AD113:CN113" si="201">AD76/(AD86)*1000</f>
        <v>#DIV/0!</v>
      </c>
      <c r="AE113" s="54" t="e">
        <f t="shared" si="201"/>
        <v>#DIV/0!</v>
      </c>
      <c r="AF113" s="54" t="e">
        <f t="shared" si="201"/>
        <v>#DIV/0!</v>
      </c>
      <c r="AG113" s="54" t="e">
        <f t="shared" si="201"/>
        <v>#DIV/0!</v>
      </c>
      <c r="AH113" s="54" t="e">
        <f t="shared" si="201"/>
        <v>#DIV/0!</v>
      </c>
      <c r="AI113" s="54" t="e">
        <f t="shared" si="201"/>
        <v>#DIV/0!</v>
      </c>
      <c r="AJ113" s="54" t="e">
        <f t="shared" si="201"/>
        <v>#DIV/0!</v>
      </c>
      <c r="AK113" s="54" t="e">
        <f t="shared" si="201"/>
        <v>#DIV/0!</v>
      </c>
      <c r="AL113" s="54" t="e">
        <f t="shared" si="201"/>
        <v>#DIV/0!</v>
      </c>
      <c r="AM113" s="54" t="e">
        <f t="shared" si="201"/>
        <v>#DIV/0!</v>
      </c>
      <c r="AN113" s="54" t="e">
        <f t="shared" si="201"/>
        <v>#DIV/0!</v>
      </c>
      <c r="AO113" s="54" t="e">
        <f t="shared" si="201"/>
        <v>#DIV/0!</v>
      </c>
      <c r="AP113" s="54" t="e">
        <f t="shared" si="201"/>
        <v>#DIV/0!</v>
      </c>
      <c r="AQ113" s="54" t="e">
        <f t="shared" si="201"/>
        <v>#DIV/0!</v>
      </c>
      <c r="AR113" s="54" t="e">
        <f t="shared" si="201"/>
        <v>#DIV/0!</v>
      </c>
      <c r="AS113" s="54" t="e">
        <f t="shared" si="201"/>
        <v>#DIV/0!</v>
      </c>
      <c r="AT113" s="54" t="e">
        <f t="shared" si="201"/>
        <v>#DIV/0!</v>
      </c>
      <c r="AU113" s="54" t="e">
        <f t="shared" si="201"/>
        <v>#DIV/0!</v>
      </c>
      <c r="AV113" s="54" t="e">
        <f t="shared" si="201"/>
        <v>#DIV/0!</v>
      </c>
      <c r="AW113" s="54" t="e">
        <f t="shared" si="201"/>
        <v>#DIV/0!</v>
      </c>
      <c r="AX113" s="54" t="e">
        <f t="shared" si="201"/>
        <v>#DIV/0!</v>
      </c>
      <c r="AY113" s="54" t="e">
        <f t="shared" si="201"/>
        <v>#DIV/0!</v>
      </c>
      <c r="AZ113" s="54" t="e">
        <f t="shared" si="201"/>
        <v>#DIV/0!</v>
      </c>
      <c r="BA113" s="54" t="e">
        <f t="shared" si="201"/>
        <v>#DIV/0!</v>
      </c>
      <c r="BB113" s="54" t="e">
        <f t="shared" si="201"/>
        <v>#DIV/0!</v>
      </c>
      <c r="BC113" s="54" t="e">
        <f t="shared" si="201"/>
        <v>#DIV/0!</v>
      </c>
      <c r="BD113" s="54" t="e">
        <f t="shared" si="201"/>
        <v>#DIV/0!</v>
      </c>
      <c r="BE113" s="54" t="e">
        <f t="shared" si="201"/>
        <v>#DIV/0!</v>
      </c>
      <c r="BF113" s="54" t="e">
        <f t="shared" si="201"/>
        <v>#DIV/0!</v>
      </c>
      <c r="BG113" s="54" t="e">
        <f t="shared" si="201"/>
        <v>#DIV/0!</v>
      </c>
      <c r="BH113" s="54" t="e">
        <f t="shared" si="201"/>
        <v>#DIV/0!</v>
      </c>
      <c r="BI113" s="54" t="e">
        <f t="shared" si="201"/>
        <v>#DIV/0!</v>
      </c>
      <c r="BJ113" s="54" t="e">
        <f t="shared" si="201"/>
        <v>#DIV/0!</v>
      </c>
      <c r="BK113" s="54" t="e">
        <f t="shared" si="201"/>
        <v>#DIV/0!</v>
      </c>
      <c r="BL113" s="54" t="e">
        <f t="shared" si="201"/>
        <v>#DIV/0!</v>
      </c>
      <c r="BM113" s="54" t="e">
        <f t="shared" si="201"/>
        <v>#DIV/0!</v>
      </c>
      <c r="BN113" s="54" t="e">
        <f t="shared" si="201"/>
        <v>#DIV/0!</v>
      </c>
      <c r="BO113" s="54" t="e">
        <f t="shared" si="201"/>
        <v>#DIV/0!</v>
      </c>
      <c r="BP113" s="54" t="e">
        <f t="shared" si="201"/>
        <v>#DIV/0!</v>
      </c>
      <c r="BQ113" s="54" t="e">
        <f t="shared" si="201"/>
        <v>#DIV/0!</v>
      </c>
      <c r="BR113" s="54" t="e">
        <f t="shared" si="201"/>
        <v>#DIV/0!</v>
      </c>
      <c r="BS113" s="54" t="e">
        <f t="shared" si="201"/>
        <v>#DIV/0!</v>
      </c>
      <c r="BT113" s="54" t="e">
        <f t="shared" si="201"/>
        <v>#DIV/0!</v>
      </c>
      <c r="BU113" s="54" t="e">
        <f t="shared" si="201"/>
        <v>#DIV/0!</v>
      </c>
      <c r="BV113" s="54" t="e">
        <f t="shared" si="201"/>
        <v>#DIV/0!</v>
      </c>
      <c r="BW113" s="54" t="e">
        <f t="shared" si="201"/>
        <v>#DIV/0!</v>
      </c>
      <c r="BX113" s="54" t="e">
        <f t="shared" si="201"/>
        <v>#DIV/0!</v>
      </c>
      <c r="BY113" s="54" t="e">
        <f t="shared" si="201"/>
        <v>#DIV/0!</v>
      </c>
      <c r="BZ113" s="54" t="e">
        <f t="shared" si="201"/>
        <v>#DIV/0!</v>
      </c>
      <c r="CA113" s="54" t="e">
        <f t="shared" si="201"/>
        <v>#DIV/0!</v>
      </c>
      <c r="CB113" s="54" t="e">
        <f t="shared" si="201"/>
        <v>#DIV/0!</v>
      </c>
      <c r="CC113" s="54" t="e">
        <f t="shared" si="201"/>
        <v>#DIV/0!</v>
      </c>
      <c r="CD113" s="54" t="e">
        <f t="shared" si="201"/>
        <v>#DIV/0!</v>
      </c>
      <c r="CE113" s="54" t="e">
        <f t="shared" si="201"/>
        <v>#DIV/0!</v>
      </c>
      <c r="CF113" s="54" t="e">
        <f t="shared" si="201"/>
        <v>#DIV/0!</v>
      </c>
      <c r="CG113" s="54" t="e">
        <f t="shared" si="201"/>
        <v>#DIV/0!</v>
      </c>
      <c r="CH113" s="54" t="e">
        <f t="shared" si="201"/>
        <v>#DIV/0!</v>
      </c>
      <c r="CI113" s="54" t="e">
        <f t="shared" si="201"/>
        <v>#DIV/0!</v>
      </c>
      <c r="CJ113" s="54" t="e">
        <f t="shared" si="201"/>
        <v>#DIV/0!</v>
      </c>
      <c r="CK113" s="54" t="e">
        <f t="shared" si="201"/>
        <v>#DIV/0!</v>
      </c>
      <c r="CL113" s="54" t="e">
        <f t="shared" si="201"/>
        <v>#DIV/0!</v>
      </c>
      <c r="CM113" s="54" t="e">
        <f t="shared" si="201"/>
        <v>#DIV/0!</v>
      </c>
      <c r="CN113" s="54" t="e">
        <f t="shared" si="201"/>
        <v>#DIV/0!</v>
      </c>
      <c r="CO113" s="54" t="e">
        <f t="shared" ref="CO113:CT113" si="202">CO76/(CO86)*1000</f>
        <v>#DIV/0!</v>
      </c>
      <c r="CP113" s="54" t="e">
        <f t="shared" si="202"/>
        <v>#DIV/0!</v>
      </c>
      <c r="CQ113" s="54" t="e">
        <f t="shared" si="202"/>
        <v>#DIV/0!</v>
      </c>
      <c r="CR113" s="54" t="e">
        <f t="shared" si="202"/>
        <v>#DIV/0!</v>
      </c>
      <c r="CS113" s="54" t="e">
        <f t="shared" si="202"/>
        <v>#DIV/0!</v>
      </c>
      <c r="CT113" s="54" t="e">
        <f t="shared" si="202"/>
        <v>#DIV/0!</v>
      </c>
    </row>
    <row r="114" spans="1:98" ht="15.75" customHeight="1">
      <c r="A114" s="51" t="s">
        <v>137</v>
      </c>
      <c r="B114" s="50"/>
      <c r="C114" s="98">
        <v>1</v>
      </c>
      <c r="D114" s="98">
        <v>1</v>
      </c>
      <c r="E114" s="98">
        <v>1</v>
      </c>
      <c r="F114" s="98">
        <v>1</v>
      </c>
      <c r="G114" s="98">
        <v>1</v>
      </c>
      <c r="H114" s="98">
        <v>1</v>
      </c>
      <c r="I114" s="98">
        <v>1</v>
      </c>
      <c r="J114" s="98">
        <v>1</v>
      </c>
      <c r="K114" s="98">
        <v>1</v>
      </c>
      <c r="L114" s="98">
        <v>1</v>
      </c>
      <c r="M114" s="98">
        <v>1</v>
      </c>
      <c r="N114" s="98">
        <v>1</v>
      </c>
      <c r="O114" s="98">
        <v>1</v>
      </c>
      <c r="P114" s="98">
        <v>1</v>
      </c>
      <c r="Q114" s="98">
        <v>1</v>
      </c>
      <c r="R114" s="98">
        <v>1</v>
      </c>
      <c r="S114" s="98">
        <v>1</v>
      </c>
      <c r="T114" s="98">
        <v>1</v>
      </c>
      <c r="U114" s="98">
        <v>1</v>
      </c>
      <c r="V114" s="98">
        <v>1</v>
      </c>
      <c r="W114" s="98">
        <v>1</v>
      </c>
      <c r="X114" s="98">
        <v>1</v>
      </c>
      <c r="Y114" s="98">
        <v>1</v>
      </c>
      <c r="Z114" s="98">
        <v>1</v>
      </c>
      <c r="AA114" s="98">
        <v>1</v>
      </c>
      <c r="AB114" s="98">
        <v>1</v>
      </c>
      <c r="AC114" s="98">
        <v>1</v>
      </c>
      <c r="AD114" s="98">
        <v>1</v>
      </c>
      <c r="AE114" s="98">
        <v>1</v>
      </c>
      <c r="AF114" s="98">
        <v>1</v>
      </c>
      <c r="AG114" s="98">
        <v>1</v>
      </c>
      <c r="AH114" s="98">
        <v>1</v>
      </c>
      <c r="AI114" s="98">
        <v>1</v>
      </c>
      <c r="AJ114" s="98">
        <v>1</v>
      </c>
      <c r="AK114" s="98">
        <v>1</v>
      </c>
      <c r="AL114" s="98">
        <v>1</v>
      </c>
      <c r="AM114" s="98">
        <v>1</v>
      </c>
      <c r="AN114" s="98">
        <v>1</v>
      </c>
      <c r="AO114" s="98">
        <v>1</v>
      </c>
      <c r="AP114" s="98">
        <v>1</v>
      </c>
      <c r="AQ114" s="98">
        <v>1</v>
      </c>
      <c r="AR114" s="98">
        <v>1</v>
      </c>
      <c r="AS114" s="98">
        <v>1</v>
      </c>
      <c r="AT114" s="98">
        <v>1</v>
      </c>
      <c r="AU114" s="98">
        <v>1</v>
      </c>
      <c r="AV114" s="98">
        <v>1</v>
      </c>
      <c r="AW114" s="98">
        <v>1</v>
      </c>
      <c r="AX114" s="98">
        <v>1</v>
      </c>
      <c r="AY114" s="98">
        <v>1</v>
      </c>
      <c r="AZ114" s="98">
        <v>1</v>
      </c>
      <c r="BA114" s="98">
        <v>1</v>
      </c>
      <c r="BB114" s="98">
        <v>1</v>
      </c>
      <c r="BC114" s="98">
        <v>1</v>
      </c>
      <c r="BD114" s="98">
        <v>1</v>
      </c>
      <c r="BE114" s="98">
        <v>1</v>
      </c>
      <c r="BF114" s="98">
        <v>1</v>
      </c>
      <c r="BG114" s="98">
        <v>1</v>
      </c>
      <c r="BH114" s="98">
        <v>1</v>
      </c>
      <c r="BI114" s="98">
        <v>1</v>
      </c>
      <c r="BJ114" s="98">
        <v>1</v>
      </c>
      <c r="BK114" s="98">
        <v>1</v>
      </c>
      <c r="BL114" s="98">
        <v>1</v>
      </c>
      <c r="BM114" s="98">
        <v>1</v>
      </c>
      <c r="BN114" s="98">
        <v>1</v>
      </c>
      <c r="BO114" s="98">
        <v>1</v>
      </c>
      <c r="BP114" s="98">
        <v>1</v>
      </c>
      <c r="BQ114" s="98">
        <v>1</v>
      </c>
      <c r="BR114" s="98">
        <v>1</v>
      </c>
      <c r="BS114" s="98">
        <v>1</v>
      </c>
      <c r="BT114" s="98">
        <v>1</v>
      </c>
      <c r="BU114" s="98">
        <v>1</v>
      </c>
      <c r="BV114" s="98">
        <v>1</v>
      </c>
      <c r="BW114" s="98">
        <v>1</v>
      </c>
      <c r="BX114" s="98">
        <v>1</v>
      </c>
      <c r="BY114" s="98">
        <v>1</v>
      </c>
      <c r="BZ114" s="98">
        <v>1</v>
      </c>
      <c r="CA114" s="98">
        <v>1</v>
      </c>
      <c r="CB114" s="98">
        <v>1</v>
      </c>
      <c r="CC114" s="98">
        <v>1</v>
      </c>
      <c r="CD114" s="98">
        <v>1</v>
      </c>
      <c r="CE114" s="98">
        <v>1</v>
      </c>
      <c r="CF114" s="98">
        <v>1</v>
      </c>
      <c r="CG114" s="98">
        <v>1</v>
      </c>
      <c r="CH114" s="98">
        <v>1</v>
      </c>
      <c r="CI114" s="98">
        <v>1</v>
      </c>
      <c r="CJ114" s="98">
        <v>1</v>
      </c>
      <c r="CK114" s="98">
        <v>1</v>
      </c>
      <c r="CL114" s="98">
        <v>1</v>
      </c>
      <c r="CM114" s="98">
        <v>1</v>
      </c>
      <c r="CN114" s="98">
        <v>1</v>
      </c>
      <c r="CO114" s="98">
        <v>1</v>
      </c>
      <c r="CP114" s="98">
        <v>1</v>
      </c>
      <c r="CQ114" s="98">
        <v>1</v>
      </c>
      <c r="CR114" s="98">
        <v>1</v>
      </c>
      <c r="CS114" s="98">
        <v>1</v>
      </c>
      <c r="CT114" s="98">
        <v>1</v>
      </c>
    </row>
    <row r="115" spans="1:98" ht="15.75" customHeight="1" thickBot="1">
      <c r="A115" s="51" t="s">
        <v>138</v>
      </c>
      <c r="B115" s="50" t="s">
        <v>48</v>
      </c>
      <c r="C115" s="97" t="e">
        <f t="shared" ref="C115:D115" si="203">C113/C114</f>
        <v>#DIV/0!</v>
      </c>
      <c r="D115" s="97" t="e">
        <f t="shared" ref="D115:E115" si="204">D113/D114</f>
        <v>#DIV/0!</v>
      </c>
      <c r="E115" s="97" t="e">
        <f t="shared" si="204"/>
        <v>#DIV/0!</v>
      </c>
      <c r="F115" s="97" t="e">
        <f t="shared" ref="F115:K115" si="205">F113/F114</f>
        <v>#DIV/0!</v>
      </c>
      <c r="G115" s="97" t="e">
        <f t="shared" si="205"/>
        <v>#DIV/0!</v>
      </c>
      <c r="H115" s="97" t="e">
        <f t="shared" si="205"/>
        <v>#DIV/0!</v>
      </c>
      <c r="I115" s="97" t="e">
        <f t="shared" si="205"/>
        <v>#DIV/0!</v>
      </c>
      <c r="J115" s="97" t="e">
        <f t="shared" si="205"/>
        <v>#DIV/0!</v>
      </c>
      <c r="K115" s="97" t="e">
        <f t="shared" si="205"/>
        <v>#DIV/0!</v>
      </c>
      <c r="L115" s="97" t="e">
        <f t="shared" ref="L115:AC115" si="206">L113/L114</f>
        <v>#DIV/0!</v>
      </c>
      <c r="M115" s="97" t="e">
        <f t="shared" si="206"/>
        <v>#DIV/0!</v>
      </c>
      <c r="N115" s="97" t="e">
        <f t="shared" si="206"/>
        <v>#DIV/0!</v>
      </c>
      <c r="O115" s="97" t="e">
        <f t="shared" si="206"/>
        <v>#DIV/0!</v>
      </c>
      <c r="P115" s="97" t="e">
        <f t="shared" si="206"/>
        <v>#DIV/0!</v>
      </c>
      <c r="Q115" s="97" t="e">
        <f t="shared" si="206"/>
        <v>#DIV/0!</v>
      </c>
      <c r="R115" s="97" t="e">
        <f t="shared" si="206"/>
        <v>#DIV/0!</v>
      </c>
      <c r="S115" s="97" t="e">
        <f t="shared" si="206"/>
        <v>#DIV/0!</v>
      </c>
      <c r="T115" s="97" t="e">
        <f t="shared" si="206"/>
        <v>#DIV/0!</v>
      </c>
      <c r="U115" s="97" t="e">
        <f t="shared" si="206"/>
        <v>#DIV/0!</v>
      </c>
      <c r="V115" s="97" t="e">
        <f t="shared" si="206"/>
        <v>#DIV/0!</v>
      </c>
      <c r="W115" s="97" t="e">
        <f t="shared" si="206"/>
        <v>#DIV/0!</v>
      </c>
      <c r="X115" s="97" t="e">
        <f t="shared" si="206"/>
        <v>#DIV/0!</v>
      </c>
      <c r="Y115" s="97" t="e">
        <f t="shared" si="206"/>
        <v>#DIV/0!</v>
      </c>
      <c r="Z115" s="97" t="e">
        <f t="shared" si="206"/>
        <v>#DIV/0!</v>
      </c>
      <c r="AA115" s="97" t="e">
        <f t="shared" si="206"/>
        <v>#DIV/0!</v>
      </c>
      <c r="AB115" s="97" t="e">
        <f t="shared" si="206"/>
        <v>#DIV/0!</v>
      </c>
      <c r="AC115" s="97" t="e">
        <f t="shared" si="206"/>
        <v>#DIV/0!</v>
      </c>
      <c r="AD115" s="97" t="e">
        <f t="shared" ref="AD115:CN115" si="207">AD113/AD114</f>
        <v>#DIV/0!</v>
      </c>
      <c r="AE115" s="97" t="e">
        <f t="shared" si="207"/>
        <v>#DIV/0!</v>
      </c>
      <c r="AF115" s="97" t="e">
        <f t="shared" si="207"/>
        <v>#DIV/0!</v>
      </c>
      <c r="AG115" s="97" t="e">
        <f t="shared" si="207"/>
        <v>#DIV/0!</v>
      </c>
      <c r="AH115" s="97" t="e">
        <f t="shared" si="207"/>
        <v>#DIV/0!</v>
      </c>
      <c r="AI115" s="97" t="e">
        <f t="shared" si="207"/>
        <v>#DIV/0!</v>
      </c>
      <c r="AJ115" s="97" t="e">
        <f t="shared" si="207"/>
        <v>#DIV/0!</v>
      </c>
      <c r="AK115" s="97" t="e">
        <f t="shared" si="207"/>
        <v>#DIV/0!</v>
      </c>
      <c r="AL115" s="97" t="e">
        <f t="shared" si="207"/>
        <v>#DIV/0!</v>
      </c>
      <c r="AM115" s="97" t="e">
        <f t="shared" si="207"/>
        <v>#DIV/0!</v>
      </c>
      <c r="AN115" s="97" t="e">
        <f t="shared" si="207"/>
        <v>#DIV/0!</v>
      </c>
      <c r="AO115" s="97" t="e">
        <f t="shared" si="207"/>
        <v>#DIV/0!</v>
      </c>
      <c r="AP115" s="97" t="e">
        <f t="shared" si="207"/>
        <v>#DIV/0!</v>
      </c>
      <c r="AQ115" s="97" t="e">
        <f t="shared" si="207"/>
        <v>#DIV/0!</v>
      </c>
      <c r="AR115" s="97" t="e">
        <f t="shared" si="207"/>
        <v>#DIV/0!</v>
      </c>
      <c r="AS115" s="97" t="e">
        <f t="shared" si="207"/>
        <v>#DIV/0!</v>
      </c>
      <c r="AT115" s="97" t="e">
        <f t="shared" si="207"/>
        <v>#DIV/0!</v>
      </c>
      <c r="AU115" s="97" t="e">
        <f t="shared" si="207"/>
        <v>#DIV/0!</v>
      </c>
      <c r="AV115" s="97" t="e">
        <f t="shared" si="207"/>
        <v>#DIV/0!</v>
      </c>
      <c r="AW115" s="97" t="e">
        <f t="shared" si="207"/>
        <v>#DIV/0!</v>
      </c>
      <c r="AX115" s="97" t="e">
        <f t="shared" si="207"/>
        <v>#DIV/0!</v>
      </c>
      <c r="AY115" s="97" t="e">
        <f t="shared" si="207"/>
        <v>#DIV/0!</v>
      </c>
      <c r="AZ115" s="97" t="e">
        <f t="shared" si="207"/>
        <v>#DIV/0!</v>
      </c>
      <c r="BA115" s="97" t="e">
        <f t="shared" si="207"/>
        <v>#DIV/0!</v>
      </c>
      <c r="BB115" s="97" t="e">
        <f t="shared" si="207"/>
        <v>#DIV/0!</v>
      </c>
      <c r="BC115" s="97" t="e">
        <f t="shared" si="207"/>
        <v>#DIV/0!</v>
      </c>
      <c r="BD115" s="97" t="e">
        <f t="shared" si="207"/>
        <v>#DIV/0!</v>
      </c>
      <c r="BE115" s="97" t="e">
        <f t="shared" si="207"/>
        <v>#DIV/0!</v>
      </c>
      <c r="BF115" s="97" t="e">
        <f t="shared" si="207"/>
        <v>#DIV/0!</v>
      </c>
      <c r="BG115" s="97" t="e">
        <f t="shared" si="207"/>
        <v>#DIV/0!</v>
      </c>
      <c r="BH115" s="97" t="e">
        <f t="shared" si="207"/>
        <v>#DIV/0!</v>
      </c>
      <c r="BI115" s="97" t="e">
        <f t="shared" si="207"/>
        <v>#DIV/0!</v>
      </c>
      <c r="BJ115" s="97" t="e">
        <f t="shared" si="207"/>
        <v>#DIV/0!</v>
      </c>
      <c r="BK115" s="97" t="e">
        <f t="shared" si="207"/>
        <v>#DIV/0!</v>
      </c>
      <c r="BL115" s="97" t="e">
        <f t="shared" si="207"/>
        <v>#DIV/0!</v>
      </c>
      <c r="BM115" s="97" t="e">
        <f t="shared" si="207"/>
        <v>#DIV/0!</v>
      </c>
      <c r="BN115" s="97" t="e">
        <f t="shared" si="207"/>
        <v>#DIV/0!</v>
      </c>
      <c r="BO115" s="97" t="e">
        <f t="shared" si="207"/>
        <v>#DIV/0!</v>
      </c>
      <c r="BP115" s="97" t="e">
        <f t="shared" si="207"/>
        <v>#DIV/0!</v>
      </c>
      <c r="BQ115" s="97" t="e">
        <f t="shared" si="207"/>
        <v>#DIV/0!</v>
      </c>
      <c r="BR115" s="97" t="e">
        <f t="shared" si="207"/>
        <v>#DIV/0!</v>
      </c>
      <c r="BS115" s="97" t="e">
        <f t="shared" si="207"/>
        <v>#DIV/0!</v>
      </c>
      <c r="BT115" s="97" t="e">
        <f t="shared" si="207"/>
        <v>#DIV/0!</v>
      </c>
      <c r="BU115" s="97" t="e">
        <f t="shared" si="207"/>
        <v>#DIV/0!</v>
      </c>
      <c r="BV115" s="97" t="e">
        <f t="shared" si="207"/>
        <v>#DIV/0!</v>
      </c>
      <c r="BW115" s="97" t="e">
        <f t="shared" si="207"/>
        <v>#DIV/0!</v>
      </c>
      <c r="BX115" s="97" t="e">
        <f t="shared" si="207"/>
        <v>#DIV/0!</v>
      </c>
      <c r="BY115" s="97" t="e">
        <f t="shared" si="207"/>
        <v>#DIV/0!</v>
      </c>
      <c r="BZ115" s="97" t="e">
        <f t="shared" si="207"/>
        <v>#DIV/0!</v>
      </c>
      <c r="CA115" s="97" t="e">
        <f t="shared" si="207"/>
        <v>#DIV/0!</v>
      </c>
      <c r="CB115" s="97" t="e">
        <f t="shared" si="207"/>
        <v>#DIV/0!</v>
      </c>
      <c r="CC115" s="97" t="e">
        <f t="shared" si="207"/>
        <v>#DIV/0!</v>
      </c>
      <c r="CD115" s="97" t="e">
        <f t="shared" si="207"/>
        <v>#DIV/0!</v>
      </c>
      <c r="CE115" s="97" t="e">
        <f t="shared" si="207"/>
        <v>#DIV/0!</v>
      </c>
      <c r="CF115" s="97" t="e">
        <f t="shared" si="207"/>
        <v>#DIV/0!</v>
      </c>
      <c r="CG115" s="97" t="e">
        <f t="shared" si="207"/>
        <v>#DIV/0!</v>
      </c>
      <c r="CH115" s="97" t="e">
        <f t="shared" si="207"/>
        <v>#DIV/0!</v>
      </c>
      <c r="CI115" s="97" t="e">
        <f t="shared" si="207"/>
        <v>#DIV/0!</v>
      </c>
      <c r="CJ115" s="97" t="e">
        <f t="shared" si="207"/>
        <v>#DIV/0!</v>
      </c>
      <c r="CK115" s="97" t="e">
        <f t="shared" si="207"/>
        <v>#DIV/0!</v>
      </c>
      <c r="CL115" s="97" t="e">
        <f t="shared" si="207"/>
        <v>#DIV/0!</v>
      </c>
      <c r="CM115" s="97" t="e">
        <f t="shared" si="207"/>
        <v>#DIV/0!</v>
      </c>
      <c r="CN115" s="97" t="e">
        <f t="shared" si="207"/>
        <v>#DIV/0!</v>
      </c>
      <c r="CO115" s="97" t="e">
        <f t="shared" ref="CO115:CT115" si="208">CO113/CO114</f>
        <v>#DIV/0!</v>
      </c>
      <c r="CP115" s="97" t="e">
        <f t="shared" si="208"/>
        <v>#DIV/0!</v>
      </c>
      <c r="CQ115" s="97" t="e">
        <f t="shared" si="208"/>
        <v>#DIV/0!</v>
      </c>
      <c r="CR115" s="97" t="e">
        <f t="shared" si="208"/>
        <v>#DIV/0!</v>
      </c>
      <c r="CS115" s="97" t="e">
        <f t="shared" si="208"/>
        <v>#DIV/0!</v>
      </c>
      <c r="CT115" s="97" t="e">
        <f t="shared" si="208"/>
        <v>#DIV/0!</v>
      </c>
    </row>
    <row r="116" spans="1:98" ht="15.75" customHeight="1">
      <c r="A116" s="54" t="s">
        <v>139</v>
      </c>
      <c r="B116" s="54" t="s">
        <v>48</v>
      </c>
      <c r="C116" s="55" t="e">
        <f t="shared" ref="C116:D116" si="209">C115*$C$151</f>
        <v>#DIV/0!</v>
      </c>
      <c r="D116" s="55" t="e">
        <f t="shared" ref="D116:E116" si="210">D115*$C$151</f>
        <v>#DIV/0!</v>
      </c>
      <c r="E116" s="55" t="e">
        <f t="shared" si="210"/>
        <v>#DIV/0!</v>
      </c>
      <c r="F116" s="55" t="e">
        <f t="shared" ref="F116:K116" si="211">F115*$C$151</f>
        <v>#DIV/0!</v>
      </c>
      <c r="G116" s="55" t="e">
        <f t="shared" si="211"/>
        <v>#DIV/0!</v>
      </c>
      <c r="H116" s="55" t="e">
        <f t="shared" si="211"/>
        <v>#DIV/0!</v>
      </c>
      <c r="I116" s="55" t="e">
        <f t="shared" si="211"/>
        <v>#DIV/0!</v>
      </c>
      <c r="J116" s="55" t="e">
        <f t="shared" si="211"/>
        <v>#DIV/0!</v>
      </c>
      <c r="K116" s="55" t="e">
        <f t="shared" si="211"/>
        <v>#DIV/0!</v>
      </c>
      <c r="L116" s="55" t="e">
        <f t="shared" ref="L116:AC116" si="212">L115*$C$151</f>
        <v>#DIV/0!</v>
      </c>
      <c r="M116" s="55" t="e">
        <f t="shared" si="212"/>
        <v>#DIV/0!</v>
      </c>
      <c r="N116" s="55" t="e">
        <f t="shared" si="212"/>
        <v>#DIV/0!</v>
      </c>
      <c r="O116" s="55" t="e">
        <f t="shared" si="212"/>
        <v>#DIV/0!</v>
      </c>
      <c r="P116" s="55" t="e">
        <f t="shared" si="212"/>
        <v>#DIV/0!</v>
      </c>
      <c r="Q116" s="55" t="e">
        <f t="shared" si="212"/>
        <v>#DIV/0!</v>
      </c>
      <c r="R116" s="55" t="e">
        <f t="shared" si="212"/>
        <v>#DIV/0!</v>
      </c>
      <c r="S116" s="55" t="e">
        <f t="shared" si="212"/>
        <v>#DIV/0!</v>
      </c>
      <c r="T116" s="55" t="e">
        <f t="shared" si="212"/>
        <v>#DIV/0!</v>
      </c>
      <c r="U116" s="55" t="e">
        <f t="shared" si="212"/>
        <v>#DIV/0!</v>
      </c>
      <c r="V116" s="55" t="e">
        <f t="shared" si="212"/>
        <v>#DIV/0!</v>
      </c>
      <c r="W116" s="55" t="e">
        <f t="shared" si="212"/>
        <v>#DIV/0!</v>
      </c>
      <c r="X116" s="55" t="e">
        <f t="shared" si="212"/>
        <v>#DIV/0!</v>
      </c>
      <c r="Y116" s="55" t="e">
        <f t="shared" si="212"/>
        <v>#DIV/0!</v>
      </c>
      <c r="Z116" s="55" t="e">
        <f t="shared" si="212"/>
        <v>#DIV/0!</v>
      </c>
      <c r="AA116" s="55" t="e">
        <f t="shared" si="212"/>
        <v>#DIV/0!</v>
      </c>
      <c r="AB116" s="55" t="e">
        <f t="shared" si="212"/>
        <v>#DIV/0!</v>
      </c>
      <c r="AC116" s="55" t="e">
        <f t="shared" si="212"/>
        <v>#DIV/0!</v>
      </c>
      <c r="AD116" s="55" t="e">
        <f t="shared" ref="AD116:CN116" si="213">AD115*$C$151</f>
        <v>#DIV/0!</v>
      </c>
      <c r="AE116" s="55" t="e">
        <f t="shared" si="213"/>
        <v>#DIV/0!</v>
      </c>
      <c r="AF116" s="55" t="e">
        <f t="shared" si="213"/>
        <v>#DIV/0!</v>
      </c>
      <c r="AG116" s="55" t="e">
        <f t="shared" si="213"/>
        <v>#DIV/0!</v>
      </c>
      <c r="AH116" s="55" t="e">
        <f t="shared" si="213"/>
        <v>#DIV/0!</v>
      </c>
      <c r="AI116" s="55" t="e">
        <f t="shared" si="213"/>
        <v>#DIV/0!</v>
      </c>
      <c r="AJ116" s="55" t="e">
        <f t="shared" si="213"/>
        <v>#DIV/0!</v>
      </c>
      <c r="AK116" s="55" t="e">
        <f t="shared" si="213"/>
        <v>#DIV/0!</v>
      </c>
      <c r="AL116" s="55" t="e">
        <f t="shared" si="213"/>
        <v>#DIV/0!</v>
      </c>
      <c r="AM116" s="55" t="e">
        <f t="shared" si="213"/>
        <v>#DIV/0!</v>
      </c>
      <c r="AN116" s="55" t="e">
        <f t="shared" si="213"/>
        <v>#DIV/0!</v>
      </c>
      <c r="AO116" s="55" t="e">
        <f t="shared" si="213"/>
        <v>#DIV/0!</v>
      </c>
      <c r="AP116" s="55" t="e">
        <f t="shared" si="213"/>
        <v>#DIV/0!</v>
      </c>
      <c r="AQ116" s="55" t="e">
        <f t="shared" si="213"/>
        <v>#DIV/0!</v>
      </c>
      <c r="AR116" s="55" t="e">
        <f t="shared" si="213"/>
        <v>#DIV/0!</v>
      </c>
      <c r="AS116" s="55" t="e">
        <f t="shared" si="213"/>
        <v>#DIV/0!</v>
      </c>
      <c r="AT116" s="55" t="e">
        <f t="shared" si="213"/>
        <v>#DIV/0!</v>
      </c>
      <c r="AU116" s="55" t="e">
        <f t="shared" si="213"/>
        <v>#DIV/0!</v>
      </c>
      <c r="AV116" s="55" t="e">
        <f t="shared" si="213"/>
        <v>#DIV/0!</v>
      </c>
      <c r="AW116" s="55" t="e">
        <f t="shared" si="213"/>
        <v>#DIV/0!</v>
      </c>
      <c r="AX116" s="55" t="e">
        <f t="shared" si="213"/>
        <v>#DIV/0!</v>
      </c>
      <c r="AY116" s="55" t="e">
        <f t="shared" si="213"/>
        <v>#DIV/0!</v>
      </c>
      <c r="AZ116" s="55" t="e">
        <f t="shared" si="213"/>
        <v>#DIV/0!</v>
      </c>
      <c r="BA116" s="55" t="e">
        <f t="shared" si="213"/>
        <v>#DIV/0!</v>
      </c>
      <c r="BB116" s="55" t="e">
        <f t="shared" si="213"/>
        <v>#DIV/0!</v>
      </c>
      <c r="BC116" s="55" t="e">
        <f t="shared" si="213"/>
        <v>#DIV/0!</v>
      </c>
      <c r="BD116" s="55" t="e">
        <f t="shared" si="213"/>
        <v>#DIV/0!</v>
      </c>
      <c r="BE116" s="55" t="e">
        <f t="shared" si="213"/>
        <v>#DIV/0!</v>
      </c>
      <c r="BF116" s="55" t="e">
        <f t="shared" si="213"/>
        <v>#DIV/0!</v>
      </c>
      <c r="BG116" s="55" t="e">
        <f t="shared" si="213"/>
        <v>#DIV/0!</v>
      </c>
      <c r="BH116" s="55" t="e">
        <f t="shared" si="213"/>
        <v>#DIV/0!</v>
      </c>
      <c r="BI116" s="55" t="e">
        <f t="shared" si="213"/>
        <v>#DIV/0!</v>
      </c>
      <c r="BJ116" s="55" t="e">
        <f t="shared" si="213"/>
        <v>#DIV/0!</v>
      </c>
      <c r="BK116" s="55" t="e">
        <f t="shared" si="213"/>
        <v>#DIV/0!</v>
      </c>
      <c r="BL116" s="55" t="e">
        <f t="shared" si="213"/>
        <v>#DIV/0!</v>
      </c>
      <c r="BM116" s="55" t="e">
        <f t="shared" si="213"/>
        <v>#DIV/0!</v>
      </c>
      <c r="BN116" s="55" t="e">
        <f t="shared" si="213"/>
        <v>#DIV/0!</v>
      </c>
      <c r="BO116" s="55" t="e">
        <f t="shared" si="213"/>
        <v>#DIV/0!</v>
      </c>
      <c r="BP116" s="55" t="e">
        <f t="shared" si="213"/>
        <v>#DIV/0!</v>
      </c>
      <c r="BQ116" s="55" t="e">
        <f t="shared" si="213"/>
        <v>#DIV/0!</v>
      </c>
      <c r="BR116" s="55" t="e">
        <f t="shared" si="213"/>
        <v>#DIV/0!</v>
      </c>
      <c r="BS116" s="55" t="e">
        <f t="shared" si="213"/>
        <v>#DIV/0!</v>
      </c>
      <c r="BT116" s="55" t="e">
        <f t="shared" si="213"/>
        <v>#DIV/0!</v>
      </c>
      <c r="BU116" s="55" t="e">
        <f t="shared" si="213"/>
        <v>#DIV/0!</v>
      </c>
      <c r="BV116" s="55" t="e">
        <f t="shared" si="213"/>
        <v>#DIV/0!</v>
      </c>
      <c r="BW116" s="55" t="e">
        <f t="shared" si="213"/>
        <v>#DIV/0!</v>
      </c>
      <c r="BX116" s="55" t="e">
        <f t="shared" si="213"/>
        <v>#DIV/0!</v>
      </c>
      <c r="BY116" s="55" t="e">
        <f t="shared" si="213"/>
        <v>#DIV/0!</v>
      </c>
      <c r="BZ116" s="55" t="e">
        <f t="shared" si="213"/>
        <v>#DIV/0!</v>
      </c>
      <c r="CA116" s="55" t="e">
        <f t="shared" si="213"/>
        <v>#DIV/0!</v>
      </c>
      <c r="CB116" s="55" t="e">
        <f t="shared" si="213"/>
        <v>#DIV/0!</v>
      </c>
      <c r="CC116" s="55" t="e">
        <f t="shared" si="213"/>
        <v>#DIV/0!</v>
      </c>
      <c r="CD116" s="55" t="e">
        <f t="shared" si="213"/>
        <v>#DIV/0!</v>
      </c>
      <c r="CE116" s="55" t="e">
        <f t="shared" si="213"/>
        <v>#DIV/0!</v>
      </c>
      <c r="CF116" s="55" t="e">
        <f t="shared" si="213"/>
        <v>#DIV/0!</v>
      </c>
      <c r="CG116" s="55" t="e">
        <f t="shared" si="213"/>
        <v>#DIV/0!</v>
      </c>
      <c r="CH116" s="55" t="e">
        <f t="shared" si="213"/>
        <v>#DIV/0!</v>
      </c>
      <c r="CI116" s="55" t="e">
        <f t="shared" si="213"/>
        <v>#DIV/0!</v>
      </c>
      <c r="CJ116" s="55" t="e">
        <f t="shared" si="213"/>
        <v>#DIV/0!</v>
      </c>
      <c r="CK116" s="55" t="e">
        <f t="shared" si="213"/>
        <v>#DIV/0!</v>
      </c>
      <c r="CL116" s="55" t="e">
        <f t="shared" si="213"/>
        <v>#DIV/0!</v>
      </c>
      <c r="CM116" s="55" t="e">
        <f t="shared" si="213"/>
        <v>#DIV/0!</v>
      </c>
      <c r="CN116" s="55" t="e">
        <f t="shared" si="213"/>
        <v>#DIV/0!</v>
      </c>
      <c r="CO116" s="55" t="e">
        <f t="shared" ref="CO116:CT116" si="214">CO115*$C$151</f>
        <v>#DIV/0!</v>
      </c>
      <c r="CP116" s="55" t="e">
        <f t="shared" si="214"/>
        <v>#DIV/0!</v>
      </c>
      <c r="CQ116" s="55" t="e">
        <f t="shared" si="214"/>
        <v>#DIV/0!</v>
      </c>
      <c r="CR116" s="55" t="e">
        <f t="shared" si="214"/>
        <v>#DIV/0!</v>
      </c>
      <c r="CS116" s="55" t="e">
        <f t="shared" si="214"/>
        <v>#DIV/0!</v>
      </c>
      <c r="CT116" s="55" t="e">
        <f t="shared" si="214"/>
        <v>#DIV/0!</v>
      </c>
    </row>
    <row r="117" spans="1:98" ht="15.75" customHeight="1">
      <c r="A117" s="13"/>
      <c r="B117" s="79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81"/>
      <c r="AC117" s="80"/>
      <c r="AD117" s="3"/>
      <c r="AE117" s="3"/>
      <c r="AF117" s="3"/>
      <c r="AG117" s="3"/>
      <c r="AH117" s="3"/>
      <c r="AI117" s="3"/>
    </row>
    <row r="118" spans="1:98" ht="15.75" customHeight="1">
      <c r="A118" s="13"/>
      <c r="B118" s="79"/>
      <c r="C118" s="3"/>
      <c r="D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81"/>
      <c r="AC118" s="80"/>
      <c r="AD118" s="3"/>
      <c r="AE118" s="3"/>
      <c r="AF118" s="3"/>
      <c r="AG118" s="3"/>
      <c r="AH118" s="3"/>
      <c r="AI118" s="3"/>
    </row>
    <row r="119" spans="1:98" ht="15.75" customHeight="1">
      <c r="A119" s="99"/>
      <c r="B119" s="56"/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99"/>
      <c r="R119" s="99"/>
      <c r="S119" s="99"/>
      <c r="T119" s="99"/>
      <c r="U119" s="99"/>
      <c r="V119" s="99"/>
      <c r="W119" s="99"/>
      <c r="X119" s="99"/>
      <c r="Y119" s="99"/>
      <c r="Z119" s="99"/>
      <c r="AA119" s="99"/>
      <c r="AB119" s="57"/>
      <c r="AC119" s="58"/>
      <c r="AD119" s="99"/>
      <c r="AE119" s="99"/>
      <c r="AF119" s="99"/>
      <c r="AG119" s="99"/>
      <c r="AH119" s="99"/>
      <c r="AI119" s="99"/>
    </row>
    <row r="120" spans="1:98" ht="15.75" customHeight="1">
      <c r="A120" s="100" t="s">
        <v>140</v>
      </c>
      <c r="B120" s="79"/>
      <c r="C120" s="80"/>
      <c r="D120" s="80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81"/>
      <c r="AC120" s="80"/>
      <c r="AD120" s="3"/>
      <c r="AE120" s="3"/>
      <c r="AF120" s="3"/>
      <c r="AG120" s="3"/>
      <c r="AH120" s="3"/>
      <c r="AI120" s="3"/>
    </row>
    <row r="121" spans="1:98" ht="15.75" customHeight="1">
      <c r="A121" s="2" t="s">
        <v>141</v>
      </c>
      <c r="B121" s="79"/>
      <c r="C121" s="80"/>
      <c r="D121" s="80"/>
      <c r="E121" s="101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81"/>
      <c r="AC121" s="80"/>
      <c r="AD121" s="3"/>
      <c r="AE121" s="3"/>
      <c r="AF121" s="3"/>
      <c r="AG121" s="3"/>
      <c r="AH121" s="3"/>
      <c r="AI121" s="3"/>
    </row>
    <row r="122" spans="1:98" ht="15.75" customHeight="1">
      <c r="A122" s="78" t="s">
        <v>142</v>
      </c>
      <c r="B122" s="74" t="s">
        <v>48</v>
      </c>
      <c r="C122" s="80">
        <v>200</v>
      </c>
      <c r="D122" s="80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81"/>
      <c r="AC122" s="80"/>
      <c r="AD122" s="3"/>
      <c r="AE122" s="3"/>
      <c r="AF122" s="3"/>
      <c r="AG122" s="3"/>
      <c r="AH122" s="3"/>
      <c r="AI122" s="3"/>
    </row>
    <row r="123" spans="1:98" ht="15.75" customHeight="1">
      <c r="A123" s="80" t="s">
        <v>143</v>
      </c>
      <c r="B123" s="79" t="s">
        <v>48</v>
      </c>
      <c r="C123" s="80">
        <v>20</v>
      </c>
      <c r="D123" s="80"/>
      <c r="F123" s="3"/>
      <c r="G123" s="3"/>
      <c r="H123" s="3">
        <v>4.9999998000000003</v>
      </c>
      <c r="I123" s="3">
        <v>60</v>
      </c>
      <c r="J123" s="3">
        <v>16.66667</v>
      </c>
      <c r="K123" s="3">
        <v>3.75</v>
      </c>
      <c r="L123" s="3">
        <v>0</v>
      </c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81"/>
      <c r="AC123" s="80"/>
      <c r="AD123" s="3"/>
      <c r="AE123" s="3"/>
      <c r="AF123" s="3"/>
      <c r="AG123" s="3"/>
      <c r="AH123" s="3"/>
      <c r="AI123" s="3"/>
    </row>
    <row r="124" spans="1:98" ht="15.75" customHeight="1">
      <c r="A124" s="80" t="s">
        <v>144</v>
      </c>
      <c r="B124" s="79" t="s">
        <v>48</v>
      </c>
      <c r="C124" s="80">
        <v>1.1000000000000001</v>
      </c>
      <c r="D124" s="80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81"/>
      <c r="AC124" s="80"/>
      <c r="AD124" s="3"/>
      <c r="AE124" s="3"/>
      <c r="AF124" s="3"/>
      <c r="AG124" s="3"/>
      <c r="AH124" s="3"/>
      <c r="AI124" s="3"/>
    </row>
    <row r="125" spans="1:98" ht="15.75" customHeight="1">
      <c r="A125" s="80"/>
      <c r="B125" s="79"/>
      <c r="C125" s="80"/>
      <c r="D125" s="80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81"/>
      <c r="AC125" s="80"/>
      <c r="AD125" s="3"/>
      <c r="AE125" s="3"/>
      <c r="AF125" s="3"/>
      <c r="AG125" s="3"/>
      <c r="AH125" s="3"/>
      <c r="AI125" s="3"/>
    </row>
    <row r="126" spans="1:98" ht="15.75" customHeight="1">
      <c r="A126" s="36" t="s">
        <v>145</v>
      </c>
      <c r="B126" s="79" t="s">
        <v>48</v>
      </c>
      <c r="C126" s="80" t="e">
        <f t="shared" ref="C126:C130" si="215">SUM(93:93)*$C$124+$C$122</f>
        <v>#DIV/0!</v>
      </c>
      <c r="D126" s="80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81"/>
      <c r="AC126" s="80"/>
      <c r="AD126" s="3"/>
      <c r="AE126" s="3"/>
      <c r="AF126" s="3"/>
      <c r="AG126" s="3"/>
      <c r="AH126" s="3"/>
      <c r="AI126" s="3"/>
    </row>
    <row r="127" spans="1:98" ht="15.75" customHeight="1">
      <c r="A127" s="39" t="s">
        <v>120</v>
      </c>
      <c r="B127" s="79" t="s">
        <v>48</v>
      </c>
      <c r="C127" s="80" t="e">
        <f t="shared" si="215"/>
        <v>#DIV/0!</v>
      </c>
      <c r="D127" s="80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81"/>
      <c r="AC127" s="80"/>
      <c r="AD127" s="3"/>
      <c r="AE127" s="3"/>
      <c r="AF127" s="3"/>
      <c r="AG127" s="3"/>
      <c r="AH127" s="3"/>
      <c r="AI127" s="3"/>
    </row>
    <row r="128" spans="1:98" ht="15.75" customHeight="1">
      <c r="A128" s="39" t="s">
        <v>121</v>
      </c>
      <c r="B128" s="79" t="s">
        <v>48</v>
      </c>
      <c r="C128" s="80" t="e">
        <f t="shared" si="215"/>
        <v>#DIV/0!</v>
      </c>
      <c r="D128" s="80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81"/>
      <c r="AC128" s="80"/>
      <c r="AD128" s="3"/>
      <c r="AE128" s="3"/>
      <c r="AF128" s="3"/>
      <c r="AG128" s="3"/>
      <c r="AH128" s="3"/>
      <c r="AI128" s="3"/>
    </row>
    <row r="129" spans="1:35" ht="15.75" customHeight="1">
      <c r="A129" s="39" t="s">
        <v>122</v>
      </c>
      <c r="B129" s="79" t="s">
        <v>48</v>
      </c>
      <c r="C129" s="80" t="e">
        <f t="shared" si="215"/>
        <v>#DIV/0!</v>
      </c>
      <c r="D129" s="80"/>
      <c r="F129" s="59"/>
      <c r="G129" s="59"/>
      <c r="H129" s="59"/>
      <c r="I129" s="59"/>
      <c r="J129" s="59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81"/>
      <c r="AC129" s="80"/>
      <c r="AD129" s="3"/>
      <c r="AE129" s="3"/>
      <c r="AF129" s="3"/>
      <c r="AG129" s="3"/>
      <c r="AH129" s="3"/>
      <c r="AI129" s="3"/>
    </row>
    <row r="130" spans="1:35" ht="15.75" customHeight="1">
      <c r="A130" s="41" t="s">
        <v>126</v>
      </c>
      <c r="B130" s="79" t="s">
        <v>48</v>
      </c>
      <c r="C130" s="80" t="e">
        <f t="shared" si="215"/>
        <v>#DIV/0!</v>
      </c>
      <c r="D130" s="80"/>
      <c r="F130" s="59"/>
      <c r="G130" s="59"/>
      <c r="H130" s="59"/>
      <c r="I130" s="59"/>
      <c r="J130" s="59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81"/>
      <c r="AC130" s="80"/>
      <c r="AD130" s="3"/>
      <c r="AE130" s="3"/>
      <c r="AF130" s="3"/>
      <c r="AG130" s="3"/>
      <c r="AH130" s="3"/>
      <c r="AI130" s="3"/>
    </row>
    <row r="131" spans="1:35" ht="15.75" customHeight="1">
      <c r="A131" s="72"/>
      <c r="B131" s="79"/>
      <c r="C131" s="72"/>
      <c r="D131" s="72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81"/>
      <c r="AC131" s="80"/>
      <c r="AD131" s="3"/>
      <c r="AE131" s="3"/>
      <c r="AF131" s="3"/>
      <c r="AG131" s="3"/>
      <c r="AH131" s="3"/>
      <c r="AI131" s="3"/>
    </row>
    <row r="132" spans="1:35" ht="15.75" customHeight="1">
      <c r="A132" s="60" t="s">
        <v>131</v>
      </c>
      <c r="B132" s="48" t="s">
        <v>48</v>
      </c>
      <c r="C132" s="80">
        <f>SUM(106:106)*$C$124</f>
        <v>79.2</v>
      </c>
      <c r="D132" s="80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81"/>
      <c r="AC132" s="80"/>
      <c r="AD132" s="3"/>
      <c r="AE132" s="3"/>
      <c r="AF132" s="3"/>
      <c r="AG132" s="3"/>
      <c r="AH132" s="3"/>
      <c r="AI132" s="3"/>
    </row>
    <row r="133" spans="1:35" ht="15.75" customHeight="1">
      <c r="A133" s="61" t="s">
        <v>146</v>
      </c>
      <c r="B133" s="61" t="s">
        <v>147</v>
      </c>
      <c r="C133" s="72">
        <f>SUM(107:107)*$C$124/1000</f>
        <v>2.2968000000000002</v>
      </c>
      <c r="D133" s="72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81"/>
      <c r="AC133" s="80"/>
      <c r="AD133" s="3"/>
      <c r="AE133" s="3"/>
      <c r="AF133" s="3"/>
      <c r="AG133" s="3"/>
      <c r="AH133" s="3"/>
      <c r="AI133" s="3"/>
    </row>
    <row r="134" spans="1:35" ht="15.75" customHeight="1">
      <c r="A134" s="2"/>
      <c r="B134" s="93"/>
      <c r="C134" s="72"/>
      <c r="D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81"/>
      <c r="AC134" s="80"/>
      <c r="AD134" s="3"/>
      <c r="AE134" s="3"/>
      <c r="AF134" s="3"/>
      <c r="AG134" s="3"/>
      <c r="AH134" s="3"/>
      <c r="AI134" s="3"/>
    </row>
    <row r="135" spans="1:35" ht="15.75" customHeight="1">
      <c r="A135" s="128" t="s">
        <v>148</v>
      </c>
      <c r="B135" s="129"/>
      <c r="C135" s="129"/>
      <c r="D135" s="129"/>
      <c r="E135" s="129"/>
      <c r="F135" s="3"/>
      <c r="G135" s="3"/>
      <c r="H135" s="3"/>
      <c r="I135" s="3"/>
      <c r="J135" s="13" t="s">
        <v>149</v>
      </c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81"/>
      <c r="AC135" s="80"/>
      <c r="AD135" s="3"/>
      <c r="AE135" s="3"/>
      <c r="AF135" s="3"/>
      <c r="AG135" s="3"/>
      <c r="AH135" s="3"/>
      <c r="AI135" s="3"/>
    </row>
    <row r="136" spans="1:35" ht="15.75" customHeight="1">
      <c r="A136" s="3" t="s">
        <v>150</v>
      </c>
      <c r="B136" s="3"/>
      <c r="C136" s="3" t="s">
        <v>151</v>
      </c>
      <c r="D136" s="3"/>
      <c r="E136" s="3"/>
      <c r="F136" s="3"/>
      <c r="G136" s="3"/>
      <c r="H136" s="3"/>
      <c r="I136" s="3"/>
      <c r="J136" s="3" t="s">
        <v>152</v>
      </c>
      <c r="K136" s="3">
        <v>0.5</v>
      </c>
      <c r="L136" s="3" t="s">
        <v>73</v>
      </c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81"/>
      <c r="AC136" s="80"/>
      <c r="AD136" s="3"/>
      <c r="AE136" s="3"/>
      <c r="AF136" s="3"/>
      <c r="AG136" s="3"/>
      <c r="AH136" s="3"/>
      <c r="AI136" s="3"/>
    </row>
    <row r="137" spans="1:35" ht="15.75" customHeight="1">
      <c r="A137" s="3" t="s">
        <v>153</v>
      </c>
      <c r="B137" s="3"/>
      <c r="C137" s="3">
        <v>1.1000000000000001</v>
      </c>
      <c r="D137" s="3"/>
      <c r="E137" s="3"/>
      <c r="F137" s="3"/>
      <c r="G137" s="3"/>
      <c r="H137" s="3"/>
      <c r="I137" s="3"/>
      <c r="J137" s="3"/>
      <c r="K137" s="3" t="e">
        <f>#REF!/K146/K136*1000</f>
        <v>#REF!</v>
      </c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81"/>
      <c r="AC137" s="80"/>
      <c r="AD137" s="3"/>
      <c r="AE137" s="3"/>
      <c r="AF137" s="3"/>
      <c r="AG137" s="3"/>
      <c r="AH137" s="3"/>
      <c r="AI137" s="3"/>
    </row>
    <row r="138" spans="1:35" ht="15.75" customHeight="1">
      <c r="A138" s="3" t="s">
        <v>154</v>
      </c>
      <c r="B138" s="3"/>
      <c r="C138" s="102">
        <f>4/5</f>
        <v>0.8</v>
      </c>
      <c r="D138" s="102"/>
      <c r="E138" s="102">
        <f>4/5</f>
        <v>0.8</v>
      </c>
      <c r="F138" s="102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81"/>
      <c r="AC138" s="80"/>
      <c r="AD138" s="3"/>
      <c r="AE138" s="3"/>
      <c r="AF138" s="3"/>
      <c r="AG138" s="3"/>
      <c r="AH138" s="3"/>
      <c r="AI138" s="3"/>
    </row>
    <row r="139" spans="1:35" ht="15.75" customHeight="1">
      <c r="A139" s="3" t="s">
        <v>155</v>
      </c>
      <c r="B139" s="3" t="s">
        <v>156</v>
      </c>
      <c r="C139" s="102">
        <v>0.4</v>
      </c>
      <c r="D139" s="102"/>
      <c r="E139" s="102">
        <v>0.5</v>
      </c>
      <c r="F139" s="102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81"/>
      <c r="AC139" s="80"/>
      <c r="AD139" s="3"/>
      <c r="AE139" s="3"/>
      <c r="AF139" s="3"/>
      <c r="AG139" s="3"/>
      <c r="AH139" s="3"/>
      <c r="AI139" s="3"/>
    </row>
    <row r="140" spans="1:35" ht="15.75" customHeight="1">
      <c r="A140" s="3" t="s">
        <v>157</v>
      </c>
      <c r="B140" s="3" t="s">
        <v>57</v>
      </c>
      <c r="C140" s="103">
        <v>0.5</v>
      </c>
      <c r="D140" s="103"/>
      <c r="E140" s="103">
        <v>1</v>
      </c>
      <c r="F140" s="102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81"/>
      <c r="AC140" s="80"/>
      <c r="AD140" s="3"/>
      <c r="AE140" s="3"/>
      <c r="AF140" s="3"/>
      <c r="AG140" s="3"/>
      <c r="AH140" s="3"/>
      <c r="AI140" s="3"/>
    </row>
    <row r="141" spans="1:35" ht="15.75" customHeight="1">
      <c r="A141" s="3" t="s">
        <v>158</v>
      </c>
      <c r="B141" s="3" t="s">
        <v>90</v>
      </c>
      <c r="C141" s="104">
        <f>SUM(C75)*C138</f>
        <v>0</v>
      </c>
      <c r="D141" s="104"/>
      <c r="E141" s="104">
        <f>SUM(E75)*E138</f>
        <v>0</v>
      </c>
      <c r="F141" s="102"/>
      <c r="G141" s="3"/>
      <c r="H141" s="3"/>
      <c r="I141" s="3"/>
      <c r="J141" s="3" t="s">
        <v>159</v>
      </c>
      <c r="K141" s="3">
        <v>5</v>
      </c>
      <c r="L141" s="3" t="s">
        <v>160</v>
      </c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81"/>
      <c r="AC141" s="80"/>
      <c r="AD141" s="3"/>
      <c r="AE141" s="3"/>
      <c r="AF141" s="3"/>
      <c r="AG141" s="3"/>
      <c r="AH141" s="3"/>
      <c r="AI141" s="3"/>
    </row>
    <row r="142" spans="1:35" ht="15.75" customHeight="1">
      <c r="A142" s="3" t="s">
        <v>161</v>
      </c>
      <c r="B142" s="3" t="s">
        <v>81</v>
      </c>
      <c r="C142" s="104">
        <f>SUM(C76)*C138*1000</f>
        <v>0</v>
      </c>
      <c r="D142" s="104"/>
      <c r="E142" s="104">
        <f>SUM(E76)*E138*1000</f>
        <v>0</v>
      </c>
      <c r="F142" s="102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81"/>
      <c r="AC142" s="80"/>
      <c r="AD142" s="3"/>
      <c r="AE142" s="3"/>
      <c r="AF142" s="3"/>
      <c r="AG142" s="3"/>
      <c r="AH142" s="3"/>
      <c r="AI142" s="3"/>
    </row>
    <row r="143" spans="1:35" ht="15.75" customHeight="1">
      <c r="A143" s="3" t="s">
        <v>162</v>
      </c>
      <c r="B143" s="3" t="s">
        <v>48</v>
      </c>
      <c r="C143" s="3">
        <f>C142/C140*C137</f>
        <v>0</v>
      </c>
      <c r="D143" s="3"/>
      <c r="E143" s="3">
        <f>E142/E140*E137</f>
        <v>0</v>
      </c>
      <c r="F143" s="3"/>
      <c r="G143" s="3"/>
      <c r="H143" s="3" t="s">
        <v>163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81"/>
      <c r="AC143" s="80"/>
      <c r="AD143" s="3"/>
      <c r="AE143" s="3"/>
      <c r="AF143" s="3"/>
      <c r="AG143" s="3"/>
      <c r="AH143" s="3"/>
      <c r="AI143" s="3"/>
    </row>
    <row r="144" spans="1:35" ht="15.75" customHeight="1">
      <c r="A144" s="3" t="s">
        <v>164</v>
      </c>
      <c r="B144" s="3" t="s">
        <v>48</v>
      </c>
      <c r="C144" s="97">
        <f>C143*C140/C139</f>
        <v>0</v>
      </c>
      <c r="D144" s="97"/>
      <c r="E144" s="97">
        <f>E143*E140/E139</f>
        <v>0</v>
      </c>
      <c r="F144" s="97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81"/>
      <c r="AC144" s="80"/>
      <c r="AD144" s="3"/>
      <c r="AE144" s="3"/>
      <c r="AF144" s="3"/>
      <c r="AG144" s="3"/>
      <c r="AH144" s="3"/>
      <c r="AI144" s="3"/>
    </row>
    <row r="145" spans="1:3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81"/>
      <c r="AC145" s="80"/>
      <c r="AD145" s="3"/>
      <c r="AE145" s="3"/>
      <c r="AF145" s="3"/>
      <c r="AG145" s="3"/>
      <c r="AH145" s="3"/>
      <c r="AI145" s="3"/>
    </row>
    <row r="146" spans="1:35" ht="15.75" customHeight="1">
      <c r="A146" s="3" t="s">
        <v>165</v>
      </c>
      <c r="B146" s="3" t="s">
        <v>166</v>
      </c>
      <c r="C146" s="3">
        <v>10</v>
      </c>
      <c r="D146" s="3"/>
      <c r="E146" s="3">
        <v>10</v>
      </c>
      <c r="F146" s="3"/>
      <c r="G146" s="3"/>
      <c r="H146" s="3"/>
      <c r="I146" s="3"/>
      <c r="J146" s="3" t="s">
        <v>167</v>
      </c>
      <c r="K146" s="3">
        <v>286.64999999999998</v>
      </c>
      <c r="L146" s="3" t="s">
        <v>55</v>
      </c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81"/>
      <c r="AC146" s="80"/>
      <c r="AD146" s="3"/>
      <c r="AE146" s="3"/>
      <c r="AF146" s="3"/>
      <c r="AG146" s="3"/>
      <c r="AH146" s="3"/>
      <c r="AI146" s="3"/>
    </row>
    <row r="147" spans="1:35" ht="15.75" customHeight="1">
      <c r="A147" s="3" t="s">
        <v>168</v>
      </c>
      <c r="B147" s="3" t="s">
        <v>90</v>
      </c>
      <c r="C147" s="3">
        <f>C146*C141*C137</f>
        <v>0</v>
      </c>
      <c r="D147" s="3"/>
      <c r="E147" s="3">
        <f>E146*E141*E137</f>
        <v>0</v>
      </c>
      <c r="F147" s="3"/>
      <c r="G147" s="3"/>
      <c r="H147" s="3"/>
      <c r="I147" s="3"/>
      <c r="J147" s="3" t="s">
        <v>169</v>
      </c>
      <c r="K147" s="3">
        <f>K136/1000*K141/1000*K146*1000</f>
        <v>0.71662500000000007</v>
      </c>
      <c r="L147" s="3" t="s">
        <v>95</v>
      </c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81"/>
      <c r="AC147" s="80"/>
      <c r="AD147" s="3"/>
      <c r="AE147" s="3"/>
      <c r="AF147" s="3"/>
      <c r="AG147" s="3"/>
      <c r="AH147" s="3"/>
      <c r="AI147" s="3"/>
    </row>
    <row r="148" spans="1:35" ht="15.75" customHeight="1">
      <c r="A148" s="3" t="s">
        <v>170</v>
      </c>
      <c r="B148" s="3" t="s">
        <v>48</v>
      </c>
      <c r="C148" s="105">
        <f>C143</f>
        <v>0</v>
      </c>
      <c r="D148" s="105"/>
      <c r="E148" s="105">
        <f>E143</f>
        <v>0</v>
      </c>
      <c r="F148" s="91"/>
      <c r="G148" s="3"/>
      <c r="H148" s="3">
        <f t="shared" ref="H148:H150" si="216">SUM(C148:F148)</f>
        <v>0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81"/>
      <c r="AC148" s="80"/>
      <c r="AD148" s="3"/>
      <c r="AE148" s="3"/>
      <c r="AF148" s="3"/>
      <c r="AG148" s="3"/>
      <c r="AH148" s="3"/>
      <c r="AI148" s="3"/>
    </row>
    <row r="149" spans="1:35" ht="15.75" customHeight="1">
      <c r="A149" s="3" t="s">
        <v>171</v>
      </c>
      <c r="B149" s="3" t="s">
        <v>48</v>
      </c>
      <c r="C149" s="105">
        <f>C147/10^9/($K$136/1000)*10^6</f>
        <v>0</v>
      </c>
      <c r="D149" s="105"/>
      <c r="E149" s="105">
        <f>E147/10^9/($K$136/1000)*10^6</f>
        <v>0</v>
      </c>
      <c r="F149" s="91"/>
      <c r="G149" s="3"/>
      <c r="H149" s="3">
        <f t="shared" si="216"/>
        <v>0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81"/>
      <c r="AC149" s="80"/>
      <c r="AD149" s="3"/>
      <c r="AE149" s="3"/>
      <c r="AF149" s="3"/>
      <c r="AG149" s="3"/>
      <c r="AH149" s="3"/>
      <c r="AI149" s="3"/>
    </row>
    <row r="150" spans="1:35" ht="15.75" customHeight="1">
      <c r="A150" s="3" t="s">
        <v>172</v>
      </c>
      <c r="B150" s="3" t="s">
        <v>48</v>
      </c>
      <c r="C150" s="105">
        <f>C144-C149-C148</f>
        <v>0</v>
      </c>
      <c r="D150" s="105"/>
      <c r="E150" s="105">
        <f>E144-E149-E148</f>
        <v>0</v>
      </c>
      <c r="F150" s="91"/>
      <c r="G150" s="3"/>
      <c r="H150" s="3">
        <f t="shared" si="216"/>
        <v>0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81"/>
      <c r="AC150" s="80"/>
      <c r="AD150" s="3"/>
      <c r="AE150" s="3"/>
      <c r="AF150" s="3"/>
      <c r="AG150" s="3"/>
      <c r="AH150" s="3"/>
      <c r="AI150" s="3"/>
    </row>
    <row r="151" spans="1:35" ht="15.75" customHeight="1">
      <c r="A151" s="3" t="s">
        <v>173</v>
      </c>
      <c r="B151" s="3"/>
      <c r="C151" s="3" t="e">
        <f>SUM(C148:C150)/C148</f>
        <v>#DIV/0!</v>
      </c>
      <c r="D151" s="3"/>
      <c r="E151" s="3" t="e">
        <f>SUM(E148:E150)/E148</f>
        <v>#DIV/0!</v>
      </c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81"/>
      <c r="AC151" s="80"/>
      <c r="AD151" s="3"/>
      <c r="AE151" s="3"/>
      <c r="AF151" s="3"/>
      <c r="AG151" s="3"/>
      <c r="AH151" s="3"/>
      <c r="AI151" s="3"/>
    </row>
    <row r="152" spans="1:35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81"/>
      <c r="AC152" s="80"/>
      <c r="AD152" s="3"/>
      <c r="AE152" s="3"/>
      <c r="AF152" s="3"/>
      <c r="AG152" s="3"/>
      <c r="AH152" s="3"/>
      <c r="AI152" s="3"/>
    </row>
    <row r="153" spans="1:35" ht="15.75" customHeight="1">
      <c r="A153" s="3" t="s">
        <v>174</v>
      </c>
      <c r="B153" s="79"/>
      <c r="C153" s="106">
        <f t="shared" ref="C153:F153" si="217">SUM(C148:C150)/C137</f>
        <v>0</v>
      </c>
      <c r="D153" s="106" t="e">
        <f t="shared" si="217"/>
        <v>#DIV/0!</v>
      </c>
      <c r="E153" s="106" t="e">
        <f t="shared" si="217"/>
        <v>#DIV/0!</v>
      </c>
      <c r="F153" s="106" t="e">
        <f t="shared" si="217"/>
        <v>#DIV/0!</v>
      </c>
      <c r="G153" s="72"/>
      <c r="H153" s="72"/>
      <c r="I153" s="72"/>
      <c r="J153" s="72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81"/>
      <c r="AC153" s="80"/>
      <c r="AD153" s="3"/>
      <c r="AE153" s="3"/>
      <c r="AF153" s="3"/>
      <c r="AG153" s="3"/>
      <c r="AH153" s="3"/>
      <c r="AI153" s="3"/>
    </row>
    <row r="154" spans="1:35" ht="15.75" customHeight="1">
      <c r="A154" s="3"/>
      <c r="B154" s="3"/>
      <c r="C154" s="3"/>
      <c r="D154" s="3"/>
      <c r="E154" s="3"/>
      <c r="F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81"/>
      <c r="AC154" s="80"/>
      <c r="AD154" s="3"/>
      <c r="AE154" s="3"/>
      <c r="AF154" s="3"/>
      <c r="AG154" s="3"/>
      <c r="AH154" s="3"/>
      <c r="AI154" s="3"/>
    </row>
    <row r="155" spans="1:35" ht="15.75" customHeight="1">
      <c r="A155" s="3" t="s">
        <v>175</v>
      </c>
      <c r="B155" s="3"/>
      <c r="C155" s="13">
        <f t="shared" ref="C155:J155" si="218">C4</f>
        <v>0</v>
      </c>
      <c r="D155" s="13">
        <f t="shared" si="218"/>
        <v>0</v>
      </c>
      <c r="E155" s="13">
        <f t="shared" si="218"/>
        <v>0</v>
      </c>
      <c r="F155" s="13">
        <f t="shared" si="218"/>
        <v>0</v>
      </c>
      <c r="G155" s="13">
        <f t="shared" si="218"/>
        <v>0</v>
      </c>
      <c r="H155" s="13">
        <f t="shared" si="218"/>
        <v>0</v>
      </c>
      <c r="I155" s="13">
        <f t="shared" si="218"/>
        <v>0</v>
      </c>
      <c r="J155" s="13">
        <f t="shared" si="218"/>
        <v>0</v>
      </c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81"/>
      <c r="AC155" s="80"/>
      <c r="AD155" s="3"/>
      <c r="AE155" s="3"/>
      <c r="AF155" s="3"/>
      <c r="AG155" s="3"/>
      <c r="AH155" s="3"/>
      <c r="AI155" s="3"/>
    </row>
    <row r="156" spans="1:35" ht="15.75" customHeight="1">
      <c r="A156" s="2" t="s">
        <v>176</v>
      </c>
      <c r="B156" s="79" t="s">
        <v>95</v>
      </c>
      <c r="C156" s="62">
        <v>232</v>
      </c>
      <c r="D156" s="3">
        <v>93</v>
      </c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81"/>
      <c r="AC156" s="80"/>
      <c r="AD156" s="3"/>
      <c r="AE156" s="3"/>
      <c r="AF156" s="3"/>
      <c r="AG156" s="3"/>
      <c r="AH156" s="3"/>
      <c r="AI156" s="3"/>
    </row>
    <row r="157" spans="1:35" ht="15.75" customHeight="1">
      <c r="A157" s="2" t="s">
        <v>177</v>
      </c>
      <c r="B157" s="79" t="s">
        <v>95</v>
      </c>
      <c r="C157" s="62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81"/>
      <c r="AC157" s="80"/>
      <c r="AD157" s="3"/>
      <c r="AE157" s="3"/>
      <c r="AF157" s="3"/>
      <c r="AG157" s="3"/>
      <c r="AH157" s="3"/>
      <c r="AI157" s="3"/>
    </row>
    <row r="158" spans="1:35" ht="15.75" customHeight="1">
      <c r="A158" s="3" t="s">
        <v>178</v>
      </c>
      <c r="B158" s="79" t="s">
        <v>179</v>
      </c>
      <c r="C158" s="63">
        <f t="shared" ref="C158:J158" si="219">0.92636</f>
        <v>0.92635999999999996</v>
      </c>
      <c r="D158" s="63">
        <f t="shared" si="219"/>
        <v>0.92635999999999996</v>
      </c>
      <c r="E158" s="63">
        <f t="shared" si="219"/>
        <v>0.92635999999999996</v>
      </c>
      <c r="F158" s="63">
        <f t="shared" si="219"/>
        <v>0.92635999999999996</v>
      </c>
      <c r="G158" s="63">
        <f t="shared" si="219"/>
        <v>0.92635999999999996</v>
      </c>
      <c r="H158" s="63">
        <f t="shared" si="219"/>
        <v>0.92635999999999996</v>
      </c>
      <c r="I158" s="63">
        <f t="shared" si="219"/>
        <v>0.92635999999999996</v>
      </c>
      <c r="J158" s="63">
        <f t="shared" si="219"/>
        <v>0.92635999999999996</v>
      </c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81"/>
      <c r="AC158" s="80"/>
      <c r="AD158" s="3"/>
      <c r="AE158" s="3"/>
      <c r="AF158" s="3"/>
      <c r="AG158" s="3"/>
      <c r="AH158" s="3"/>
      <c r="AI158" s="3"/>
    </row>
    <row r="159" spans="1:35" ht="15.75" customHeight="1">
      <c r="A159" s="3" t="s">
        <v>180</v>
      </c>
      <c r="B159" s="79" t="s">
        <v>48</v>
      </c>
      <c r="C159" s="72">
        <f t="shared" ref="C159:J159" si="220">(C156-C157)/C158</f>
        <v>250.44259251263009</v>
      </c>
      <c r="D159" s="72">
        <f t="shared" si="220"/>
        <v>100.39293579170085</v>
      </c>
      <c r="E159" s="72">
        <f t="shared" si="220"/>
        <v>0</v>
      </c>
      <c r="F159" s="72">
        <f t="shared" si="220"/>
        <v>0</v>
      </c>
      <c r="G159" s="72">
        <f t="shared" si="220"/>
        <v>0</v>
      </c>
      <c r="H159" s="72">
        <f t="shared" si="220"/>
        <v>0</v>
      </c>
      <c r="I159" s="72">
        <f t="shared" si="220"/>
        <v>0</v>
      </c>
      <c r="J159" s="72">
        <f t="shared" si="220"/>
        <v>0</v>
      </c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81"/>
      <c r="AC159" s="80"/>
      <c r="AD159" s="3"/>
      <c r="AE159" s="3"/>
      <c r="AF159" s="3"/>
      <c r="AG159" s="3"/>
      <c r="AH159" s="3"/>
      <c r="AI159" s="3"/>
    </row>
    <row r="160" spans="1:35" ht="15.75" customHeight="1">
      <c r="A160" s="3"/>
      <c r="B160" s="79"/>
      <c r="C160" s="72" t="s">
        <v>181</v>
      </c>
      <c r="D160" s="3" t="s">
        <v>181</v>
      </c>
      <c r="E160" s="3" t="s">
        <v>181</v>
      </c>
      <c r="F160" s="3" t="s">
        <v>181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81"/>
      <c r="AC160" s="80"/>
      <c r="AD160" s="3"/>
      <c r="AE160" s="3"/>
      <c r="AF160" s="3"/>
      <c r="AG160" s="3"/>
      <c r="AH160" s="3"/>
      <c r="AI160" s="3"/>
    </row>
    <row r="161" spans="1:35" ht="15.75" customHeight="1">
      <c r="A161" s="3" t="s">
        <v>182</v>
      </c>
      <c r="B161" s="79" t="s">
        <v>95</v>
      </c>
      <c r="C161" s="62">
        <v>964.7</v>
      </c>
      <c r="D161" s="62">
        <v>1001.2</v>
      </c>
      <c r="E161" s="62">
        <f t="shared" ref="E161:J161" si="221">E157</f>
        <v>0</v>
      </c>
      <c r="F161" s="62">
        <f t="shared" si="221"/>
        <v>0</v>
      </c>
      <c r="G161" s="62">
        <f t="shared" si="221"/>
        <v>0</v>
      </c>
      <c r="H161" s="3">
        <f t="shared" si="221"/>
        <v>0</v>
      </c>
      <c r="I161" s="3">
        <f t="shared" si="221"/>
        <v>0</v>
      </c>
      <c r="J161" s="3">
        <f t="shared" si="221"/>
        <v>0</v>
      </c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81"/>
      <c r="AC161" s="80"/>
      <c r="AD161" s="3"/>
      <c r="AE161" s="3"/>
      <c r="AF161" s="3"/>
      <c r="AG161" s="3"/>
      <c r="AH161" s="3"/>
      <c r="AI161" s="3"/>
    </row>
    <row r="162" spans="1:35" ht="15.75" customHeight="1">
      <c r="A162" s="3" t="s">
        <v>183</v>
      </c>
      <c r="B162" s="79" t="s">
        <v>95</v>
      </c>
      <c r="C162" s="62">
        <v>1284.5</v>
      </c>
      <c r="D162" s="3">
        <v>1114</v>
      </c>
      <c r="E162" s="3">
        <v>306.89999999999998</v>
      </c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81"/>
      <c r="AC162" s="80"/>
      <c r="AD162" s="3"/>
      <c r="AE162" s="3"/>
      <c r="AF162" s="3"/>
      <c r="AG162" s="3"/>
      <c r="AH162" s="3"/>
      <c r="AI162" s="3"/>
    </row>
    <row r="163" spans="1:35" ht="15.75" customHeight="1">
      <c r="A163" s="3" t="s">
        <v>184</v>
      </c>
      <c r="B163" s="79" t="s">
        <v>48</v>
      </c>
      <c r="C163" s="72">
        <f t="shared" ref="C163:J163" si="222">C162-C161</f>
        <v>319.79999999999995</v>
      </c>
      <c r="D163" s="72">
        <f t="shared" si="222"/>
        <v>112.79999999999995</v>
      </c>
      <c r="E163" s="72">
        <f t="shared" si="222"/>
        <v>306.89999999999998</v>
      </c>
      <c r="F163" s="72">
        <f t="shared" si="222"/>
        <v>0</v>
      </c>
      <c r="G163" s="72">
        <f t="shared" si="222"/>
        <v>0</v>
      </c>
      <c r="H163" s="72">
        <f t="shared" si="222"/>
        <v>0</v>
      </c>
      <c r="I163" s="72">
        <f t="shared" si="222"/>
        <v>0</v>
      </c>
      <c r="J163" s="72">
        <f t="shared" si="222"/>
        <v>0</v>
      </c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81"/>
      <c r="AC163" s="80"/>
      <c r="AD163" s="3"/>
      <c r="AE163" s="3"/>
      <c r="AF163" s="3"/>
      <c r="AG163" s="3"/>
      <c r="AH163" s="3"/>
      <c r="AI163" s="3"/>
    </row>
    <row r="164" spans="1:35" ht="15.75" customHeight="1">
      <c r="A164" s="3"/>
      <c r="B164" s="79"/>
      <c r="C164" s="72"/>
      <c r="D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81"/>
      <c r="AC164" s="80"/>
      <c r="AD164" s="3"/>
      <c r="AE164" s="3"/>
      <c r="AF164" s="3"/>
      <c r="AG164" s="3"/>
      <c r="AH164" s="3"/>
      <c r="AI164" s="3"/>
    </row>
    <row r="165" spans="1:35" ht="15.75" customHeight="1">
      <c r="A165" s="3" t="s">
        <v>185</v>
      </c>
      <c r="B165" s="79" t="s">
        <v>48</v>
      </c>
      <c r="C165" s="72">
        <f t="shared" ref="C165:F165" si="223">C163*(1-C138)</f>
        <v>63.95999999999998</v>
      </c>
      <c r="D165" s="72">
        <f t="shared" si="223"/>
        <v>112.79999999999995</v>
      </c>
      <c r="E165" s="72">
        <f t="shared" si="223"/>
        <v>61.379999999999981</v>
      </c>
      <c r="F165" s="72">
        <f t="shared" si="223"/>
        <v>0</v>
      </c>
      <c r="G165" s="72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81"/>
      <c r="AC165" s="80"/>
      <c r="AD165" s="3"/>
      <c r="AE165" s="3"/>
      <c r="AF165" s="3"/>
      <c r="AG165" s="3"/>
      <c r="AH165" s="3"/>
      <c r="AI165" s="3"/>
    </row>
    <row r="166" spans="1:35" ht="15.75" customHeight="1">
      <c r="A166" s="3" t="s">
        <v>186</v>
      </c>
      <c r="B166" s="79"/>
      <c r="C166" s="72">
        <f t="shared" ref="C166:E166" si="224">C163-C165</f>
        <v>255.83999999999997</v>
      </c>
      <c r="D166" s="72">
        <f t="shared" si="224"/>
        <v>0</v>
      </c>
      <c r="E166" s="72">
        <f t="shared" si="224"/>
        <v>245.51999999999998</v>
      </c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81"/>
      <c r="AC166" s="80"/>
      <c r="AD166" s="3"/>
      <c r="AE166" s="3"/>
      <c r="AF166" s="3"/>
      <c r="AG166" s="3"/>
      <c r="AH166" s="3"/>
      <c r="AI166" s="3"/>
    </row>
    <row r="167" spans="1:35" ht="15.75" customHeight="1">
      <c r="A167" s="3" t="s">
        <v>187</v>
      </c>
      <c r="B167" s="79" t="s">
        <v>46</v>
      </c>
      <c r="C167" s="72">
        <f t="shared" ref="C167:J167" si="225">C16*C159/C163</f>
        <v>19.578063829942941</v>
      </c>
      <c r="D167" s="72">
        <f t="shared" si="225"/>
        <v>22.250207400642928</v>
      </c>
      <c r="E167" s="72">
        <f t="shared" si="225"/>
        <v>0</v>
      </c>
      <c r="F167" s="72" t="e">
        <f t="shared" si="225"/>
        <v>#DIV/0!</v>
      </c>
      <c r="G167" s="72" t="e">
        <f t="shared" si="225"/>
        <v>#DIV/0!</v>
      </c>
      <c r="H167" s="72" t="e">
        <f t="shared" si="225"/>
        <v>#DIV/0!</v>
      </c>
      <c r="I167" s="72" t="e">
        <f t="shared" si="225"/>
        <v>#DIV/0!</v>
      </c>
      <c r="J167" s="72" t="e">
        <f t="shared" si="225"/>
        <v>#DIV/0!</v>
      </c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81"/>
      <c r="AC167" s="80"/>
      <c r="AD167" s="3"/>
      <c r="AE167" s="3"/>
      <c r="AF167" s="3"/>
      <c r="AG167" s="3"/>
      <c r="AH167" s="3"/>
      <c r="AI167" s="3"/>
    </row>
    <row r="168" spans="1:35" ht="15.75" customHeight="1">
      <c r="A168" s="3"/>
      <c r="B168" s="79"/>
      <c r="C168" s="72"/>
      <c r="D168" s="72"/>
      <c r="E168" s="72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81"/>
      <c r="AC168" s="80"/>
      <c r="AD168" s="3"/>
      <c r="AE168" s="3"/>
      <c r="AF168" s="3"/>
      <c r="AG168" s="3"/>
      <c r="AH168" s="3"/>
      <c r="AI168" s="3"/>
    </row>
    <row r="169" spans="1:35" ht="15.75" customHeight="1">
      <c r="A169" s="3"/>
      <c r="B169" s="79"/>
      <c r="C169" s="80"/>
      <c r="D169" s="80"/>
      <c r="E169" s="80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81"/>
      <c r="AC169" s="80"/>
      <c r="AD169" s="3"/>
      <c r="AE169" s="3"/>
      <c r="AF169" s="3"/>
      <c r="AG169" s="3"/>
      <c r="AH169" s="3"/>
      <c r="AI169" s="3"/>
    </row>
    <row r="170" spans="1:35" ht="15.75" customHeight="1">
      <c r="A170" s="3"/>
      <c r="B170" s="79"/>
      <c r="C170" s="80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81"/>
      <c r="AC170" s="80"/>
      <c r="AD170" s="3"/>
      <c r="AE170" s="3"/>
      <c r="AF170" s="3"/>
      <c r="AG170" s="3"/>
      <c r="AH170" s="3"/>
      <c r="AI170" s="3"/>
    </row>
    <row r="171" spans="1:35" ht="15.75" customHeight="1">
      <c r="A171" s="3"/>
      <c r="B171" s="79"/>
      <c r="C171" s="72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81"/>
      <c r="AC171" s="80"/>
      <c r="AD171" s="3"/>
      <c r="AE171" s="3"/>
      <c r="AF171" s="3"/>
      <c r="AG171" s="3"/>
      <c r="AH171" s="3"/>
      <c r="AI171" s="3"/>
    </row>
    <row r="172" spans="1:35" ht="15.75" customHeight="1">
      <c r="A172" s="3"/>
      <c r="B172" s="79"/>
      <c r="C172" s="80"/>
      <c r="D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81"/>
      <c r="AC172" s="80"/>
      <c r="AD172" s="3"/>
      <c r="AE172" s="3"/>
      <c r="AF172" s="3"/>
      <c r="AG172" s="3"/>
      <c r="AH172" s="3"/>
      <c r="AI172" s="3"/>
    </row>
    <row r="173" spans="1:35" ht="15.75" customHeight="1">
      <c r="A173" s="3"/>
      <c r="B173" s="79"/>
      <c r="C173" s="80"/>
      <c r="D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81"/>
      <c r="AC173" s="80"/>
      <c r="AD173" s="3"/>
      <c r="AE173" s="3"/>
      <c r="AF173" s="3"/>
      <c r="AG173" s="3"/>
      <c r="AH173" s="3"/>
      <c r="AI173" s="3"/>
    </row>
    <row r="174" spans="1:35" ht="15.75" customHeight="1">
      <c r="A174" s="3"/>
      <c r="B174" s="79"/>
      <c r="C174" s="80"/>
      <c r="D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81"/>
      <c r="AC174" s="80"/>
      <c r="AD174" s="3"/>
      <c r="AE174" s="3"/>
      <c r="AF174" s="3"/>
      <c r="AG174" s="3"/>
      <c r="AH174" s="3"/>
      <c r="AI174" s="3"/>
    </row>
    <row r="175" spans="1:35" ht="15.75" customHeight="1">
      <c r="A175" s="3"/>
      <c r="B175" s="79"/>
      <c r="C175" s="80"/>
      <c r="D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81"/>
      <c r="AC175" s="80"/>
      <c r="AD175" s="3"/>
      <c r="AE175" s="3"/>
      <c r="AF175" s="3"/>
      <c r="AG175" s="3"/>
      <c r="AH175" s="3"/>
      <c r="AI175" s="3"/>
    </row>
    <row r="176" spans="1:35" ht="15.75" customHeight="1">
      <c r="A176" s="3"/>
      <c r="B176" s="79"/>
      <c r="C176" s="80"/>
      <c r="D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81"/>
      <c r="AC176" s="80"/>
      <c r="AD176" s="3"/>
      <c r="AE176" s="3"/>
      <c r="AF176" s="3"/>
      <c r="AG176" s="3"/>
      <c r="AH176" s="3"/>
      <c r="AI176" s="3"/>
    </row>
    <row r="177" spans="1:35" ht="15.75" customHeight="1">
      <c r="A177" s="3"/>
      <c r="B177" s="79"/>
      <c r="C177" s="80"/>
      <c r="D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81"/>
      <c r="AC177" s="80"/>
      <c r="AD177" s="3"/>
      <c r="AE177" s="3"/>
      <c r="AF177" s="3"/>
      <c r="AG177" s="3"/>
      <c r="AH177" s="3"/>
      <c r="AI177" s="3"/>
    </row>
    <row r="178" spans="1:35" ht="15.75" customHeight="1">
      <c r="A178" s="3"/>
      <c r="B178" s="79"/>
      <c r="C178" s="80"/>
      <c r="D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81"/>
      <c r="AC178" s="80"/>
      <c r="AD178" s="3"/>
      <c r="AE178" s="3"/>
      <c r="AF178" s="3"/>
      <c r="AG178" s="3"/>
      <c r="AH178" s="3"/>
      <c r="AI178" s="3"/>
    </row>
    <row r="179" spans="1:35" ht="15.75" customHeight="1">
      <c r="A179" s="3"/>
      <c r="B179" s="79"/>
      <c r="C179" s="80"/>
      <c r="D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81"/>
      <c r="AC179" s="80"/>
      <c r="AD179" s="3"/>
      <c r="AE179" s="3"/>
      <c r="AF179" s="3"/>
      <c r="AG179" s="3"/>
      <c r="AH179" s="3"/>
      <c r="AI179" s="3"/>
    </row>
    <row r="180" spans="1:35" ht="15.75" customHeight="1">
      <c r="A180" s="3"/>
      <c r="B180" s="79"/>
      <c r="C180" s="80"/>
      <c r="D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81"/>
      <c r="AC180" s="80"/>
      <c r="AD180" s="3"/>
      <c r="AE180" s="3"/>
      <c r="AF180" s="3"/>
      <c r="AG180" s="3"/>
      <c r="AH180" s="3"/>
      <c r="AI180" s="3"/>
    </row>
    <row r="181" spans="1:35" ht="15.75" customHeight="1">
      <c r="A181" s="3"/>
      <c r="B181" s="79"/>
      <c r="C181" s="80"/>
      <c r="D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81"/>
      <c r="AC181" s="80"/>
      <c r="AD181" s="3"/>
      <c r="AE181" s="3"/>
      <c r="AF181" s="3"/>
      <c r="AG181" s="3"/>
      <c r="AH181" s="3"/>
      <c r="AI181" s="3"/>
    </row>
    <row r="182" spans="1:35" ht="15.75" customHeight="1">
      <c r="A182" s="3"/>
      <c r="B182" s="79"/>
      <c r="C182" s="80"/>
      <c r="D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81"/>
      <c r="AC182" s="80"/>
      <c r="AD182" s="3"/>
      <c r="AE182" s="3"/>
      <c r="AF182" s="3"/>
      <c r="AG182" s="3"/>
      <c r="AH182" s="3"/>
      <c r="AI182" s="3"/>
    </row>
    <row r="183" spans="1:35" ht="15.75" customHeight="1">
      <c r="A183" s="3"/>
      <c r="B183" s="79"/>
      <c r="C183" s="80"/>
      <c r="D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81"/>
      <c r="AC183" s="80"/>
      <c r="AD183" s="3"/>
      <c r="AE183" s="3"/>
      <c r="AF183" s="3"/>
      <c r="AG183" s="3"/>
      <c r="AH183" s="3"/>
      <c r="AI183" s="3"/>
    </row>
    <row r="184" spans="1:35" ht="15.75" customHeight="1">
      <c r="A184" s="3"/>
      <c r="B184" s="79"/>
      <c r="C184" s="80"/>
      <c r="D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81"/>
      <c r="AC184" s="80"/>
      <c r="AD184" s="3"/>
      <c r="AE184" s="3"/>
      <c r="AF184" s="3"/>
      <c r="AG184" s="3"/>
      <c r="AH184" s="3"/>
      <c r="AI184" s="3"/>
    </row>
    <row r="185" spans="1:35" ht="15.75" customHeight="1">
      <c r="A185" s="3"/>
      <c r="B185" s="79"/>
      <c r="C185" s="80"/>
      <c r="D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81"/>
      <c r="AC185" s="80"/>
      <c r="AD185" s="3"/>
      <c r="AE185" s="3"/>
      <c r="AF185" s="3"/>
      <c r="AG185" s="3"/>
      <c r="AH185" s="3"/>
      <c r="AI185" s="3"/>
    </row>
    <row r="186" spans="1:35" ht="15.75" customHeight="1">
      <c r="A186" s="3"/>
      <c r="B186" s="79"/>
      <c r="C186" s="80"/>
      <c r="D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81"/>
      <c r="AC186" s="80"/>
      <c r="AD186" s="3"/>
      <c r="AE186" s="3"/>
      <c r="AF186" s="3"/>
      <c r="AG186" s="3"/>
      <c r="AH186" s="3"/>
      <c r="AI186" s="3"/>
    </row>
    <row r="187" spans="1:35" ht="15.75" customHeight="1">
      <c r="A187" s="3"/>
      <c r="B187" s="79"/>
      <c r="C187" s="80"/>
      <c r="D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81"/>
      <c r="AC187" s="80"/>
      <c r="AD187" s="3"/>
      <c r="AE187" s="3"/>
      <c r="AF187" s="3"/>
      <c r="AG187" s="3"/>
      <c r="AH187" s="3"/>
      <c r="AI187" s="3"/>
    </row>
    <row r="188" spans="1:35" ht="15.75" customHeight="1">
      <c r="A188" s="3"/>
      <c r="B188" s="79"/>
      <c r="C188" s="80"/>
      <c r="D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81"/>
      <c r="AC188" s="80"/>
      <c r="AD188" s="3"/>
      <c r="AE188" s="3"/>
      <c r="AF188" s="3"/>
      <c r="AG188" s="3"/>
      <c r="AH188" s="3"/>
      <c r="AI188" s="3"/>
    </row>
    <row r="189" spans="1:35" ht="15.75" customHeight="1">
      <c r="A189" s="3"/>
      <c r="B189" s="79"/>
      <c r="C189" s="80"/>
      <c r="D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81"/>
      <c r="AC189" s="80"/>
      <c r="AD189" s="3"/>
      <c r="AE189" s="3"/>
      <c r="AF189" s="3"/>
      <c r="AG189" s="3"/>
      <c r="AH189" s="3"/>
      <c r="AI189" s="3"/>
    </row>
    <row r="190" spans="1:35" ht="15.75" customHeight="1">
      <c r="A190" s="3"/>
      <c r="B190" s="79"/>
      <c r="C190" s="80"/>
      <c r="D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81"/>
      <c r="AC190" s="80"/>
      <c r="AD190" s="3"/>
      <c r="AE190" s="3"/>
      <c r="AF190" s="3"/>
      <c r="AG190" s="3"/>
      <c r="AH190" s="3"/>
      <c r="AI190" s="3"/>
    </row>
    <row r="191" spans="1:35" ht="15.75" customHeight="1">
      <c r="A191" s="3"/>
      <c r="B191" s="79"/>
      <c r="C191" s="80"/>
      <c r="D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81"/>
      <c r="AC191" s="80"/>
      <c r="AD191" s="3"/>
      <c r="AE191" s="3"/>
      <c r="AF191" s="3"/>
      <c r="AG191" s="3"/>
      <c r="AH191" s="3"/>
      <c r="AI191" s="3"/>
    </row>
    <row r="192" spans="1:35" ht="15.75" customHeight="1">
      <c r="A192" s="3"/>
      <c r="B192" s="79"/>
      <c r="C192" s="80"/>
      <c r="D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81"/>
      <c r="AC192" s="80"/>
      <c r="AD192" s="3"/>
      <c r="AE192" s="3"/>
      <c r="AF192" s="3"/>
      <c r="AG192" s="3"/>
      <c r="AH192" s="3"/>
      <c r="AI192" s="3"/>
    </row>
    <row r="193" spans="1:35" ht="15.75" customHeight="1">
      <c r="A193" s="3"/>
      <c r="B193" s="79"/>
      <c r="C193" s="80"/>
      <c r="D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81"/>
      <c r="AC193" s="80"/>
      <c r="AD193" s="3"/>
      <c r="AE193" s="3"/>
      <c r="AF193" s="3"/>
      <c r="AG193" s="3"/>
      <c r="AH193" s="3"/>
      <c r="AI193" s="3"/>
    </row>
    <row r="194" spans="1:35" ht="15.75" customHeight="1">
      <c r="A194" s="3"/>
      <c r="B194" s="79"/>
      <c r="C194" s="80"/>
      <c r="D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81"/>
      <c r="AC194" s="80"/>
      <c r="AD194" s="3"/>
      <c r="AE194" s="3"/>
      <c r="AF194" s="3"/>
      <c r="AG194" s="3"/>
      <c r="AH194" s="3"/>
      <c r="AI194" s="3"/>
    </row>
    <row r="195" spans="1:35" ht="15.75" customHeight="1">
      <c r="A195" s="3"/>
      <c r="B195" s="79"/>
      <c r="C195" s="80"/>
      <c r="D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81"/>
      <c r="AC195" s="80"/>
      <c r="AD195" s="3"/>
      <c r="AE195" s="3"/>
      <c r="AF195" s="3"/>
      <c r="AG195" s="3"/>
      <c r="AH195" s="3"/>
      <c r="AI195" s="3"/>
    </row>
    <row r="196" spans="1:35" ht="15.75" customHeight="1">
      <c r="A196" s="3"/>
      <c r="B196" s="79"/>
      <c r="C196" s="80"/>
      <c r="D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81"/>
      <c r="AC196" s="80"/>
      <c r="AD196" s="3"/>
      <c r="AE196" s="3"/>
      <c r="AF196" s="3"/>
      <c r="AG196" s="3"/>
      <c r="AH196" s="3"/>
      <c r="AI196" s="3"/>
    </row>
    <row r="197" spans="1:35" ht="15.75" customHeight="1">
      <c r="A197" s="3"/>
      <c r="B197" s="79"/>
      <c r="C197" s="80"/>
      <c r="D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81"/>
      <c r="AC197" s="80"/>
      <c r="AD197" s="3"/>
      <c r="AE197" s="3"/>
      <c r="AF197" s="3"/>
      <c r="AG197" s="3"/>
      <c r="AH197" s="3"/>
      <c r="AI197" s="3"/>
    </row>
    <row r="198" spans="1:35" ht="15.75" customHeight="1">
      <c r="A198" s="3"/>
      <c r="B198" s="79"/>
      <c r="C198" s="80"/>
      <c r="D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81"/>
      <c r="AC198" s="80"/>
      <c r="AD198" s="3"/>
      <c r="AE198" s="3"/>
      <c r="AF198" s="3"/>
      <c r="AG198" s="3"/>
      <c r="AH198" s="3"/>
      <c r="AI198" s="3"/>
    </row>
    <row r="199" spans="1:35" ht="15.75" customHeight="1">
      <c r="A199" s="3"/>
      <c r="B199" s="79"/>
      <c r="C199" s="80"/>
      <c r="D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81"/>
      <c r="AC199" s="80"/>
      <c r="AD199" s="3"/>
      <c r="AE199" s="3"/>
      <c r="AF199" s="3"/>
      <c r="AG199" s="3"/>
      <c r="AH199" s="3"/>
      <c r="AI199" s="3"/>
    </row>
    <row r="200" spans="1:35" ht="15.75" customHeight="1">
      <c r="A200" s="3"/>
      <c r="B200" s="79"/>
      <c r="C200" s="80"/>
      <c r="D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81"/>
      <c r="AC200" s="80"/>
      <c r="AD200" s="3"/>
      <c r="AE200" s="3"/>
      <c r="AF200" s="3"/>
      <c r="AG200" s="3"/>
      <c r="AH200" s="3"/>
      <c r="AI200" s="3"/>
    </row>
    <row r="201" spans="1:35" ht="15.75" customHeight="1">
      <c r="A201" s="3"/>
      <c r="B201" s="79"/>
      <c r="C201" s="80"/>
      <c r="D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81"/>
      <c r="AC201" s="80"/>
      <c r="AD201" s="3"/>
      <c r="AE201" s="3"/>
      <c r="AF201" s="3"/>
      <c r="AG201" s="3"/>
      <c r="AH201" s="3"/>
      <c r="AI201" s="3"/>
    </row>
    <row r="202" spans="1:35" ht="15.75" customHeight="1">
      <c r="A202" s="3"/>
      <c r="B202" s="79"/>
      <c r="C202" s="80"/>
      <c r="D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81"/>
      <c r="AC202" s="80"/>
      <c r="AD202" s="3"/>
      <c r="AE202" s="3"/>
      <c r="AF202" s="3"/>
      <c r="AG202" s="3"/>
      <c r="AH202" s="3"/>
      <c r="AI202" s="3"/>
    </row>
    <row r="203" spans="1:35" ht="15.75" customHeight="1">
      <c r="A203" s="3"/>
      <c r="B203" s="79"/>
      <c r="C203" s="80"/>
      <c r="D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81"/>
      <c r="AC203" s="80"/>
      <c r="AD203" s="3"/>
      <c r="AE203" s="3"/>
      <c r="AF203" s="3"/>
      <c r="AG203" s="3"/>
      <c r="AH203" s="3"/>
      <c r="AI203" s="3"/>
    </row>
    <row r="204" spans="1:35" ht="15.75" customHeight="1">
      <c r="A204" s="3"/>
      <c r="B204" s="79"/>
      <c r="C204" s="80"/>
      <c r="D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81"/>
      <c r="AC204" s="80"/>
      <c r="AD204" s="3"/>
      <c r="AE204" s="3"/>
      <c r="AF204" s="3"/>
      <c r="AG204" s="3"/>
      <c r="AH204" s="3"/>
      <c r="AI204" s="3"/>
    </row>
    <row r="205" spans="1:35" ht="15.75" customHeight="1">
      <c r="A205" s="3"/>
      <c r="B205" s="79"/>
      <c r="C205" s="80"/>
      <c r="D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81"/>
      <c r="AC205" s="80"/>
      <c r="AD205" s="3"/>
      <c r="AE205" s="3"/>
      <c r="AF205" s="3"/>
      <c r="AG205" s="3"/>
      <c r="AH205" s="3"/>
      <c r="AI205" s="3"/>
    </row>
    <row r="206" spans="1:35" ht="15.75" customHeight="1">
      <c r="A206" s="3"/>
      <c r="B206" s="79"/>
      <c r="C206" s="80"/>
      <c r="D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81"/>
      <c r="AC206" s="80"/>
      <c r="AD206" s="3"/>
      <c r="AE206" s="3"/>
      <c r="AF206" s="3"/>
      <c r="AG206" s="3"/>
      <c r="AH206" s="3"/>
      <c r="AI206" s="3"/>
    </row>
    <row r="207" spans="1:35" ht="15.75" customHeight="1">
      <c r="A207" s="3"/>
      <c r="B207" s="79"/>
      <c r="C207" s="80"/>
      <c r="D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81"/>
      <c r="AC207" s="80"/>
      <c r="AD207" s="3"/>
      <c r="AE207" s="3"/>
      <c r="AF207" s="3"/>
      <c r="AG207" s="3"/>
      <c r="AH207" s="3"/>
      <c r="AI207" s="3"/>
    </row>
    <row r="208" spans="1:35" ht="15.75" customHeight="1">
      <c r="A208" s="3"/>
      <c r="B208" s="79"/>
      <c r="C208" s="80"/>
      <c r="D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81"/>
      <c r="AC208" s="80"/>
      <c r="AD208" s="3"/>
      <c r="AE208" s="3"/>
      <c r="AF208" s="3"/>
      <c r="AG208" s="3"/>
      <c r="AH208" s="3"/>
      <c r="AI208" s="3"/>
    </row>
    <row r="209" spans="1:35" ht="15.75" customHeight="1">
      <c r="A209" s="3"/>
      <c r="B209" s="79"/>
      <c r="C209" s="80"/>
      <c r="D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81"/>
      <c r="AC209" s="80"/>
      <c r="AD209" s="3"/>
      <c r="AE209" s="3"/>
      <c r="AF209" s="3"/>
      <c r="AG209" s="3"/>
      <c r="AH209" s="3"/>
      <c r="AI209" s="3"/>
    </row>
    <row r="210" spans="1:35" ht="15.75" customHeight="1">
      <c r="A210" s="3"/>
      <c r="B210" s="79"/>
      <c r="C210" s="80"/>
      <c r="D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81"/>
      <c r="AC210" s="80"/>
      <c r="AD210" s="3"/>
      <c r="AE210" s="3"/>
      <c r="AF210" s="3"/>
      <c r="AG210" s="3"/>
      <c r="AH210" s="3"/>
      <c r="AI210" s="3"/>
    </row>
    <row r="211" spans="1:35" ht="15.75" customHeight="1">
      <c r="A211" s="3"/>
      <c r="B211" s="79"/>
      <c r="C211" s="80"/>
      <c r="D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81"/>
      <c r="AC211" s="80"/>
      <c r="AD211" s="3"/>
      <c r="AE211" s="3"/>
      <c r="AF211" s="3"/>
      <c r="AG211" s="3"/>
      <c r="AH211" s="3"/>
      <c r="AI211" s="3"/>
    </row>
    <row r="212" spans="1:35" ht="15.75" customHeight="1">
      <c r="A212" s="3"/>
      <c r="B212" s="79"/>
      <c r="C212" s="80"/>
      <c r="D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81"/>
      <c r="AC212" s="80"/>
      <c r="AD212" s="3"/>
      <c r="AE212" s="3"/>
      <c r="AF212" s="3"/>
      <c r="AG212" s="3"/>
      <c r="AH212" s="3"/>
      <c r="AI212" s="3"/>
    </row>
    <row r="213" spans="1:35" ht="15.75" customHeight="1">
      <c r="A213" s="3"/>
      <c r="B213" s="79"/>
      <c r="C213" s="80"/>
      <c r="D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81"/>
      <c r="AC213" s="80"/>
      <c r="AD213" s="3"/>
      <c r="AE213" s="3"/>
      <c r="AF213" s="3"/>
      <c r="AG213" s="3"/>
      <c r="AH213" s="3"/>
      <c r="AI213" s="3"/>
    </row>
    <row r="214" spans="1:35" ht="15.75" customHeight="1">
      <c r="A214" s="3"/>
      <c r="B214" s="79"/>
      <c r="C214" s="80"/>
      <c r="D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81"/>
      <c r="AC214" s="80"/>
      <c r="AD214" s="3"/>
      <c r="AE214" s="3"/>
      <c r="AF214" s="3"/>
      <c r="AG214" s="3"/>
      <c r="AH214" s="3"/>
      <c r="AI214" s="3"/>
    </row>
    <row r="215" spans="1:35" ht="15.75" customHeight="1">
      <c r="A215" s="3"/>
      <c r="B215" s="79"/>
      <c r="C215" s="80"/>
      <c r="D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81"/>
      <c r="AC215" s="80"/>
      <c r="AD215" s="3"/>
      <c r="AE215" s="3"/>
      <c r="AF215" s="3"/>
      <c r="AG215" s="3"/>
      <c r="AH215" s="3"/>
      <c r="AI215" s="3"/>
    </row>
    <row r="216" spans="1:35" ht="15.75" customHeight="1">
      <c r="A216" s="3"/>
      <c r="B216" s="79"/>
      <c r="C216" s="80"/>
      <c r="D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81"/>
      <c r="AC216" s="80"/>
      <c r="AD216" s="3"/>
      <c r="AE216" s="3"/>
      <c r="AF216" s="3"/>
      <c r="AG216" s="3"/>
      <c r="AH216" s="3"/>
      <c r="AI216" s="3"/>
    </row>
    <row r="217" spans="1:35" ht="15.75" customHeight="1">
      <c r="A217" s="3"/>
      <c r="B217" s="79"/>
      <c r="C217" s="80"/>
      <c r="D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81"/>
      <c r="AC217" s="80"/>
      <c r="AD217" s="3"/>
      <c r="AE217" s="3"/>
      <c r="AF217" s="3"/>
      <c r="AG217" s="3"/>
      <c r="AH217" s="3"/>
      <c r="AI217" s="3"/>
    </row>
    <row r="218" spans="1:35" ht="15.75" customHeight="1">
      <c r="A218" s="3"/>
      <c r="B218" s="79"/>
      <c r="C218" s="80"/>
      <c r="D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81"/>
      <c r="AC218" s="80"/>
      <c r="AD218" s="3"/>
      <c r="AE218" s="3"/>
      <c r="AF218" s="3"/>
      <c r="AG218" s="3"/>
      <c r="AH218" s="3"/>
      <c r="AI218" s="3"/>
    </row>
    <row r="219" spans="1:35" ht="15.75" customHeight="1">
      <c r="A219" s="3"/>
      <c r="B219" s="79"/>
      <c r="C219" s="80"/>
      <c r="D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81"/>
      <c r="AC219" s="80"/>
      <c r="AD219" s="3"/>
      <c r="AE219" s="3"/>
      <c r="AF219" s="3"/>
      <c r="AG219" s="3"/>
      <c r="AH219" s="3"/>
      <c r="AI219" s="3"/>
    </row>
    <row r="220" spans="1:35" ht="15.75" customHeight="1">
      <c r="A220" s="3"/>
      <c r="B220" s="79"/>
      <c r="C220" s="80"/>
      <c r="D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81"/>
      <c r="AC220" s="80"/>
      <c r="AD220" s="3"/>
      <c r="AE220" s="3"/>
      <c r="AF220" s="3"/>
      <c r="AG220" s="3"/>
      <c r="AH220" s="3"/>
      <c r="AI220" s="3"/>
    </row>
    <row r="221" spans="1:35" ht="15.75" customHeight="1">
      <c r="A221" s="3"/>
      <c r="B221" s="79"/>
      <c r="C221" s="80"/>
      <c r="D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81"/>
      <c r="AC221" s="80"/>
      <c r="AD221" s="3"/>
      <c r="AE221" s="3"/>
      <c r="AF221" s="3"/>
      <c r="AG221" s="3"/>
      <c r="AH221" s="3"/>
      <c r="AI221" s="3"/>
    </row>
    <row r="222" spans="1:35" ht="15.75" customHeight="1">
      <c r="A222" s="3"/>
      <c r="B222" s="79"/>
      <c r="C222" s="80"/>
      <c r="D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81"/>
      <c r="AC222" s="80"/>
      <c r="AD222" s="3"/>
      <c r="AE222" s="3"/>
      <c r="AF222" s="3"/>
      <c r="AG222" s="3"/>
      <c r="AH222" s="3"/>
      <c r="AI222" s="3"/>
    </row>
    <row r="223" spans="1:35" ht="15.75" customHeight="1">
      <c r="A223" s="3"/>
      <c r="B223" s="79"/>
      <c r="C223" s="80"/>
      <c r="D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81"/>
      <c r="AC223" s="80"/>
      <c r="AD223" s="3"/>
      <c r="AE223" s="3"/>
      <c r="AF223" s="3"/>
      <c r="AG223" s="3"/>
      <c r="AH223" s="3"/>
      <c r="AI223" s="3"/>
    </row>
    <row r="224" spans="1:35" ht="15.75" customHeight="1">
      <c r="A224" s="3"/>
      <c r="B224" s="79"/>
      <c r="C224" s="80"/>
      <c r="D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81"/>
      <c r="AC224" s="80"/>
      <c r="AD224" s="3"/>
      <c r="AE224" s="3"/>
      <c r="AF224" s="3"/>
      <c r="AG224" s="3"/>
      <c r="AH224" s="3"/>
      <c r="AI224" s="3"/>
    </row>
    <row r="225" spans="1:35" ht="15.75" customHeight="1">
      <c r="A225" s="3"/>
      <c r="B225" s="79"/>
      <c r="C225" s="80"/>
      <c r="D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81"/>
      <c r="AC225" s="80"/>
      <c r="AD225" s="3"/>
      <c r="AE225" s="3"/>
      <c r="AF225" s="3"/>
      <c r="AG225" s="3"/>
      <c r="AH225" s="3"/>
      <c r="AI225" s="3"/>
    </row>
    <row r="226" spans="1:35" ht="15.75" customHeight="1">
      <c r="A226" s="3"/>
      <c r="B226" s="79"/>
      <c r="C226" s="80"/>
      <c r="D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81"/>
      <c r="AC226" s="80"/>
      <c r="AD226" s="3"/>
      <c r="AE226" s="3"/>
      <c r="AF226" s="3"/>
      <c r="AG226" s="3"/>
      <c r="AH226" s="3"/>
      <c r="AI226" s="3"/>
    </row>
    <row r="227" spans="1:35" ht="15.75" customHeight="1">
      <c r="A227" s="3"/>
      <c r="B227" s="79"/>
      <c r="C227" s="80"/>
      <c r="D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81"/>
      <c r="AC227" s="80"/>
      <c r="AD227" s="3"/>
      <c r="AE227" s="3"/>
      <c r="AF227" s="3"/>
      <c r="AG227" s="3"/>
      <c r="AH227" s="3"/>
      <c r="AI227" s="3"/>
    </row>
    <row r="228" spans="1:35" ht="15.75" customHeight="1">
      <c r="A228" s="3"/>
      <c r="B228" s="79"/>
      <c r="C228" s="80"/>
      <c r="D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81"/>
      <c r="AC228" s="80"/>
      <c r="AD228" s="3"/>
      <c r="AE228" s="3"/>
      <c r="AF228" s="3"/>
      <c r="AG228" s="3"/>
      <c r="AH228" s="3"/>
      <c r="AI228" s="3"/>
    </row>
    <row r="229" spans="1:35" ht="15.75" customHeight="1">
      <c r="A229" s="3"/>
      <c r="B229" s="79"/>
      <c r="C229" s="80"/>
      <c r="D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81"/>
      <c r="AC229" s="80"/>
      <c r="AD229" s="3"/>
      <c r="AE229" s="3"/>
      <c r="AF229" s="3"/>
      <c r="AG229" s="3"/>
      <c r="AH229" s="3"/>
      <c r="AI229" s="3"/>
    </row>
    <row r="230" spans="1:35" ht="15.75" customHeight="1">
      <c r="A230" s="3"/>
      <c r="B230" s="79"/>
      <c r="C230" s="80"/>
      <c r="D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81"/>
      <c r="AC230" s="80"/>
      <c r="AD230" s="3"/>
      <c r="AE230" s="3"/>
      <c r="AF230" s="3"/>
      <c r="AG230" s="3"/>
      <c r="AH230" s="3"/>
      <c r="AI230" s="3"/>
    </row>
    <row r="231" spans="1:35" ht="15.75" customHeight="1">
      <c r="A231" s="3"/>
      <c r="B231" s="79"/>
      <c r="C231" s="80"/>
      <c r="D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81"/>
      <c r="AC231" s="80"/>
      <c r="AD231" s="3"/>
      <c r="AE231" s="3"/>
      <c r="AF231" s="3"/>
      <c r="AG231" s="3"/>
      <c r="AH231" s="3"/>
      <c r="AI231" s="3"/>
    </row>
    <row r="232" spans="1:35" ht="15.75" customHeight="1">
      <c r="A232" s="3"/>
      <c r="B232" s="79"/>
      <c r="C232" s="80"/>
      <c r="D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81"/>
      <c r="AC232" s="80"/>
      <c r="AD232" s="3"/>
      <c r="AE232" s="3"/>
      <c r="AF232" s="3"/>
      <c r="AG232" s="3"/>
      <c r="AH232" s="3"/>
      <c r="AI232" s="3"/>
    </row>
    <row r="233" spans="1:35" ht="15.75" customHeight="1">
      <c r="A233" s="3"/>
      <c r="B233" s="79"/>
      <c r="C233" s="80"/>
      <c r="D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81"/>
      <c r="AC233" s="80"/>
      <c r="AD233" s="3"/>
      <c r="AE233" s="3"/>
      <c r="AF233" s="3"/>
      <c r="AG233" s="3"/>
      <c r="AH233" s="3"/>
      <c r="AI233" s="3"/>
    </row>
    <row r="234" spans="1:35" ht="15.75" customHeight="1">
      <c r="A234" s="3"/>
      <c r="B234" s="79"/>
      <c r="C234" s="80"/>
      <c r="D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81"/>
      <c r="AC234" s="80"/>
      <c r="AD234" s="3"/>
      <c r="AE234" s="3"/>
      <c r="AF234" s="3"/>
      <c r="AG234" s="3"/>
      <c r="AH234" s="3"/>
      <c r="AI234" s="3"/>
    </row>
    <row r="235" spans="1:35" ht="15.75" customHeight="1">
      <c r="A235" s="3"/>
      <c r="B235" s="79"/>
      <c r="C235" s="80"/>
      <c r="D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81"/>
      <c r="AC235" s="80"/>
      <c r="AD235" s="3"/>
      <c r="AE235" s="3"/>
      <c r="AF235" s="3"/>
      <c r="AG235" s="3"/>
      <c r="AH235" s="3"/>
      <c r="AI235" s="3"/>
    </row>
    <row r="236" spans="1:35" ht="15.75" customHeight="1">
      <c r="A236" s="3"/>
      <c r="B236" s="79"/>
      <c r="C236" s="80"/>
      <c r="D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81"/>
      <c r="AC236" s="80"/>
      <c r="AD236" s="3"/>
      <c r="AE236" s="3"/>
      <c r="AF236" s="3"/>
      <c r="AG236" s="3"/>
      <c r="AH236" s="3"/>
      <c r="AI236" s="3"/>
    </row>
    <row r="237" spans="1:35" ht="15.75" customHeight="1">
      <c r="A237" s="3"/>
      <c r="B237" s="79"/>
      <c r="C237" s="80"/>
      <c r="D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81"/>
      <c r="AC237" s="80"/>
      <c r="AD237" s="3"/>
      <c r="AE237" s="3"/>
      <c r="AF237" s="3"/>
      <c r="AG237" s="3"/>
      <c r="AH237" s="3"/>
      <c r="AI237" s="3"/>
    </row>
    <row r="238" spans="1:35" ht="15.75" customHeight="1">
      <c r="A238" s="3"/>
      <c r="B238" s="79"/>
      <c r="C238" s="80"/>
      <c r="D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81"/>
      <c r="AC238" s="80"/>
      <c r="AD238" s="3"/>
      <c r="AE238" s="3"/>
      <c r="AF238" s="3"/>
      <c r="AG238" s="3"/>
      <c r="AH238" s="3"/>
      <c r="AI238" s="3"/>
    </row>
    <row r="239" spans="1:35" ht="15.75" customHeight="1">
      <c r="A239" s="3"/>
      <c r="B239" s="79"/>
      <c r="C239" s="80"/>
      <c r="D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81"/>
      <c r="AC239" s="80"/>
      <c r="AD239" s="3"/>
      <c r="AE239" s="3"/>
      <c r="AF239" s="3"/>
      <c r="AG239" s="3"/>
      <c r="AH239" s="3"/>
      <c r="AI239" s="3"/>
    </row>
    <row r="240" spans="1:35" ht="15.75" customHeight="1">
      <c r="A240" s="3"/>
      <c r="B240" s="79"/>
      <c r="C240" s="80"/>
      <c r="D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81"/>
      <c r="AC240" s="80"/>
      <c r="AD240" s="3"/>
      <c r="AE240" s="3"/>
      <c r="AF240" s="3"/>
      <c r="AG240" s="3"/>
      <c r="AH240" s="3"/>
      <c r="AI240" s="3"/>
    </row>
    <row r="241" spans="1:35" ht="15.75" customHeight="1">
      <c r="A241" s="3"/>
      <c r="B241" s="79"/>
      <c r="C241" s="80"/>
      <c r="D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81"/>
      <c r="AC241" s="80"/>
      <c r="AD241" s="3"/>
      <c r="AE241" s="3"/>
      <c r="AF241" s="3"/>
      <c r="AG241" s="3"/>
      <c r="AH241" s="3"/>
      <c r="AI241" s="3"/>
    </row>
    <row r="242" spans="1:35" ht="15.75" customHeight="1">
      <c r="A242" s="3"/>
      <c r="B242" s="79"/>
      <c r="C242" s="80"/>
      <c r="D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81"/>
      <c r="AC242" s="80"/>
      <c r="AD242" s="3"/>
      <c r="AE242" s="3"/>
      <c r="AF242" s="3"/>
      <c r="AG242" s="3"/>
      <c r="AH242" s="3"/>
      <c r="AI242" s="3"/>
    </row>
    <row r="243" spans="1:35" ht="15.75" customHeight="1">
      <c r="A243" s="3"/>
      <c r="B243" s="79"/>
      <c r="C243" s="80"/>
      <c r="D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81"/>
      <c r="AC243" s="80"/>
      <c r="AD243" s="3"/>
      <c r="AE243" s="3"/>
      <c r="AF243" s="3"/>
      <c r="AG243" s="3"/>
      <c r="AH243" s="3"/>
      <c r="AI243" s="3"/>
    </row>
    <row r="244" spans="1:35" ht="15.75" customHeight="1">
      <c r="A244" s="3"/>
      <c r="B244" s="79"/>
      <c r="C244" s="80"/>
      <c r="D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81"/>
      <c r="AC244" s="80"/>
      <c r="AD244" s="3"/>
      <c r="AE244" s="3"/>
      <c r="AF244" s="3"/>
      <c r="AG244" s="3"/>
      <c r="AH244" s="3"/>
      <c r="AI244" s="3"/>
    </row>
    <row r="245" spans="1:35" ht="15.75" customHeight="1">
      <c r="A245" s="3"/>
      <c r="B245" s="79"/>
      <c r="C245" s="80"/>
      <c r="D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81"/>
      <c r="AC245" s="80"/>
      <c r="AD245" s="3"/>
      <c r="AE245" s="3"/>
      <c r="AF245" s="3"/>
      <c r="AG245" s="3"/>
      <c r="AH245" s="3"/>
      <c r="AI245" s="3"/>
    </row>
    <row r="246" spans="1:35" ht="15.75" customHeight="1">
      <c r="A246" s="3"/>
      <c r="B246" s="79"/>
      <c r="C246" s="80"/>
      <c r="D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81"/>
      <c r="AC246" s="80"/>
      <c r="AD246" s="3"/>
      <c r="AE246" s="3"/>
      <c r="AF246" s="3"/>
      <c r="AG246" s="3"/>
      <c r="AH246" s="3"/>
      <c r="AI246" s="3"/>
    </row>
    <row r="247" spans="1:35" ht="15.75" customHeight="1">
      <c r="A247" s="3"/>
      <c r="B247" s="79"/>
      <c r="C247" s="80"/>
      <c r="D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81"/>
      <c r="AC247" s="80"/>
      <c r="AD247" s="3"/>
      <c r="AE247" s="3"/>
      <c r="AF247" s="3"/>
      <c r="AG247" s="3"/>
      <c r="AH247" s="3"/>
      <c r="AI247" s="3"/>
    </row>
    <row r="248" spans="1:35" ht="15.75" customHeight="1">
      <c r="A248" s="3"/>
      <c r="B248" s="79"/>
      <c r="C248" s="80"/>
      <c r="D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81"/>
      <c r="AC248" s="80"/>
      <c r="AD248" s="3"/>
      <c r="AE248" s="3"/>
      <c r="AF248" s="3"/>
      <c r="AG248" s="3"/>
      <c r="AH248" s="3"/>
      <c r="AI248" s="3"/>
    </row>
    <row r="249" spans="1:35" ht="15.75" customHeight="1">
      <c r="A249" s="3"/>
      <c r="B249" s="79"/>
      <c r="C249" s="80"/>
      <c r="D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81"/>
      <c r="AC249" s="80"/>
      <c r="AD249" s="3"/>
      <c r="AE249" s="3"/>
      <c r="AF249" s="3"/>
      <c r="AG249" s="3"/>
      <c r="AH249" s="3"/>
      <c r="AI249" s="3"/>
    </row>
    <row r="250" spans="1:35" ht="15.75" customHeight="1">
      <c r="A250" s="3"/>
      <c r="B250" s="79"/>
      <c r="C250" s="80"/>
      <c r="D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81"/>
      <c r="AC250" s="80"/>
      <c r="AD250" s="3"/>
      <c r="AE250" s="3"/>
      <c r="AF250" s="3"/>
      <c r="AG250" s="3"/>
      <c r="AH250" s="3"/>
      <c r="AI250" s="3"/>
    </row>
    <row r="251" spans="1:35" ht="15.75" customHeight="1">
      <c r="A251" s="3"/>
      <c r="B251" s="79"/>
      <c r="C251" s="80"/>
      <c r="D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81"/>
      <c r="AC251" s="80"/>
      <c r="AD251" s="3"/>
      <c r="AE251" s="3"/>
      <c r="AF251" s="3"/>
      <c r="AG251" s="3"/>
      <c r="AH251" s="3"/>
      <c r="AI251" s="3"/>
    </row>
    <row r="252" spans="1:35" ht="15.75" customHeight="1">
      <c r="A252" s="3"/>
      <c r="B252" s="79"/>
      <c r="C252" s="80"/>
      <c r="D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81"/>
      <c r="AC252" s="80"/>
      <c r="AD252" s="3"/>
      <c r="AE252" s="3"/>
      <c r="AF252" s="3"/>
      <c r="AG252" s="3"/>
      <c r="AH252" s="3"/>
      <c r="AI252" s="3"/>
    </row>
    <row r="253" spans="1:35" ht="15.75" customHeight="1">
      <c r="A253" s="3"/>
      <c r="B253" s="79"/>
      <c r="C253" s="80"/>
      <c r="D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81"/>
      <c r="AC253" s="80"/>
      <c r="AD253" s="3"/>
      <c r="AE253" s="3"/>
      <c r="AF253" s="3"/>
      <c r="AG253" s="3"/>
      <c r="AH253" s="3"/>
      <c r="AI253" s="3"/>
    </row>
    <row r="254" spans="1:35" ht="15.75" customHeight="1">
      <c r="A254" s="3"/>
      <c r="B254" s="79"/>
      <c r="C254" s="80"/>
      <c r="D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81"/>
      <c r="AC254" s="80"/>
      <c r="AD254" s="3"/>
      <c r="AE254" s="3"/>
      <c r="AF254" s="3"/>
      <c r="AG254" s="3"/>
      <c r="AH254" s="3"/>
      <c r="AI254" s="3"/>
    </row>
    <row r="255" spans="1:35" ht="15.75" customHeight="1">
      <c r="A255" s="3"/>
      <c r="B255" s="79"/>
      <c r="C255" s="80"/>
      <c r="D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81"/>
      <c r="AC255" s="80"/>
      <c r="AD255" s="3"/>
      <c r="AE255" s="3"/>
      <c r="AF255" s="3"/>
      <c r="AG255" s="3"/>
      <c r="AH255" s="3"/>
      <c r="AI255" s="3"/>
    </row>
    <row r="256" spans="1:35" ht="15.75" customHeight="1">
      <c r="A256" s="3"/>
      <c r="B256" s="79"/>
      <c r="C256" s="80"/>
      <c r="D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81"/>
      <c r="AC256" s="80"/>
      <c r="AD256" s="3"/>
      <c r="AE256" s="3"/>
      <c r="AF256" s="3"/>
      <c r="AG256" s="3"/>
      <c r="AH256" s="3"/>
      <c r="AI256" s="3"/>
    </row>
    <row r="257" spans="1:35" ht="15.75" customHeight="1">
      <c r="A257" s="3"/>
      <c r="B257" s="79"/>
      <c r="C257" s="80"/>
      <c r="D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81"/>
      <c r="AC257" s="80"/>
      <c r="AD257" s="3"/>
      <c r="AE257" s="3"/>
      <c r="AF257" s="3"/>
      <c r="AG257" s="3"/>
      <c r="AH257" s="3"/>
      <c r="AI257" s="3"/>
    </row>
    <row r="258" spans="1:35" ht="15.75" customHeight="1">
      <c r="A258" s="3"/>
      <c r="B258" s="79"/>
      <c r="C258" s="80"/>
      <c r="D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81"/>
      <c r="AC258" s="80"/>
      <c r="AD258" s="3"/>
      <c r="AE258" s="3"/>
      <c r="AF258" s="3"/>
      <c r="AG258" s="3"/>
      <c r="AH258" s="3"/>
      <c r="AI258" s="3"/>
    </row>
    <row r="259" spans="1:35" ht="15.75" customHeight="1">
      <c r="A259" s="3"/>
      <c r="B259" s="79"/>
      <c r="C259" s="80"/>
      <c r="D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81"/>
      <c r="AC259" s="80"/>
      <c r="AD259" s="3"/>
      <c r="AE259" s="3"/>
      <c r="AF259" s="3"/>
      <c r="AG259" s="3"/>
      <c r="AH259" s="3"/>
      <c r="AI259" s="3"/>
    </row>
    <row r="260" spans="1:35" ht="15.75" customHeight="1">
      <c r="A260" s="3"/>
      <c r="B260" s="79"/>
      <c r="C260" s="80"/>
      <c r="D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81"/>
      <c r="AC260" s="80"/>
      <c r="AD260" s="3"/>
      <c r="AE260" s="3"/>
      <c r="AF260" s="3"/>
      <c r="AG260" s="3"/>
      <c r="AH260" s="3"/>
      <c r="AI260" s="3"/>
    </row>
    <row r="261" spans="1:35" ht="15.75" customHeight="1">
      <c r="A261" s="3"/>
      <c r="B261" s="79"/>
      <c r="C261" s="80"/>
      <c r="D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81"/>
      <c r="AC261" s="80"/>
      <c r="AD261" s="3"/>
      <c r="AE261" s="3"/>
      <c r="AF261" s="3"/>
      <c r="AG261" s="3"/>
      <c r="AH261" s="3"/>
      <c r="AI261" s="3"/>
    </row>
    <row r="262" spans="1:35" ht="15.75" customHeight="1">
      <c r="A262" s="3"/>
      <c r="B262" s="79"/>
      <c r="C262" s="80"/>
      <c r="D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81"/>
      <c r="AC262" s="80"/>
      <c r="AD262" s="3"/>
      <c r="AE262" s="3"/>
      <c r="AF262" s="3"/>
      <c r="AG262" s="3"/>
      <c r="AH262" s="3"/>
      <c r="AI262" s="3"/>
    </row>
    <row r="263" spans="1:35" ht="15.75" customHeight="1">
      <c r="A263" s="3"/>
      <c r="B263" s="79"/>
      <c r="C263" s="80"/>
      <c r="D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81"/>
      <c r="AC263" s="80"/>
      <c r="AD263" s="3"/>
      <c r="AE263" s="3"/>
      <c r="AF263" s="3"/>
      <c r="AG263" s="3"/>
      <c r="AH263" s="3"/>
      <c r="AI263" s="3"/>
    </row>
    <row r="264" spans="1:35" ht="15.75" customHeight="1">
      <c r="A264" s="3"/>
      <c r="B264" s="79"/>
      <c r="C264" s="80"/>
      <c r="D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81"/>
      <c r="AC264" s="80"/>
      <c r="AD264" s="3"/>
      <c r="AE264" s="3"/>
      <c r="AF264" s="3"/>
      <c r="AG264" s="3"/>
      <c r="AH264" s="3"/>
      <c r="AI264" s="3"/>
    </row>
    <row r="265" spans="1:35" ht="15.75" customHeight="1">
      <c r="A265" s="3"/>
      <c r="B265" s="79"/>
      <c r="C265" s="80"/>
      <c r="D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81"/>
      <c r="AC265" s="80"/>
      <c r="AD265" s="3"/>
      <c r="AE265" s="3"/>
      <c r="AF265" s="3"/>
      <c r="AG265" s="3"/>
      <c r="AH265" s="3"/>
      <c r="AI265" s="3"/>
    </row>
    <row r="266" spans="1:35" ht="15.75" customHeight="1">
      <c r="A266" s="3"/>
      <c r="B266" s="79"/>
      <c r="C266" s="80"/>
      <c r="D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81"/>
      <c r="AC266" s="80"/>
      <c r="AD266" s="3"/>
      <c r="AE266" s="3"/>
      <c r="AF266" s="3"/>
      <c r="AG266" s="3"/>
      <c r="AH266" s="3"/>
      <c r="AI266" s="3"/>
    </row>
    <row r="267" spans="1:35" ht="15.75" customHeight="1">
      <c r="A267" s="3"/>
      <c r="B267" s="79"/>
      <c r="C267" s="80"/>
      <c r="D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81"/>
      <c r="AC267" s="80"/>
      <c r="AD267" s="3"/>
      <c r="AE267" s="3"/>
      <c r="AF267" s="3"/>
      <c r="AG267" s="3"/>
      <c r="AH267" s="3"/>
      <c r="AI267" s="3"/>
    </row>
    <row r="268" spans="1:35" ht="15.75" customHeight="1">
      <c r="A268" s="3"/>
      <c r="B268" s="79"/>
      <c r="C268" s="80"/>
      <c r="D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81"/>
      <c r="AC268" s="80"/>
      <c r="AD268" s="3"/>
      <c r="AE268" s="3"/>
      <c r="AF268" s="3"/>
      <c r="AG268" s="3"/>
      <c r="AH268" s="3"/>
      <c r="AI268" s="3"/>
    </row>
    <row r="269" spans="1:35" ht="15.75" customHeight="1">
      <c r="A269" s="3"/>
      <c r="B269" s="79"/>
      <c r="C269" s="80"/>
      <c r="D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81"/>
      <c r="AC269" s="80"/>
      <c r="AD269" s="3"/>
      <c r="AE269" s="3"/>
      <c r="AF269" s="3"/>
      <c r="AG269" s="3"/>
      <c r="AH269" s="3"/>
      <c r="AI269" s="3"/>
    </row>
    <row r="270" spans="1:35" ht="15.75" customHeight="1">
      <c r="A270" s="3"/>
      <c r="B270" s="79"/>
      <c r="C270" s="80"/>
      <c r="D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81"/>
      <c r="AC270" s="80"/>
      <c r="AD270" s="3"/>
      <c r="AE270" s="3"/>
      <c r="AF270" s="3"/>
      <c r="AG270" s="3"/>
      <c r="AH270" s="3"/>
      <c r="AI270" s="3"/>
    </row>
    <row r="271" spans="1:35" ht="15.75" customHeight="1">
      <c r="A271" s="3"/>
      <c r="B271" s="79"/>
      <c r="C271" s="80"/>
      <c r="D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81"/>
      <c r="AC271" s="80"/>
      <c r="AD271" s="3"/>
      <c r="AE271" s="3"/>
      <c r="AF271" s="3"/>
      <c r="AG271" s="3"/>
      <c r="AH271" s="3"/>
      <c r="AI271" s="3"/>
    </row>
    <row r="272" spans="1:35" ht="15.75" customHeight="1">
      <c r="A272" s="3"/>
      <c r="B272" s="79"/>
      <c r="C272" s="80"/>
      <c r="D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81"/>
      <c r="AC272" s="80"/>
      <c r="AD272" s="3"/>
      <c r="AE272" s="3"/>
      <c r="AF272" s="3"/>
      <c r="AG272" s="3"/>
      <c r="AH272" s="3"/>
      <c r="AI272" s="3"/>
    </row>
    <row r="273" spans="1:35" ht="15.75" customHeight="1">
      <c r="A273" s="3"/>
      <c r="B273" s="79"/>
      <c r="C273" s="80"/>
      <c r="D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81"/>
      <c r="AC273" s="80"/>
      <c r="AD273" s="3"/>
      <c r="AE273" s="3"/>
      <c r="AF273" s="3"/>
      <c r="AG273" s="3"/>
      <c r="AH273" s="3"/>
      <c r="AI273" s="3"/>
    </row>
    <row r="274" spans="1:35" ht="15.75" customHeight="1">
      <c r="A274" s="3"/>
      <c r="B274" s="79"/>
      <c r="C274" s="80"/>
      <c r="D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81"/>
      <c r="AC274" s="80"/>
      <c r="AD274" s="3"/>
      <c r="AE274" s="3"/>
      <c r="AF274" s="3"/>
      <c r="AG274" s="3"/>
      <c r="AH274" s="3"/>
      <c r="AI274" s="3"/>
    </row>
    <row r="275" spans="1:35" ht="15.75" customHeight="1">
      <c r="A275" s="3"/>
      <c r="B275" s="79"/>
      <c r="C275" s="80"/>
      <c r="D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81"/>
      <c r="AC275" s="80"/>
      <c r="AD275" s="3"/>
      <c r="AE275" s="3"/>
      <c r="AF275" s="3"/>
      <c r="AG275" s="3"/>
      <c r="AH275" s="3"/>
      <c r="AI275" s="3"/>
    </row>
    <row r="276" spans="1:35" ht="15.75" customHeight="1">
      <c r="A276" s="3"/>
      <c r="B276" s="79"/>
      <c r="C276" s="80"/>
      <c r="D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81"/>
      <c r="AC276" s="80"/>
      <c r="AD276" s="3"/>
      <c r="AE276" s="3"/>
      <c r="AF276" s="3"/>
      <c r="AG276" s="3"/>
      <c r="AH276" s="3"/>
      <c r="AI276" s="3"/>
    </row>
    <row r="277" spans="1:35" ht="15.75" customHeight="1">
      <c r="A277" s="3"/>
      <c r="B277" s="79"/>
      <c r="C277" s="80"/>
      <c r="D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81"/>
      <c r="AC277" s="80"/>
      <c r="AD277" s="3"/>
      <c r="AE277" s="3"/>
      <c r="AF277" s="3"/>
      <c r="AG277" s="3"/>
      <c r="AH277" s="3"/>
      <c r="AI277" s="3"/>
    </row>
    <row r="278" spans="1:35" ht="15.75" customHeight="1">
      <c r="A278" s="3"/>
      <c r="B278" s="79"/>
      <c r="C278" s="80"/>
      <c r="D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81"/>
      <c r="AC278" s="80"/>
      <c r="AD278" s="3"/>
      <c r="AE278" s="3"/>
      <c r="AF278" s="3"/>
      <c r="AG278" s="3"/>
      <c r="AH278" s="3"/>
      <c r="AI278" s="3"/>
    </row>
    <row r="279" spans="1:35" ht="15.75" customHeight="1">
      <c r="A279" s="3"/>
      <c r="B279" s="79"/>
      <c r="C279" s="80"/>
      <c r="D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81"/>
      <c r="AC279" s="80"/>
      <c r="AD279" s="3"/>
      <c r="AE279" s="3"/>
      <c r="AF279" s="3"/>
      <c r="AG279" s="3"/>
      <c r="AH279" s="3"/>
      <c r="AI279" s="3"/>
    </row>
    <row r="280" spans="1:35" ht="15.75" customHeight="1">
      <c r="A280" s="3"/>
      <c r="B280" s="79"/>
      <c r="C280" s="80"/>
      <c r="D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81"/>
      <c r="AC280" s="80"/>
      <c r="AD280" s="3"/>
      <c r="AE280" s="3"/>
      <c r="AF280" s="3"/>
      <c r="AG280" s="3"/>
      <c r="AH280" s="3"/>
      <c r="AI280" s="3"/>
    </row>
    <row r="281" spans="1:35" ht="15.75" customHeight="1">
      <c r="A281" s="3"/>
      <c r="B281" s="79"/>
      <c r="C281" s="80"/>
      <c r="D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81"/>
      <c r="AC281" s="80"/>
      <c r="AD281" s="3"/>
      <c r="AE281" s="3"/>
      <c r="AF281" s="3"/>
      <c r="AG281" s="3"/>
      <c r="AH281" s="3"/>
      <c r="AI281" s="3"/>
    </row>
    <row r="282" spans="1:35" ht="15.75" customHeight="1">
      <c r="A282" s="3"/>
      <c r="B282" s="79"/>
      <c r="C282" s="80"/>
      <c r="D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81"/>
      <c r="AC282" s="80"/>
      <c r="AD282" s="3"/>
      <c r="AE282" s="3"/>
      <c r="AF282" s="3"/>
      <c r="AG282" s="3"/>
      <c r="AH282" s="3"/>
      <c r="AI282" s="3"/>
    </row>
    <row r="283" spans="1:35" ht="15.75" customHeight="1">
      <c r="A283" s="3"/>
      <c r="B283" s="79"/>
      <c r="C283" s="80"/>
      <c r="D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81"/>
      <c r="AC283" s="80"/>
      <c r="AD283" s="3"/>
      <c r="AE283" s="3"/>
      <c r="AF283" s="3"/>
      <c r="AG283" s="3"/>
      <c r="AH283" s="3"/>
      <c r="AI283" s="3"/>
    </row>
    <row r="284" spans="1:35" ht="15.75" customHeight="1">
      <c r="A284" s="3"/>
      <c r="B284" s="79"/>
      <c r="C284" s="80"/>
      <c r="D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81"/>
      <c r="AC284" s="80"/>
      <c r="AD284" s="3"/>
      <c r="AE284" s="3"/>
      <c r="AF284" s="3"/>
      <c r="AG284" s="3"/>
      <c r="AH284" s="3"/>
      <c r="AI284" s="3"/>
    </row>
    <row r="285" spans="1:35" ht="15.75" customHeight="1">
      <c r="A285" s="3"/>
      <c r="B285" s="79"/>
      <c r="C285" s="80"/>
      <c r="D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81"/>
      <c r="AC285" s="80"/>
      <c r="AD285" s="3"/>
      <c r="AE285" s="3"/>
      <c r="AF285" s="3"/>
      <c r="AG285" s="3"/>
      <c r="AH285" s="3"/>
      <c r="AI285" s="3"/>
    </row>
    <row r="286" spans="1:35" ht="15.75" customHeight="1">
      <c r="A286" s="3"/>
      <c r="B286" s="79"/>
      <c r="C286" s="80"/>
      <c r="D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81"/>
      <c r="AC286" s="80"/>
      <c r="AD286" s="3"/>
      <c r="AE286" s="3"/>
      <c r="AF286" s="3"/>
      <c r="AG286" s="3"/>
      <c r="AH286" s="3"/>
      <c r="AI286" s="3"/>
    </row>
    <row r="287" spans="1:35" ht="15.75" customHeight="1">
      <c r="A287" s="3"/>
      <c r="B287" s="79"/>
      <c r="C287" s="80"/>
      <c r="D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81"/>
      <c r="AC287" s="80"/>
      <c r="AD287" s="3"/>
      <c r="AE287" s="3"/>
      <c r="AF287" s="3"/>
      <c r="AG287" s="3"/>
      <c r="AH287" s="3"/>
      <c r="AI287" s="3"/>
    </row>
    <row r="288" spans="1:35" ht="15.75" customHeight="1">
      <c r="A288" s="3"/>
      <c r="B288" s="79"/>
      <c r="C288" s="80"/>
      <c r="D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81"/>
      <c r="AC288" s="80"/>
      <c r="AD288" s="3"/>
      <c r="AE288" s="3"/>
      <c r="AF288" s="3"/>
      <c r="AG288" s="3"/>
      <c r="AH288" s="3"/>
      <c r="AI288" s="3"/>
    </row>
    <row r="289" spans="1:35" ht="15.75" customHeight="1">
      <c r="A289" s="3"/>
      <c r="B289" s="79"/>
      <c r="C289" s="80"/>
      <c r="D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81"/>
      <c r="AC289" s="80"/>
      <c r="AD289" s="3"/>
      <c r="AE289" s="3"/>
      <c r="AF289" s="3"/>
      <c r="AG289" s="3"/>
      <c r="AH289" s="3"/>
      <c r="AI289" s="3"/>
    </row>
    <row r="290" spans="1:35" ht="15.75" customHeight="1">
      <c r="A290" s="3"/>
      <c r="B290" s="79"/>
      <c r="C290" s="80"/>
      <c r="D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81"/>
      <c r="AC290" s="80"/>
      <c r="AD290" s="3"/>
      <c r="AE290" s="3"/>
      <c r="AF290" s="3"/>
      <c r="AG290" s="3"/>
      <c r="AH290" s="3"/>
      <c r="AI290" s="3"/>
    </row>
    <row r="291" spans="1:35" ht="15.75" customHeight="1">
      <c r="A291" s="3"/>
      <c r="B291" s="79"/>
      <c r="C291" s="80"/>
      <c r="D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81"/>
      <c r="AC291" s="80"/>
      <c r="AD291" s="3"/>
      <c r="AE291" s="3"/>
      <c r="AF291" s="3"/>
      <c r="AG291" s="3"/>
      <c r="AH291" s="3"/>
      <c r="AI291" s="3"/>
    </row>
    <row r="292" spans="1:35" ht="15.75" customHeight="1">
      <c r="A292" s="3"/>
      <c r="B292" s="79"/>
      <c r="C292" s="80"/>
      <c r="D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81"/>
      <c r="AC292" s="80"/>
      <c r="AD292" s="3"/>
      <c r="AE292" s="3"/>
      <c r="AF292" s="3"/>
      <c r="AG292" s="3"/>
      <c r="AH292" s="3"/>
      <c r="AI292" s="3"/>
    </row>
    <row r="293" spans="1:35" ht="15.75" customHeight="1">
      <c r="A293" s="3"/>
      <c r="B293" s="79"/>
      <c r="C293" s="80"/>
      <c r="D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81"/>
      <c r="AC293" s="80"/>
      <c r="AD293" s="3"/>
      <c r="AE293" s="3"/>
      <c r="AF293" s="3"/>
      <c r="AG293" s="3"/>
      <c r="AH293" s="3"/>
      <c r="AI293" s="3"/>
    </row>
    <row r="294" spans="1:35" ht="15.75" customHeight="1">
      <c r="A294" s="3"/>
      <c r="B294" s="79"/>
      <c r="C294" s="80"/>
      <c r="D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81"/>
      <c r="AC294" s="80"/>
      <c r="AD294" s="3"/>
      <c r="AE294" s="3"/>
      <c r="AF294" s="3"/>
      <c r="AG294" s="3"/>
      <c r="AH294" s="3"/>
      <c r="AI294" s="3"/>
    </row>
    <row r="295" spans="1:35" ht="15.75" customHeight="1">
      <c r="A295" s="3"/>
      <c r="B295" s="79"/>
      <c r="C295" s="80"/>
      <c r="D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81"/>
      <c r="AC295" s="80"/>
      <c r="AD295" s="3"/>
      <c r="AE295" s="3"/>
      <c r="AF295" s="3"/>
      <c r="AG295" s="3"/>
      <c r="AH295" s="3"/>
      <c r="AI295" s="3"/>
    </row>
    <row r="296" spans="1:35" ht="15.75" customHeight="1">
      <c r="A296" s="3"/>
      <c r="B296" s="79"/>
      <c r="C296" s="80"/>
      <c r="D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81"/>
      <c r="AC296" s="80"/>
      <c r="AD296" s="3"/>
      <c r="AE296" s="3"/>
      <c r="AF296" s="3"/>
      <c r="AG296" s="3"/>
      <c r="AH296" s="3"/>
      <c r="AI296" s="3"/>
    </row>
    <row r="297" spans="1:35" ht="15.75" customHeight="1">
      <c r="A297" s="3"/>
      <c r="B297" s="79"/>
      <c r="C297" s="80"/>
      <c r="D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81"/>
      <c r="AC297" s="80"/>
      <c r="AD297" s="3"/>
      <c r="AE297" s="3"/>
      <c r="AF297" s="3"/>
      <c r="AG297" s="3"/>
      <c r="AH297" s="3"/>
      <c r="AI297" s="3"/>
    </row>
    <row r="298" spans="1:35" ht="15.75" customHeight="1">
      <c r="A298" s="3"/>
      <c r="B298" s="79"/>
      <c r="C298" s="80"/>
      <c r="D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81"/>
      <c r="AC298" s="80"/>
      <c r="AD298" s="3"/>
      <c r="AE298" s="3"/>
      <c r="AF298" s="3"/>
      <c r="AG298" s="3"/>
      <c r="AH298" s="3"/>
      <c r="AI298" s="3"/>
    </row>
    <row r="299" spans="1:35" ht="15.75" customHeight="1">
      <c r="A299" s="3"/>
      <c r="B299" s="79"/>
      <c r="C299" s="80"/>
      <c r="D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81"/>
      <c r="AC299" s="80"/>
      <c r="AD299" s="3"/>
      <c r="AE299" s="3"/>
      <c r="AF299" s="3"/>
      <c r="AG299" s="3"/>
      <c r="AH299" s="3"/>
      <c r="AI299" s="3"/>
    </row>
    <row r="300" spans="1:35" ht="15.75" customHeight="1">
      <c r="A300" s="3"/>
      <c r="B300" s="79"/>
      <c r="C300" s="80"/>
      <c r="D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81"/>
      <c r="AC300" s="80"/>
      <c r="AD300" s="3"/>
      <c r="AE300" s="3"/>
      <c r="AF300" s="3"/>
      <c r="AG300" s="3"/>
      <c r="AH300" s="3"/>
      <c r="AI300" s="3"/>
    </row>
    <row r="301" spans="1:35" ht="15.75" customHeight="1">
      <c r="A301" s="3"/>
      <c r="B301" s="79"/>
      <c r="C301" s="80"/>
      <c r="D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81"/>
      <c r="AC301" s="80"/>
      <c r="AD301" s="3"/>
      <c r="AE301" s="3"/>
      <c r="AF301" s="3"/>
      <c r="AG301" s="3"/>
      <c r="AH301" s="3"/>
      <c r="AI301" s="3"/>
    </row>
    <row r="302" spans="1:35" ht="15.75" customHeight="1">
      <c r="A302" s="3"/>
      <c r="B302" s="79"/>
      <c r="C302" s="80"/>
      <c r="D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81"/>
      <c r="AC302" s="80"/>
      <c r="AD302" s="3"/>
      <c r="AE302" s="3"/>
      <c r="AF302" s="3"/>
      <c r="AG302" s="3"/>
      <c r="AH302" s="3"/>
      <c r="AI302" s="3"/>
    </row>
    <row r="303" spans="1:35" ht="15.75" customHeight="1">
      <c r="A303" s="3"/>
      <c r="B303" s="79"/>
      <c r="C303" s="80"/>
      <c r="D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81"/>
      <c r="AC303" s="80"/>
      <c r="AD303" s="3"/>
      <c r="AE303" s="3"/>
      <c r="AF303" s="3"/>
      <c r="AG303" s="3"/>
      <c r="AH303" s="3"/>
      <c r="AI303" s="3"/>
    </row>
    <row r="304" spans="1:35" ht="15.75" customHeight="1">
      <c r="A304" s="3"/>
      <c r="B304" s="79"/>
      <c r="C304" s="80"/>
      <c r="D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81"/>
      <c r="AC304" s="80"/>
      <c r="AD304" s="3"/>
      <c r="AE304" s="3"/>
      <c r="AF304" s="3"/>
      <c r="AG304" s="3"/>
      <c r="AH304" s="3"/>
      <c r="AI304" s="3"/>
    </row>
    <row r="305" spans="1:35" ht="15.75" customHeight="1">
      <c r="A305" s="3"/>
      <c r="B305" s="79"/>
      <c r="C305" s="80"/>
      <c r="D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81"/>
      <c r="AC305" s="80"/>
      <c r="AD305" s="3"/>
      <c r="AE305" s="3"/>
      <c r="AF305" s="3"/>
      <c r="AG305" s="3"/>
      <c r="AH305" s="3"/>
      <c r="AI305" s="3"/>
    </row>
    <row r="306" spans="1:35" ht="15.75" customHeight="1">
      <c r="A306" s="3"/>
      <c r="B306" s="79"/>
      <c r="C306" s="80"/>
      <c r="D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81"/>
      <c r="AC306" s="80"/>
      <c r="AD306" s="3"/>
      <c r="AE306" s="3"/>
      <c r="AF306" s="3"/>
      <c r="AG306" s="3"/>
      <c r="AH306" s="3"/>
      <c r="AI306" s="3"/>
    </row>
    <row r="307" spans="1:35" ht="15.75" customHeight="1">
      <c r="A307" s="3"/>
      <c r="B307" s="79"/>
      <c r="C307" s="80"/>
      <c r="D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81"/>
      <c r="AC307" s="80"/>
      <c r="AD307" s="3"/>
      <c r="AE307" s="3"/>
      <c r="AF307" s="3"/>
      <c r="AG307" s="3"/>
      <c r="AH307" s="3"/>
      <c r="AI307" s="3"/>
    </row>
    <row r="308" spans="1:35" ht="15.75" customHeight="1">
      <c r="A308" s="3"/>
      <c r="B308" s="79"/>
      <c r="C308" s="80"/>
      <c r="D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81"/>
      <c r="AC308" s="80"/>
      <c r="AD308" s="3"/>
      <c r="AE308" s="3"/>
      <c r="AF308" s="3"/>
      <c r="AG308" s="3"/>
      <c r="AH308" s="3"/>
      <c r="AI308" s="3"/>
    </row>
    <row r="309" spans="1:35" ht="15.75" customHeight="1">
      <c r="A309" s="3"/>
      <c r="B309" s="79"/>
      <c r="C309" s="80"/>
      <c r="D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81"/>
      <c r="AC309" s="80"/>
      <c r="AD309" s="3"/>
      <c r="AE309" s="3"/>
      <c r="AF309" s="3"/>
      <c r="AG309" s="3"/>
      <c r="AH309" s="3"/>
      <c r="AI309" s="3"/>
    </row>
    <row r="310" spans="1:35" ht="15.75" customHeight="1">
      <c r="A310" s="3"/>
      <c r="B310" s="79"/>
      <c r="C310" s="80"/>
      <c r="D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81"/>
      <c r="AC310" s="80"/>
      <c r="AD310" s="3"/>
      <c r="AE310" s="3"/>
      <c r="AF310" s="3"/>
      <c r="AG310" s="3"/>
      <c r="AH310" s="3"/>
      <c r="AI310" s="3"/>
    </row>
    <row r="311" spans="1:35" ht="15.75" customHeight="1">
      <c r="A311" s="3"/>
      <c r="B311" s="79"/>
      <c r="C311" s="80"/>
      <c r="D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81"/>
      <c r="AC311" s="80"/>
      <c r="AD311" s="3"/>
      <c r="AE311" s="3"/>
      <c r="AF311" s="3"/>
      <c r="AG311" s="3"/>
      <c r="AH311" s="3"/>
      <c r="AI311" s="3"/>
    </row>
    <row r="312" spans="1:35" ht="15.75" customHeight="1">
      <c r="A312" s="3"/>
      <c r="B312" s="79"/>
      <c r="C312" s="80"/>
      <c r="D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81"/>
      <c r="AC312" s="80"/>
      <c r="AD312" s="3"/>
      <c r="AE312" s="3"/>
      <c r="AF312" s="3"/>
      <c r="AG312" s="3"/>
      <c r="AH312" s="3"/>
      <c r="AI312" s="3"/>
    </row>
    <row r="313" spans="1:35" ht="15.75" customHeight="1">
      <c r="A313" s="3"/>
      <c r="B313" s="79"/>
      <c r="C313" s="80"/>
      <c r="D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81"/>
      <c r="AC313" s="80"/>
      <c r="AD313" s="3"/>
      <c r="AE313" s="3"/>
      <c r="AF313" s="3"/>
      <c r="AG313" s="3"/>
      <c r="AH313" s="3"/>
      <c r="AI313" s="3"/>
    </row>
    <row r="314" spans="1:35" ht="15.75" customHeight="1">
      <c r="A314" s="3"/>
      <c r="B314" s="79"/>
      <c r="C314" s="80"/>
      <c r="D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81"/>
      <c r="AC314" s="80"/>
      <c r="AD314" s="3"/>
      <c r="AE314" s="3"/>
      <c r="AF314" s="3"/>
      <c r="AG314" s="3"/>
      <c r="AH314" s="3"/>
      <c r="AI314" s="3"/>
    </row>
    <row r="315" spans="1:35" ht="15.75" customHeight="1">
      <c r="A315" s="3"/>
      <c r="B315" s="79"/>
      <c r="C315" s="80"/>
      <c r="D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81"/>
      <c r="AC315" s="80"/>
      <c r="AD315" s="3"/>
      <c r="AE315" s="3"/>
      <c r="AF315" s="3"/>
      <c r="AG315" s="3"/>
      <c r="AH315" s="3"/>
      <c r="AI315" s="3"/>
    </row>
    <row r="316" spans="1:35" ht="15.75" customHeight="1">
      <c r="A316" s="3"/>
      <c r="B316" s="79"/>
      <c r="C316" s="80"/>
      <c r="D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81"/>
      <c r="AC316" s="80"/>
      <c r="AD316" s="3"/>
      <c r="AE316" s="3"/>
      <c r="AF316" s="3"/>
      <c r="AG316" s="3"/>
      <c r="AH316" s="3"/>
      <c r="AI316" s="3"/>
    </row>
    <row r="317" spans="1:35" ht="15.75" customHeight="1">
      <c r="A317" s="3"/>
      <c r="B317" s="79"/>
      <c r="C317" s="80"/>
      <c r="D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81"/>
      <c r="AC317" s="80"/>
      <c r="AD317" s="3"/>
      <c r="AE317" s="3"/>
      <c r="AF317" s="3"/>
      <c r="AG317" s="3"/>
      <c r="AH317" s="3"/>
      <c r="AI317" s="3"/>
    </row>
    <row r="318" spans="1:35" ht="15.75" customHeight="1">
      <c r="A318" s="3"/>
      <c r="B318" s="79"/>
      <c r="C318" s="80"/>
      <c r="D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81"/>
      <c r="AC318" s="80"/>
      <c r="AD318" s="3"/>
      <c r="AE318" s="3"/>
      <c r="AF318" s="3"/>
      <c r="AG318" s="3"/>
      <c r="AH318" s="3"/>
      <c r="AI318" s="3"/>
    </row>
    <row r="319" spans="1:35" ht="15.75" customHeight="1">
      <c r="A319" s="3"/>
      <c r="B319" s="79"/>
      <c r="C319" s="80"/>
      <c r="D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81"/>
      <c r="AC319" s="80"/>
      <c r="AD319" s="3"/>
      <c r="AE319" s="3"/>
      <c r="AF319" s="3"/>
      <c r="AG319" s="3"/>
      <c r="AH319" s="3"/>
      <c r="AI319" s="3"/>
    </row>
    <row r="320" spans="1:35" ht="15.75" customHeight="1">
      <c r="A320" s="3"/>
      <c r="B320" s="79"/>
      <c r="C320" s="80"/>
      <c r="D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81"/>
      <c r="AC320" s="80"/>
      <c r="AD320" s="3"/>
      <c r="AE320" s="3"/>
      <c r="AF320" s="3"/>
      <c r="AG320" s="3"/>
      <c r="AH320" s="3"/>
      <c r="AI320" s="3"/>
    </row>
    <row r="321" spans="1:35" ht="15.75" customHeight="1">
      <c r="A321" s="3"/>
      <c r="B321" s="79"/>
      <c r="C321" s="80"/>
      <c r="D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81"/>
      <c r="AC321" s="80"/>
      <c r="AD321" s="3"/>
      <c r="AE321" s="3"/>
      <c r="AF321" s="3"/>
      <c r="AG321" s="3"/>
      <c r="AH321" s="3"/>
      <c r="AI321" s="3"/>
    </row>
    <row r="322" spans="1:35" ht="15.75" customHeight="1">
      <c r="A322" s="3"/>
      <c r="B322" s="79"/>
      <c r="C322" s="80"/>
      <c r="D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81"/>
      <c r="AC322" s="80"/>
      <c r="AD322" s="3"/>
      <c r="AE322" s="3"/>
      <c r="AF322" s="3"/>
      <c r="AG322" s="3"/>
      <c r="AH322" s="3"/>
      <c r="AI322" s="3"/>
    </row>
    <row r="323" spans="1:35" ht="15.75" customHeight="1">
      <c r="A323" s="3"/>
      <c r="B323" s="79"/>
      <c r="C323" s="80"/>
      <c r="D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81"/>
      <c r="AC323" s="80"/>
      <c r="AD323" s="3"/>
      <c r="AE323" s="3"/>
      <c r="AF323" s="3"/>
      <c r="AG323" s="3"/>
      <c r="AH323" s="3"/>
      <c r="AI323" s="3"/>
    </row>
    <row r="324" spans="1:35" ht="15.75" customHeight="1">
      <c r="A324" s="3"/>
      <c r="B324" s="79"/>
      <c r="C324" s="80"/>
      <c r="D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81"/>
      <c r="AC324" s="80"/>
      <c r="AD324" s="3"/>
      <c r="AE324" s="3"/>
      <c r="AF324" s="3"/>
      <c r="AG324" s="3"/>
      <c r="AH324" s="3"/>
      <c r="AI324" s="3"/>
    </row>
    <row r="325" spans="1:35" ht="15.75" customHeight="1">
      <c r="A325" s="3"/>
      <c r="B325" s="79"/>
      <c r="C325" s="80"/>
      <c r="D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81"/>
      <c r="AC325" s="80"/>
      <c r="AD325" s="3"/>
      <c r="AE325" s="3"/>
      <c r="AF325" s="3"/>
      <c r="AG325" s="3"/>
      <c r="AH325" s="3"/>
      <c r="AI325" s="3"/>
    </row>
    <row r="326" spans="1:35" ht="15.75" customHeight="1">
      <c r="A326" s="3"/>
      <c r="B326" s="79"/>
      <c r="C326" s="80"/>
      <c r="D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81"/>
      <c r="AC326" s="80"/>
      <c r="AD326" s="3"/>
      <c r="AE326" s="3"/>
      <c r="AF326" s="3"/>
      <c r="AG326" s="3"/>
      <c r="AH326" s="3"/>
      <c r="AI326" s="3"/>
    </row>
    <row r="327" spans="1:35" ht="15.75" customHeight="1">
      <c r="A327" s="3"/>
      <c r="B327" s="79"/>
      <c r="C327" s="80"/>
      <c r="D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81"/>
      <c r="AC327" s="80"/>
      <c r="AD327" s="3"/>
      <c r="AE327" s="3"/>
      <c r="AF327" s="3"/>
      <c r="AG327" s="3"/>
      <c r="AH327" s="3"/>
      <c r="AI327" s="3"/>
    </row>
    <row r="328" spans="1:35" ht="15.75" customHeight="1">
      <c r="A328" s="3"/>
      <c r="B328" s="79"/>
      <c r="C328" s="80"/>
      <c r="D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81"/>
      <c r="AC328" s="80"/>
      <c r="AD328" s="3"/>
      <c r="AE328" s="3"/>
      <c r="AF328" s="3"/>
      <c r="AG328" s="3"/>
      <c r="AH328" s="3"/>
      <c r="AI328" s="3"/>
    </row>
    <row r="329" spans="1:35" ht="15.75" customHeight="1">
      <c r="A329" s="3"/>
      <c r="B329" s="79"/>
      <c r="C329" s="80"/>
      <c r="D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81"/>
      <c r="AC329" s="80"/>
      <c r="AD329" s="3"/>
      <c r="AE329" s="3"/>
      <c r="AF329" s="3"/>
      <c r="AG329" s="3"/>
      <c r="AH329" s="3"/>
      <c r="AI329" s="3"/>
    </row>
    <row r="330" spans="1:35" ht="15.75" customHeight="1">
      <c r="A330" s="3"/>
      <c r="B330" s="79"/>
      <c r="C330" s="80"/>
      <c r="D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81"/>
      <c r="AC330" s="80"/>
      <c r="AD330" s="3"/>
      <c r="AE330" s="3"/>
      <c r="AF330" s="3"/>
      <c r="AG330" s="3"/>
      <c r="AH330" s="3"/>
      <c r="AI330" s="3"/>
    </row>
    <row r="331" spans="1:35" ht="15.75" customHeight="1">
      <c r="A331" s="3"/>
      <c r="B331" s="79"/>
      <c r="C331" s="80"/>
      <c r="D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81"/>
      <c r="AC331" s="80"/>
      <c r="AD331" s="3"/>
      <c r="AE331" s="3"/>
      <c r="AF331" s="3"/>
      <c r="AG331" s="3"/>
      <c r="AH331" s="3"/>
      <c r="AI331" s="3"/>
    </row>
    <row r="332" spans="1:35" ht="15.75" customHeight="1">
      <c r="A332" s="3"/>
      <c r="B332" s="79"/>
      <c r="C332" s="80"/>
      <c r="D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81"/>
      <c r="AC332" s="80"/>
      <c r="AD332" s="3"/>
      <c r="AE332" s="3"/>
      <c r="AF332" s="3"/>
      <c r="AG332" s="3"/>
      <c r="AH332" s="3"/>
      <c r="AI332" s="3"/>
    </row>
    <row r="333" spans="1:35" ht="15.75" customHeight="1">
      <c r="A333" s="3"/>
      <c r="B333" s="79"/>
      <c r="C333" s="80"/>
      <c r="D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81"/>
      <c r="AC333" s="80"/>
      <c r="AD333" s="3"/>
      <c r="AE333" s="3"/>
      <c r="AF333" s="3"/>
      <c r="AG333" s="3"/>
      <c r="AH333" s="3"/>
      <c r="AI333" s="3"/>
    </row>
    <row r="334" spans="1:35" ht="15.75" customHeight="1">
      <c r="A334" s="3"/>
      <c r="B334" s="79"/>
      <c r="C334" s="80"/>
      <c r="D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81"/>
      <c r="AC334" s="80"/>
      <c r="AD334" s="3"/>
      <c r="AE334" s="3"/>
      <c r="AF334" s="3"/>
      <c r="AG334" s="3"/>
      <c r="AH334" s="3"/>
      <c r="AI334" s="3"/>
    </row>
    <row r="335" spans="1:35" ht="15.75" customHeight="1">
      <c r="A335" s="3"/>
      <c r="B335" s="79"/>
      <c r="C335" s="80"/>
      <c r="D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81"/>
      <c r="AC335" s="80"/>
      <c r="AD335" s="3"/>
      <c r="AE335" s="3"/>
      <c r="AF335" s="3"/>
      <c r="AG335" s="3"/>
      <c r="AH335" s="3"/>
      <c r="AI335" s="3"/>
    </row>
    <row r="336" spans="1:35" ht="15.75" customHeight="1">
      <c r="A336" s="3"/>
      <c r="B336" s="79"/>
      <c r="C336" s="80"/>
      <c r="D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81"/>
      <c r="AC336" s="80"/>
      <c r="AD336" s="3"/>
      <c r="AE336" s="3"/>
      <c r="AF336" s="3"/>
      <c r="AG336" s="3"/>
      <c r="AH336" s="3"/>
      <c r="AI336" s="3"/>
    </row>
    <row r="337" spans="1:35" ht="15.75" customHeight="1">
      <c r="A337" s="3"/>
      <c r="B337" s="79"/>
      <c r="C337" s="80"/>
      <c r="D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81"/>
      <c r="AC337" s="80"/>
      <c r="AD337" s="3"/>
      <c r="AE337" s="3"/>
      <c r="AF337" s="3"/>
      <c r="AG337" s="3"/>
      <c r="AH337" s="3"/>
      <c r="AI337" s="3"/>
    </row>
    <row r="338" spans="1:35" ht="15.75" customHeight="1">
      <c r="A338" s="3"/>
      <c r="B338" s="79"/>
      <c r="C338" s="80"/>
      <c r="D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81"/>
      <c r="AC338" s="80"/>
      <c r="AD338" s="3"/>
      <c r="AE338" s="3"/>
      <c r="AF338" s="3"/>
      <c r="AG338" s="3"/>
      <c r="AH338" s="3"/>
      <c r="AI338" s="3"/>
    </row>
    <row r="339" spans="1:35" ht="15.75" customHeight="1">
      <c r="A339" s="3"/>
      <c r="B339" s="79"/>
      <c r="C339" s="80"/>
      <c r="D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81"/>
      <c r="AC339" s="80"/>
      <c r="AD339" s="3"/>
      <c r="AE339" s="3"/>
      <c r="AF339" s="3"/>
      <c r="AG339" s="3"/>
      <c r="AH339" s="3"/>
      <c r="AI339" s="3"/>
    </row>
    <row r="340" spans="1:35" ht="15.75" customHeight="1">
      <c r="A340" s="3"/>
      <c r="B340" s="79"/>
      <c r="C340" s="80"/>
      <c r="D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81"/>
      <c r="AC340" s="80"/>
      <c r="AD340" s="3"/>
      <c r="AE340" s="3"/>
      <c r="AF340" s="3"/>
      <c r="AG340" s="3"/>
      <c r="AH340" s="3"/>
      <c r="AI340" s="3"/>
    </row>
    <row r="341" spans="1:35" ht="15.75" customHeight="1">
      <c r="A341" s="3"/>
      <c r="B341" s="79"/>
      <c r="C341" s="80"/>
      <c r="D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81"/>
      <c r="AC341" s="80"/>
      <c r="AD341" s="3"/>
      <c r="AE341" s="3"/>
      <c r="AF341" s="3"/>
      <c r="AG341" s="3"/>
      <c r="AH341" s="3"/>
      <c r="AI341" s="3"/>
    </row>
    <row r="342" spans="1:35" ht="15.75" customHeight="1">
      <c r="A342" s="3"/>
      <c r="B342" s="79"/>
      <c r="C342" s="80"/>
      <c r="D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81"/>
      <c r="AC342" s="80"/>
      <c r="AD342" s="3"/>
      <c r="AE342" s="3"/>
      <c r="AF342" s="3"/>
      <c r="AG342" s="3"/>
      <c r="AH342" s="3"/>
      <c r="AI342" s="3"/>
    </row>
    <row r="343" spans="1:35" ht="15.75" customHeight="1">
      <c r="A343" s="3"/>
      <c r="B343" s="79"/>
      <c r="C343" s="80"/>
      <c r="D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81"/>
      <c r="AC343" s="80"/>
      <c r="AD343" s="3"/>
      <c r="AE343" s="3"/>
      <c r="AF343" s="3"/>
      <c r="AG343" s="3"/>
      <c r="AH343" s="3"/>
      <c r="AI343" s="3"/>
    </row>
    <row r="344" spans="1:35" ht="15.75" customHeight="1">
      <c r="A344" s="3"/>
      <c r="B344" s="79"/>
      <c r="C344" s="80"/>
      <c r="D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81"/>
      <c r="AC344" s="80"/>
      <c r="AD344" s="3"/>
      <c r="AE344" s="3"/>
      <c r="AF344" s="3"/>
      <c r="AG344" s="3"/>
      <c r="AH344" s="3"/>
      <c r="AI344" s="3"/>
    </row>
    <row r="345" spans="1:35" ht="15.75" customHeight="1">
      <c r="A345" s="3"/>
      <c r="B345" s="79"/>
      <c r="C345" s="80"/>
      <c r="D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81"/>
      <c r="AC345" s="80"/>
      <c r="AD345" s="3"/>
      <c r="AE345" s="3"/>
      <c r="AF345" s="3"/>
      <c r="AG345" s="3"/>
      <c r="AH345" s="3"/>
      <c r="AI345" s="3"/>
    </row>
    <row r="346" spans="1:35" ht="15.75" customHeight="1">
      <c r="A346" s="3"/>
      <c r="B346" s="79"/>
      <c r="C346" s="80"/>
      <c r="D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81"/>
      <c r="AC346" s="80"/>
      <c r="AD346" s="3"/>
      <c r="AE346" s="3"/>
      <c r="AF346" s="3"/>
      <c r="AG346" s="3"/>
      <c r="AH346" s="3"/>
      <c r="AI346" s="3"/>
    </row>
    <row r="347" spans="1:35" ht="15.75" customHeight="1">
      <c r="A347" s="3"/>
      <c r="B347" s="79"/>
      <c r="C347" s="80"/>
      <c r="D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81"/>
      <c r="AC347" s="80"/>
      <c r="AD347" s="3"/>
      <c r="AE347" s="3"/>
      <c r="AF347" s="3"/>
      <c r="AG347" s="3"/>
      <c r="AH347" s="3"/>
      <c r="AI347" s="3"/>
    </row>
    <row r="348" spans="1:35" ht="15.75" customHeight="1">
      <c r="A348" s="3"/>
      <c r="B348" s="79"/>
      <c r="C348" s="80"/>
      <c r="D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81"/>
      <c r="AC348" s="80"/>
      <c r="AD348" s="3"/>
      <c r="AE348" s="3"/>
      <c r="AF348" s="3"/>
      <c r="AG348" s="3"/>
      <c r="AH348" s="3"/>
      <c r="AI348" s="3"/>
    </row>
    <row r="349" spans="1:35" ht="15.75" customHeight="1">
      <c r="A349" s="3"/>
      <c r="B349" s="79"/>
      <c r="C349" s="80"/>
      <c r="D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81"/>
      <c r="AC349" s="80"/>
      <c r="AD349" s="3"/>
      <c r="AE349" s="3"/>
      <c r="AF349" s="3"/>
      <c r="AG349" s="3"/>
      <c r="AH349" s="3"/>
      <c r="AI349" s="3"/>
    </row>
    <row r="350" spans="1:35" ht="15.75" customHeight="1">
      <c r="A350" s="3"/>
      <c r="B350" s="79"/>
      <c r="C350" s="80"/>
      <c r="D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81"/>
      <c r="AC350" s="80"/>
      <c r="AD350" s="3"/>
      <c r="AE350" s="3"/>
      <c r="AF350" s="3"/>
      <c r="AG350" s="3"/>
      <c r="AH350" s="3"/>
      <c r="AI350" s="3"/>
    </row>
    <row r="351" spans="1:35" ht="15.75" customHeight="1">
      <c r="A351" s="3"/>
      <c r="B351" s="79"/>
      <c r="C351" s="80"/>
      <c r="D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81"/>
      <c r="AC351" s="80"/>
      <c r="AD351" s="3"/>
      <c r="AE351" s="3"/>
      <c r="AF351" s="3"/>
      <c r="AG351" s="3"/>
      <c r="AH351" s="3"/>
      <c r="AI351" s="3"/>
    </row>
    <row r="352" spans="1:35" ht="15.75" customHeight="1">
      <c r="A352" s="3"/>
      <c r="B352" s="79"/>
      <c r="C352" s="80"/>
      <c r="D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81"/>
      <c r="AC352" s="80"/>
      <c r="AD352" s="3"/>
      <c r="AE352" s="3"/>
      <c r="AF352" s="3"/>
      <c r="AG352" s="3"/>
      <c r="AH352" s="3"/>
      <c r="AI352" s="3"/>
    </row>
    <row r="353" spans="1:35" ht="15.75" customHeight="1">
      <c r="A353" s="3"/>
      <c r="B353" s="79"/>
      <c r="C353" s="80"/>
      <c r="D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81"/>
      <c r="AC353" s="80"/>
      <c r="AD353" s="3"/>
      <c r="AE353" s="3"/>
      <c r="AF353" s="3"/>
      <c r="AG353" s="3"/>
      <c r="AH353" s="3"/>
      <c r="AI353" s="3"/>
    </row>
    <row r="354" spans="1:35" ht="15.75" customHeight="1">
      <c r="A354" s="3"/>
      <c r="B354" s="79"/>
      <c r="C354" s="80"/>
      <c r="D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81"/>
      <c r="AC354" s="80"/>
      <c r="AD354" s="3"/>
      <c r="AE354" s="3"/>
      <c r="AF354" s="3"/>
      <c r="AG354" s="3"/>
      <c r="AH354" s="3"/>
      <c r="AI354" s="3"/>
    </row>
    <row r="355" spans="1:35" ht="15.75" customHeight="1">
      <c r="A355" s="3"/>
      <c r="B355" s="79"/>
      <c r="C355" s="80"/>
      <c r="D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81"/>
      <c r="AC355" s="80"/>
      <c r="AD355" s="3"/>
      <c r="AE355" s="3"/>
      <c r="AF355" s="3"/>
      <c r="AG355" s="3"/>
      <c r="AH355" s="3"/>
      <c r="AI355" s="3"/>
    </row>
    <row r="356" spans="1:35" ht="15.75" customHeight="1">
      <c r="A356" s="3"/>
      <c r="B356" s="79"/>
      <c r="C356" s="80"/>
      <c r="D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81"/>
      <c r="AC356" s="80"/>
      <c r="AD356" s="3"/>
      <c r="AE356" s="3"/>
      <c r="AF356" s="3"/>
      <c r="AG356" s="3"/>
      <c r="AH356" s="3"/>
      <c r="AI356" s="3"/>
    </row>
    <row r="357" spans="1:35" ht="15.75" customHeight="1">
      <c r="A357" s="3"/>
      <c r="B357" s="79"/>
      <c r="C357" s="80"/>
      <c r="D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81"/>
      <c r="AC357" s="80"/>
      <c r="AD357" s="3"/>
      <c r="AE357" s="3"/>
      <c r="AF357" s="3"/>
      <c r="AG357" s="3"/>
      <c r="AH357" s="3"/>
      <c r="AI357" s="3"/>
    </row>
    <row r="358" spans="1:35" ht="15.75" customHeight="1">
      <c r="A358" s="3"/>
      <c r="B358" s="79"/>
      <c r="C358" s="80"/>
      <c r="D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81"/>
      <c r="AC358" s="80"/>
      <c r="AD358" s="3"/>
      <c r="AE358" s="3"/>
      <c r="AF358" s="3"/>
      <c r="AG358" s="3"/>
      <c r="AH358" s="3"/>
      <c r="AI358" s="3"/>
    </row>
    <row r="359" spans="1:35" ht="15.75" customHeight="1">
      <c r="A359" s="3"/>
      <c r="B359" s="79"/>
      <c r="C359" s="80"/>
      <c r="D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81"/>
      <c r="AC359" s="80"/>
      <c r="AD359" s="3"/>
      <c r="AE359" s="3"/>
      <c r="AF359" s="3"/>
      <c r="AG359" s="3"/>
      <c r="AH359" s="3"/>
      <c r="AI359" s="3"/>
    </row>
    <row r="360" spans="1:35" ht="15.75" customHeight="1">
      <c r="A360" s="3"/>
      <c r="B360" s="79"/>
      <c r="C360" s="80"/>
      <c r="D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81"/>
      <c r="AC360" s="80"/>
      <c r="AD360" s="3"/>
      <c r="AE360" s="3"/>
      <c r="AF360" s="3"/>
      <c r="AG360" s="3"/>
      <c r="AH360" s="3"/>
      <c r="AI360" s="3"/>
    </row>
    <row r="361" spans="1:35" ht="15.75" customHeight="1">
      <c r="A361" s="3"/>
      <c r="B361" s="79"/>
      <c r="C361" s="80"/>
      <c r="D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81"/>
      <c r="AC361" s="80"/>
      <c r="AD361" s="3"/>
      <c r="AE361" s="3"/>
      <c r="AF361" s="3"/>
      <c r="AG361" s="3"/>
      <c r="AH361" s="3"/>
      <c r="AI361" s="3"/>
    </row>
    <row r="362" spans="1:35" ht="15.75" customHeight="1">
      <c r="A362" s="3"/>
      <c r="B362" s="79"/>
      <c r="C362" s="80"/>
      <c r="D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81"/>
      <c r="AC362" s="80"/>
      <c r="AD362" s="3"/>
      <c r="AE362" s="3"/>
      <c r="AF362" s="3"/>
      <c r="AG362" s="3"/>
      <c r="AH362" s="3"/>
      <c r="AI362" s="3"/>
    </row>
    <row r="363" spans="1:35" ht="15.75" customHeight="1">
      <c r="A363" s="3"/>
      <c r="B363" s="79"/>
      <c r="C363" s="80"/>
      <c r="D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81"/>
      <c r="AC363" s="80"/>
      <c r="AD363" s="3"/>
      <c r="AE363" s="3"/>
      <c r="AF363" s="3"/>
      <c r="AG363" s="3"/>
      <c r="AH363" s="3"/>
      <c r="AI363" s="3"/>
    </row>
    <row r="364" spans="1:35" ht="15.75" customHeight="1">
      <c r="A364" s="3"/>
      <c r="B364" s="79"/>
      <c r="C364" s="80"/>
      <c r="D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81"/>
      <c r="AC364" s="80"/>
      <c r="AD364" s="3"/>
      <c r="AE364" s="3"/>
      <c r="AF364" s="3"/>
      <c r="AG364" s="3"/>
      <c r="AH364" s="3"/>
      <c r="AI364" s="3"/>
    </row>
    <row r="365" spans="1:35" ht="15.75" customHeight="1">
      <c r="A365" s="3"/>
      <c r="B365" s="79"/>
      <c r="C365" s="80"/>
      <c r="D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81"/>
      <c r="AC365" s="80"/>
      <c r="AD365" s="3"/>
      <c r="AE365" s="3"/>
      <c r="AF365" s="3"/>
      <c r="AG365" s="3"/>
      <c r="AH365" s="3"/>
      <c r="AI365" s="3"/>
    </row>
    <row r="366" spans="1:35" ht="15.75" customHeight="1">
      <c r="A366" s="3"/>
      <c r="B366" s="79"/>
      <c r="C366" s="80"/>
      <c r="D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81"/>
      <c r="AC366" s="80"/>
      <c r="AD366" s="3"/>
      <c r="AE366" s="3"/>
      <c r="AF366" s="3"/>
      <c r="AG366" s="3"/>
      <c r="AH366" s="3"/>
      <c r="AI366" s="3"/>
    </row>
    <row r="367" spans="1:35" ht="15.75" customHeight="1">
      <c r="A367" s="3"/>
      <c r="B367" s="79"/>
      <c r="C367" s="80"/>
      <c r="D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81"/>
      <c r="AC367" s="80"/>
      <c r="AD367" s="3"/>
      <c r="AE367" s="3"/>
      <c r="AF367" s="3"/>
      <c r="AG367" s="3"/>
      <c r="AH367" s="3"/>
      <c r="AI367" s="3"/>
    </row>
    <row r="368" spans="1:35" ht="15.75" customHeight="1">
      <c r="A368" s="3"/>
      <c r="B368" s="79"/>
      <c r="C368" s="80"/>
      <c r="D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81"/>
      <c r="AC368" s="80"/>
      <c r="AD368" s="3"/>
      <c r="AE368" s="3"/>
      <c r="AF368" s="3"/>
      <c r="AG368" s="3"/>
      <c r="AH368" s="3"/>
      <c r="AI368" s="3"/>
    </row>
    <row r="369" spans="1:35" ht="15.75" customHeight="1">
      <c r="A369" s="3"/>
      <c r="B369" s="79"/>
      <c r="C369" s="80"/>
      <c r="D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81"/>
      <c r="AC369" s="80"/>
      <c r="AD369" s="3"/>
      <c r="AE369" s="3"/>
      <c r="AF369" s="3"/>
      <c r="AG369" s="3"/>
      <c r="AH369" s="3"/>
      <c r="AI369" s="3"/>
    </row>
    <row r="370" spans="1:35" ht="15.75" customHeight="1">
      <c r="A370" s="3"/>
      <c r="B370" s="79"/>
      <c r="C370" s="80"/>
      <c r="D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81"/>
      <c r="AC370" s="80"/>
      <c r="AD370" s="3"/>
      <c r="AE370" s="3"/>
      <c r="AF370" s="3"/>
      <c r="AG370" s="3"/>
      <c r="AH370" s="3"/>
      <c r="AI370" s="3"/>
    </row>
    <row r="371" spans="1:35" ht="15.75" customHeight="1">
      <c r="A371" s="3"/>
      <c r="B371" s="79"/>
      <c r="C371" s="80"/>
      <c r="D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81"/>
      <c r="AC371" s="80"/>
      <c r="AD371" s="3"/>
      <c r="AE371" s="3"/>
      <c r="AF371" s="3"/>
      <c r="AG371" s="3"/>
      <c r="AH371" s="3"/>
      <c r="AI371" s="3"/>
    </row>
    <row r="372" spans="1:35" ht="15.75" customHeight="1">
      <c r="A372" s="3"/>
      <c r="B372" s="79"/>
      <c r="C372" s="80"/>
      <c r="D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81"/>
      <c r="AC372" s="80"/>
      <c r="AD372" s="3"/>
      <c r="AE372" s="3"/>
      <c r="AF372" s="3"/>
      <c r="AG372" s="3"/>
      <c r="AH372" s="3"/>
      <c r="AI372" s="3"/>
    </row>
    <row r="373" spans="1:35" ht="15.75" customHeight="1">
      <c r="A373" s="3"/>
      <c r="B373" s="79"/>
      <c r="C373" s="80"/>
      <c r="D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81"/>
      <c r="AC373" s="80"/>
      <c r="AD373" s="3"/>
      <c r="AE373" s="3"/>
      <c r="AF373" s="3"/>
      <c r="AG373" s="3"/>
      <c r="AH373" s="3"/>
      <c r="AI373" s="3"/>
    </row>
    <row r="374" spans="1:35" ht="15.75" customHeight="1">
      <c r="A374" s="3"/>
      <c r="B374" s="79"/>
      <c r="C374" s="80"/>
      <c r="D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81"/>
      <c r="AC374" s="80"/>
      <c r="AD374" s="3"/>
      <c r="AE374" s="3"/>
      <c r="AF374" s="3"/>
      <c r="AG374" s="3"/>
      <c r="AH374" s="3"/>
      <c r="AI374" s="3"/>
    </row>
    <row r="375" spans="1:35" ht="15.75" customHeight="1">
      <c r="A375" s="3"/>
      <c r="B375" s="79"/>
      <c r="C375" s="80"/>
      <c r="D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81"/>
      <c r="AC375" s="80"/>
      <c r="AD375" s="3"/>
      <c r="AE375" s="3"/>
      <c r="AF375" s="3"/>
      <c r="AG375" s="3"/>
      <c r="AH375" s="3"/>
      <c r="AI375" s="3"/>
    </row>
    <row r="376" spans="1:35" ht="15.75" customHeight="1">
      <c r="A376" s="3"/>
      <c r="B376" s="79"/>
      <c r="C376" s="80"/>
      <c r="D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81"/>
      <c r="AC376" s="80"/>
      <c r="AD376" s="3"/>
      <c r="AE376" s="3"/>
      <c r="AF376" s="3"/>
      <c r="AG376" s="3"/>
      <c r="AH376" s="3"/>
      <c r="AI376" s="3"/>
    </row>
    <row r="377" spans="1:35" ht="15.75" customHeight="1">
      <c r="A377" s="3"/>
      <c r="B377" s="79"/>
      <c r="C377" s="80"/>
      <c r="D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81"/>
      <c r="AC377" s="80"/>
      <c r="AD377" s="3"/>
      <c r="AE377" s="3"/>
      <c r="AF377" s="3"/>
      <c r="AG377" s="3"/>
      <c r="AH377" s="3"/>
      <c r="AI377" s="3"/>
    </row>
    <row r="378" spans="1:35" ht="15.75" customHeight="1">
      <c r="A378" s="3"/>
      <c r="B378" s="79"/>
      <c r="C378" s="80"/>
      <c r="D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81"/>
      <c r="AC378" s="80"/>
      <c r="AD378" s="3"/>
      <c r="AE378" s="3"/>
      <c r="AF378" s="3"/>
      <c r="AG378" s="3"/>
      <c r="AH378" s="3"/>
      <c r="AI378" s="3"/>
    </row>
    <row r="379" spans="1:35" ht="15.75" customHeight="1">
      <c r="A379" s="3"/>
      <c r="B379" s="79"/>
      <c r="C379" s="80"/>
      <c r="D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81"/>
      <c r="AC379" s="80"/>
      <c r="AD379" s="3"/>
      <c r="AE379" s="3"/>
      <c r="AF379" s="3"/>
      <c r="AG379" s="3"/>
      <c r="AH379" s="3"/>
      <c r="AI379" s="3"/>
    </row>
    <row r="380" spans="1:35" ht="15.75" customHeight="1">
      <c r="A380" s="3"/>
      <c r="B380" s="79"/>
      <c r="C380" s="80"/>
      <c r="D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81"/>
      <c r="AC380" s="80"/>
      <c r="AD380" s="3"/>
      <c r="AE380" s="3"/>
      <c r="AF380" s="3"/>
      <c r="AG380" s="3"/>
      <c r="AH380" s="3"/>
      <c r="AI380" s="3"/>
    </row>
    <row r="381" spans="1:35" ht="15.75" customHeight="1">
      <c r="A381" s="3"/>
      <c r="B381" s="79"/>
      <c r="C381" s="80"/>
      <c r="D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81"/>
      <c r="AC381" s="80"/>
      <c r="AD381" s="3"/>
      <c r="AE381" s="3"/>
      <c r="AF381" s="3"/>
      <c r="AG381" s="3"/>
      <c r="AH381" s="3"/>
      <c r="AI381" s="3"/>
    </row>
    <row r="382" spans="1:35" ht="15.75" customHeight="1">
      <c r="A382" s="3"/>
      <c r="B382" s="79"/>
      <c r="C382" s="80"/>
      <c r="D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81"/>
      <c r="AC382" s="80"/>
      <c r="AD382" s="3"/>
      <c r="AE382" s="3"/>
      <c r="AF382" s="3"/>
      <c r="AG382" s="3"/>
      <c r="AH382" s="3"/>
      <c r="AI382" s="3"/>
    </row>
    <row r="383" spans="1:35" ht="15.75" customHeight="1">
      <c r="A383" s="3"/>
      <c r="B383" s="79"/>
      <c r="C383" s="80"/>
      <c r="D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81"/>
      <c r="AC383" s="80"/>
      <c r="AD383" s="3"/>
      <c r="AE383" s="3"/>
      <c r="AF383" s="3"/>
      <c r="AG383" s="3"/>
      <c r="AH383" s="3"/>
      <c r="AI383" s="3"/>
    </row>
    <row r="384" spans="1:35" ht="15.75" customHeight="1">
      <c r="A384" s="3"/>
      <c r="B384" s="79"/>
      <c r="C384" s="80"/>
      <c r="D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81"/>
      <c r="AC384" s="80"/>
      <c r="AD384" s="3"/>
      <c r="AE384" s="3"/>
      <c r="AF384" s="3"/>
      <c r="AG384" s="3"/>
      <c r="AH384" s="3"/>
      <c r="AI384" s="3"/>
    </row>
    <row r="385" spans="1:35" ht="15.75" customHeight="1">
      <c r="A385" s="3"/>
      <c r="B385" s="79"/>
      <c r="C385" s="80"/>
      <c r="D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81"/>
      <c r="AC385" s="80"/>
      <c r="AD385" s="3"/>
      <c r="AE385" s="3"/>
      <c r="AF385" s="3"/>
      <c r="AG385" s="3"/>
      <c r="AH385" s="3"/>
      <c r="AI385" s="3"/>
    </row>
    <row r="386" spans="1:35" ht="15.75" customHeight="1">
      <c r="A386" s="3"/>
      <c r="B386" s="79"/>
      <c r="C386" s="80"/>
      <c r="D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81"/>
      <c r="AC386" s="80"/>
      <c r="AD386" s="3"/>
      <c r="AE386" s="3"/>
      <c r="AF386" s="3"/>
      <c r="AG386" s="3"/>
      <c r="AH386" s="3"/>
      <c r="AI386" s="3"/>
    </row>
    <row r="387" spans="1:35" ht="15.75" customHeight="1">
      <c r="A387" s="3"/>
      <c r="B387" s="79"/>
      <c r="C387" s="80"/>
      <c r="D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81"/>
      <c r="AC387" s="80"/>
      <c r="AD387" s="3"/>
      <c r="AE387" s="3"/>
      <c r="AF387" s="3"/>
      <c r="AG387" s="3"/>
      <c r="AH387" s="3"/>
      <c r="AI387" s="3"/>
    </row>
    <row r="388" spans="1:35" ht="15.75" customHeight="1">
      <c r="A388" s="3"/>
      <c r="B388" s="79"/>
      <c r="C388" s="80"/>
      <c r="D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81"/>
      <c r="AC388" s="80"/>
      <c r="AD388" s="3"/>
      <c r="AE388" s="3"/>
      <c r="AF388" s="3"/>
      <c r="AG388" s="3"/>
      <c r="AH388" s="3"/>
      <c r="AI388" s="3"/>
    </row>
    <row r="389" spans="1:35" ht="15.75" customHeight="1">
      <c r="A389" s="3"/>
      <c r="B389" s="79"/>
      <c r="C389" s="80"/>
      <c r="D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81"/>
      <c r="AC389" s="80"/>
      <c r="AD389" s="3"/>
      <c r="AE389" s="3"/>
      <c r="AF389" s="3"/>
      <c r="AG389" s="3"/>
      <c r="AH389" s="3"/>
      <c r="AI389" s="3"/>
    </row>
    <row r="390" spans="1:35" ht="15.75" customHeight="1">
      <c r="A390" s="3"/>
      <c r="B390" s="79"/>
      <c r="C390" s="80"/>
      <c r="D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81"/>
      <c r="AC390" s="80"/>
      <c r="AD390" s="3"/>
      <c r="AE390" s="3"/>
      <c r="AF390" s="3"/>
      <c r="AG390" s="3"/>
      <c r="AH390" s="3"/>
      <c r="AI390" s="3"/>
    </row>
    <row r="391" spans="1:35" ht="15.75" customHeight="1">
      <c r="A391" s="3"/>
      <c r="B391" s="79"/>
      <c r="C391" s="80"/>
      <c r="D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81"/>
      <c r="AC391" s="80"/>
      <c r="AD391" s="3"/>
      <c r="AE391" s="3"/>
      <c r="AF391" s="3"/>
      <c r="AG391" s="3"/>
      <c r="AH391" s="3"/>
      <c r="AI391" s="3"/>
    </row>
    <row r="392" spans="1:35" ht="15.75" customHeight="1">
      <c r="A392" s="3"/>
      <c r="B392" s="79"/>
      <c r="C392" s="80"/>
      <c r="D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81"/>
      <c r="AC392" s="80"/>
      <c r="AD392" s="3"/>
      <c r="AE392" s="3"/>
      <c r="AF392" s="3"/>
      <c r="AG392" s="3"/>
      <c r="AH392" s="3"/>
      <c r="AI392" s="3"/>
    </row>
    <row r="393" spans="1:35" ht="15.75" customHeight="1">
      <c r="A393" s="3"/>
      <c r="B393" s="79"/>
      <c r="C393" s="80"/>
      <c r="D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81"/>
      <c r="AC393" s="80"/>
      <c r="AD393" s="3"/>
      <c r="AE393" s="3"/>
      <c r="AF393" s="3"/>
      <c r="AG393" s="3"/>
      <c r="AH393" s="3"/>
      <c r="AI393" s="3"/>
    </row>
    <row r="394" spans="1:35" ht="15.75" customHeight="1">
      <c r="A394" s="3"/>
      <c r="B394" s="79"/>
      <c r="C394" s="80"/>
      <c r="D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81"/>
      <c r="AC394" s="80"/>
      <c r="AD394" s="3"/>
      <c r="AE394" s="3"/>
      <c r="AF394" s="3"/>
      <c r="AG394" s="3"/>
      <c r="AH394" s="3"/>
      <c r="AI394" s="3"/>
    </row>
    <row r="395" spans="1:35" ht="15.75" customHeight="1">
      <c r="A395" s="3"/>
      <c r="B395" s="79"/>
      <c r="C395" s="80"/>
      <c r="D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81"/>
      <c r="AC395" s="80"/>
      <c r="AD395" s="3"/>
      <c r="AE395" s="3"/>
      <c r="AF395" s="3"/>
      <c r="AG395" s="3"/>
      <c r="AH395" s="3"/>
      <c r="AI395" s="3"/>
    </row>
    <row r="396" spans="1:35" ht="15.75" customHeight="1">
      <c r="A396" s="3"/>
      <c r="B396" s="79"/>
      <c r="C396" s="80"/>
      <c r="D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81"/>
      <c r="AC396" s="80"/>
      <c r="AD396" s="3"/>
      <c r="AE396" s="3"/>
      <c r="AF396" s="3"/>
      <c r="AG396" s="3"/>
      <c r="AH396" s="3"/>
      <c r="AI396" s="3"/>
    </row>
    <row r="397" spans="1:35" ht="15.75" customHeight="1">
      <c r="A397" s="3"/>
      <c r="B397" s="79"/>
      <c r="C397" s="80"/>
      <c r="D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81"/>
      <c r="AC397" s="80"/>
      <c r="AD397" s="3"/>
      <c r="AE397" s="3"/>
      <c r="AF397" s="3"/>
      <c r="AG397" s="3"/>
      <c r="AH397" s="3"/>
      <c r="AI397" s="3"/>
    </row>
    <row r="398" spans="1:35" ht="15.75" customHeight="1">
      <c r="A398" s="3"/>
      <c r="B398" s="79"/>
      <c r="C398" s="80"/>
      <c r="D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81"/>
      <c r="AC398" s="80"/>
      <c r="AD398" s="3"/>
      <c r="AE398" s="3"/>
      <c r="AF398" s="3"/>
      <c r="AG398" s="3"/>
      <c r="AH398" s="3"/>
      <c r="AI398" s="3"/>
    </row>
    <row r="399" spans="1:35" ht="15.75" customHeight="1">
      <c r="A399" s="3"/>
      <c r="B399" s="79"/>
      <c r="C399" s="80"/>
      <c r="D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81"/>
      <c r="AC399" s="80"/>
      <c r="AD399" s="3"/>
      <c r="AE399" s="3"/>
      <c r="AF399" s="3"/>
      <c r="AG399" s="3"/>
      <c r="AH399" s="3"/>
      <c r="AI399" s="3"/>
    </row>
    <row r="400" spans="1:35" ht="15.75" customHeight="1">
      <c r="A400" s="3"/>
      <c r="B400" s="79"/>
      <c r="C400" s="80"/>
      <c r="D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81"/>
      <c r="AC400" s="80"/>
      <c r="AD400" s="3"/>
      <c r="AE400" s="3"/>
      <c r="AF400" s="3"/>
      <c r="AG400" s="3"/>
      <c r="AH400" s="3"/>
      <c r="AI400" s="3"/>
    </row>
    <row r="401" spans="1:35" ht="15.75" customHeight="1">
      <c r="A401" s="3"/>
      <c r="B401" s="79"/>
      <c r="C401" s="80"/>
      <c r="D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81"/>
      <c r="AC401" s="80"/>
      <c r="AD401" s="3"/>
      <c r="AE401" s="3"/>
      <c r="AF401" s="3"/>
      <c r="AG401" s="3"/>
      <c r="AH401" s="3"/>
      <c r="AI401" s="3"/>
    </row>
    <row r="402" spans="1:35" ht="15.75" customHeight="1">
      <c r="A402" s="3"/>
      <c r="B402" s="79"/>
      <c r="C402" s="80"/>
      <c r="D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81"/>
      <c r="AC402" s="80"/>
      <c r="AD402" s="3"/>
      <c r="AE402" s="3"/>
      <c r="AF402" s="3"/>
      <c r="AG402" s="3"/>
      <c r="AH402" s="3"/>
      <c r="AI402" s="3"/>
    </row>
    <row r="403" spans="1:35" ht="15.75" customHeight="1">
      <c r="A403" s="3"/>
      <c r="B403" s="79"/>
      <c r="C403" s="80"/>
      <c r="D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81"/>
      <c r="AC403" s="80"/>
      <c r="AD403" s="3"/>
      <c r="AE403" s="3"/>
      <c r="AF403" s="3"/>
      <c r="AG403" s="3"/>
      <c r="AH403" s="3"/>
      <c r="AI403" s="3"/>
    </row>
    <row r="404" spans="1:35" ht="15.75" customHeight="1">
      <c r="A404" s="3"/>
      <c r="B404" s="79"/>
      <c r="C404" s="80"/>
      <c r="D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81"/>
      <c r="AC404" s="80"/>
      <c r="AD404" s="3"/>
      <c r="AE404" s="3"/>
      <c r="AF404" s="3"/>
      <c r="AG404" s="3"/>
      <c r="AH404" s="3"/>
      <c r="AI404" s="3"/>
    </row>
    <row r="405" spans="1:35" ht="15.75" customHeight="1">
      <c r="A405" s="3"/>
      <c r="B405" s="79"/>
      <c r="C405" s="80"/>
      <c r="D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81"/>
      <c r="AC405" s="80"/>
      <c r="AD405" s="3"/>
      <c r="AE405" s="3"/>
      <c r="AF405" s="3"/>
      <c r="AG405" s="3"/>
      <c r="AH405" s="3"/>
      <c r="AI405" s="3"/>
    </row>
    <row r="406" spans="1:35" ht="15.75" customHeight="1">
      <c r="A406" s="3"/>
      <c r="B406" s="79"/>
      <c r="C406" s="80"/>
      <c r="D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81"/>
      <c r="AC406" s="80"/>
      <c r="AD406" s="3"/>
      <c r="AE406" s="3"/>
      <c r="AF406" s="3"/>
      <c r="AG406" s="3"/>
      <c r="AH406" s="3"/>
      <c r="AI406" s="3"/>
    </row>
    <row r="407" spans="1:35" ht="15.75" customHeight="1">
      <c r="A407" s="3"/>
      <c r="B407" s="79"/>
      <c r="C407" s="80"/>
      <c r="D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81"/>
      <c r="AC407" s="80"/>
      <c r="AD407" s="3"/>
      <c r="AE407" s="3"/>
      <c r="AF407" s="3"/>
      <c r="AG407" s="3"/>
      <c r="AH407" s="3"/>
      <c r="AI407" s="3"/>
    </row>
    <row r="408" spans="1:35" ht="15.75" customHeight="1">
      <c r="A408" s="3"/>
      <c r="B408" s="79"/>
      <c r="C408" s="80"/>
      <c r="D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81"/>
      <c r="AC408" s="80"/>
      <c r="AD408" s="3"/>
      <c r="AE408" s="3"/>
      <c r="AF408" s="3"/>
      <c r="AG408" s="3"/>
      <c r="AH408" s="3"/>
      <c r="AI408" s="3"/>
    </row>
    <row r="409" spans="1:35" ht="15.75" customHeight="1">
      <c r="A409" s="3"/>
      <c r="B409" s="79"/>
      <c r="C409" s="80"/>
      <c r="D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81"/>
      <c r="AC409" s="80"/>
      <c r="AD409" s="3"/>
      <c r="AE409" s="3"/>
      <c r="AF409" s="3"/>
      <c r="AG409" s="3"/>
      <c r="AH409" s="3"/>
      <c r="AI409" s="3"/>
    </row>
    <row r="410" spans="1:35" ht="15.75" customHeight="1">
      <c r="A410" s="3"/>
      <c r="B410" s="79"/>
      <c r="C410" s="80"/>
      <c r="D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81"/>
      <c r="AC410" s="80"/>
      <c r="AD410" s="3"/>
      <c r="AE410" s="3"/>
      <c r="AF410" s="3"/>
      <c r="AG410" s="3"/>
      <c r="AH410" s="3"/>
      <c r="AI410" s="3"/>
    </row>
    <row r="411" spans="1:35" ht="15.75" customHeight="1">
      <c r="A411" s="3"/>
      <c r="B411" s="79"/>
      <c r="C411" s="80"/>
      <c r="D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81"/>
      <c r="AC411" s="80"/>
      <c r="AD411" s="3"/>
      <c r="AE411" s="3"/>
      <c r="AF411" s="3"/>
      <c r="AG411" s="3"/>
      <c r="AH411" s="3"/>
      <c r="AI411" s="3"/>
    </row>
    <row r="412" spans="1:35" ht="15.75" customHeight="1">
      <c r="A412" s="3"/>
      <c r="B412" s="79"/>
      <c r="C412" s="80"/>
      <c r="D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81"/>
      <c r="AC412" s="80"/>
      <c r="AD412" s="3"/>
      <c r="AE412" s="3"/>
      <c r="AF412" s="3"/>
      <c r="AG412" s="3"/>
      <c r="AH412" s="3"/>
      <c r="AI412" s="3"/>
    </row>
    <row r="413" spans="1:35" ht="15.75" customHeight="1">
      <c r="A413" s="3"/>
      <c r="B413" s="79"/>
      <c r="C413" s="80"/>
      <c r="D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81"/>
      <c r="AC413" s="80"/>
      <c r="AD413" s="3"/>
      <c r="AE413" s="3"/>
      <c r="AF413" s="3"/>
      <c r="AG413" s="3"/>
      <c r="AH413" s="3"/>
      <c r="AI413" s="3"/>
    </row>
    <row r="414" spans="1:35" ht="15.75" customHeight="1">
      <c r="A414" s="3"/>
      <c r="B414" s="79"/>
      <c r="C414" s="80"/>
      <c r="D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81"/>
      <c r="AC414" s="80"/>
      <c r="AD414" s="3"/>
      <c r="AE414" s="3"/>
      <c r="AF414" s="3"/>
      <c r="AG414" s="3"/>
      <c r="AH414" s="3"/>
      <c r="AI414" s="3"/>
    </row>
    <row r="415" spans="1:35" ht="15.75" customHeight="1">
      <c r="A415" s="3"/>
      <c r="B415" s="79"/>
      <c r="C415" s="80"/>
      <c r="D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81"/>
      <c r="AC415" s="80"/>
      <c r="AD415" s="3"/>
      <c r="AE415" s="3"/>
      <c r="AF415" s="3"/>
      <c r="AG415" s="3"/>
      <c r="AH415" s="3"/>
      <c r="AI415" s="3"/>
    </row>
    <row r="416" spans="1:35" ht="15.75" customHeight="1">
      <c r="A416" s="3"/>
      <c r="B416" s="79"/>
      <c r="C416" s="80"/>
      <c r="D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81"/>
      <c r="AC416" s="80"/>
      <c r="AD416" s="3"/>
      <c r="AE416" s="3"/>
      <c r="AF416" s="3"/>
      <c r="AG416" s="3"/>
      <c r="AH416" s="3"/>
      <c r="AI416" s="3"/>
    </row>
    <row r="417" spans="1:35" ht="15.75" customHeight="1">
      <c r="A417" s="3"/>
      <c r="B417" s="79"/>
      <c r="C417" s="80"/>
      <c r="D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81"/>
      <c r="AC417" s="80"/>
      <c r="AD417" s="3"/>
      <c r="AE417" s="3"/>
      <c r="AF417" s="3"/>
      <c r="AG417" s="3"/>
      <c r="AH417" s="3"/>
      <c r="AI417" s="3"/>
    </row>
    <row r="418" spans="1:35" ht="15.75" customHeight="1">
      <c r="A418" s="3"/>
      <c r="B418" s="79"/>
      <c r="C418" s="80"/>
      <c r="D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81"/>
      <c r="AC418" s="80"/>
      <c r="AD418" s="3"/>
      <c r="AE418" s="3"/>
      <c r="AF418" s="3"/>
      <c r="AG418" s="3"/>
      <c r="AH418" s="3"/>
      <c r="AI418" s="3"/>
    </row>
    <row r="419" spans="1:35" ht="15.75" customHeight="1">
      <c r="A419" s="3"/>
      <c r="B419" s="79"/>
      <c r="C419" s="80"/>
      <c r="D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81"/>
      <c r="AC419" s="80"/>
      <c r="AD419" s="3"/>
      <c r="AE419" s="3"/>
      <c r="AF419" s="3"/>
      <c r="AG419" s="3"/>
      <c r="AH419" s="3"/>
      <c r="AI419" s="3"/>
    </row>
    <row r="420" spans="1:35" ht="15.75" customHeight="1">
      <c r="A420" s="3"/>
      <c r="B420" s="79"/>
      <c r="C420" s="80"/>
      <c r="D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81"/>
      <c r="AC420" s="80"/>
      <c r="AD420" s="3"/>
      <c r="AE420" s="3"/>
      <c r="AF420" s="3"/>
      <c r="AG420" s="3"/>
      <c r="AH420" s="3"/>
      <c r="AI420" s="3"/>
    </row>
    <row r="421" spans="1:35" ht="15.75" customHeight="1">
      <c r="A421" s="3"/>
      <c r="B421" s="79"/>
      <c r="C421" s="80"/>
      <c r="D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81"/>
      <c r="AC421" s="80"/>
      <c r="AD421" s="3"/>
      <c r="AE421" s="3"/>
      <c r="AF421" s="3"/>
      <c r="AG421" s="3"/>
      <c r="AH421" s="3"/>
      <c r="AI421" s="3"/>
    </row>
    <row r="422" spans="1:35" ht="15.75" customHeight="1">
      <c r="A422" s="3"/>
      <c r="B422" s="79"/>
      <c r="C422" s="80"/>
      <c r="D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81"/>
      <c r="AC422" s="80"/>
      <c r="AD422" s="3"/>
      <c r="AE422" s="3"/>
      <c r="AF422" s="3"/>
      <c r="AG422" s="3"/>
      <c r="AH422" s="3"/>
      <c r="AI422" s="3"/>
    </row>
    <row r="423" spans="1:35" ht="15.75" customHeight="1">
      <c r="A423" s="3"/>
      <c r="B423" s="79"/>
      <c r="C423" s="80"/>
      <c r="D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81"/>
      <c r="AC423" s="80"/>
      <c r="AD423" s="3"/>
      <c r="AE423" s="3"/>
      <c r="AF423" s="3"/>
      <c r="AG423" s="3"/>
      <c r="AH423" s="3"/>
      <c r="AI423" s="3"/>
    </row>
    <row r="424" spans="1:35" ht="15.75" customHeight="1">
      <c r="A424" s="3"/>
      <c r="B424" s="79"/>
      <c r="C424" s="80"/>
      <c r="D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81"/>
      <c r="AC424" s="80"/>
      <c r="AD424" s="3"/>
      <c r="AE424" s="3"/>
      <c r="AF424" s="3"/>
      <c r="AG424" s="3"/>
      <c r="AH424" s="3"/>
      <c r="AI424" s="3"/>
    </row>
    <row r="425" spans="1:35" ht="15.75" customHeight="1">
      <c r="A425" s="3"/>
      <c r="B425" s="79"/>
      <c r="C425" s="80"/>
      <c r="D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81"/>
      <c r="AC425" s="80"/>
      <c r="AD425" s="3"/>
      <c r="AE425" s="3"/>
      <c r="AF425" s="3"/>
      <c r="AG425" s="3"/>
      <c r="AH425" s="3"/>
      <c r="AI425" s="3"/>
    </row>
    <row r="426" spans="1:35" ht="15.75" customHeight="1">
      <c r="A426" s="3"/>
      <c r="B426" s="79"/>
      <c r="C426" s="80"/>
      <c r="D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81"/>
      <c r="AC426" s="80"/>
      <c r="AD426" s="3"/>
      <c r="AE426" s="3"/>
      <c r="AF426" s="3"/>
      <c r="AG426" s="3"/>
      <c r="AH426" s="3"/>
      <c r="AI426" s="3"/>
    </row>
    <row r="427" spans="1:35" ht="15.75" customHeight="1">
      <c r="A427" s="3"/>
      <c r="B427" s="79"/>
      <c r="C427" s="80"/>
      <c r="D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81"/>
      <c r="AC427" s="80"/>
      <c r="AD427" s="3"/>
      <c r="AE427" s="3"/>
      <c r="AF427" s="3"/>
      <c r="AG427" s="3"/>
      <c r="AH427" s="3"/>
      <c r="AI427" s="3"/>
    </row>
    <row r="428" spans="1:35" ht="15.75" customHeight="1">
      <c r="A428" s="3"/>
      <c r="B428" s="79"/>
      <c r="C428" s="80"/>
      <c r="D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81"/>
      <c r="AC428" s="80"/>
      <c r="AD428" s="3"/>
      <c r="AE428" s="3"/>
      <c r="AF428" s="3"/>
      <c r="AG428" s="3"/>
      <c r="AH428" s="3"/>
      <c r="AI428" s="3"/>
    </row>
    <row r="429" spans="1:35" ht="15.75" customHeight="1">
      <c r="A429" s="3"/>
      <c r="B429" s="79"/>
      <c r="C429" s="80"/>
      <c r="D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81"/>
      <c r="AC429" s="80"/>
      <c r="AD429" s="3"/>
      <c r="AE429" s="3"/>
      <c r="AF429" s="3"/>
      <c r="AG429" s="3"/>
      <c r="AH429" s="3"/>
      <c r="AI429" s="3"/>
    </row>
    <row r="430" spans="1:35" ht="15.75" customHeight="1">
      <c r="A430" s="3"/>
      <c r="B430" s="79"/>
      <c r="C430" s="80"/>
      <c r="D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81"/>
      <c r="AC430" s="80"/>
      <c r="AD430" s="3"/>
      <c r="AE430" s="3"/>
      <c r="AF430" s="3"/>
      <c r="AG430" s="3"/>
      <c r="AH430" s="3"/>
      <c r="AI430" s="3"/>
    </row>
    <row r="431" spans="1:35" ht="15.75" customHeight="1">
      <c r="A431" s="3"/>
      <c r="B431" s="79"/>
      <c r="C431" s="80"/>
      <c r="D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81"/>
      <c r="AC431" s="80"/>
      <c r="AD431" s="3"/>
      <c r="AE431" s="3"/>
      <c r="AF431" s="3"/>
      <c r="AG431" s="3"/>
      <c r="AH431" s="3"/>
      <c r="AI431" s="3"/>
    </row>
    <row r="432" spans="1:35" ht="15.75" customHeight="1">
      <c r="A432" s="3"/>
      <c r="B432" s="79"/>
      <c r="C432" s="80"/>
      <c r="D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81"/>
      <c r="AC432" s="80"/>
      <c r="AD432" s="3"/>
      <c r="AE432" s="3"/>
      <c r="AF432" s="3"/>
      <c r="AG432" s="3"/>
      <c r="AH432" s="3"/>
      <c r="AI432" s="3"/>
    </row>
    <row r="433" spans="1:35" ht="15.75" customHeight="1">
      <c r="A433" s="3"/>
      <c r="B433" s="79"/>
      <c r="C433" s="80"/>
      <c r="D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81"/>
      <c r="AC433" s="80"/>
      <c r="AD433" s="3"/>
      <c r="AE433" s="3"/>
      <c r="AF433" s="3"/>
      <c r="AG433" s="3"/>
      <c r="AH433" s="3"/>
      <c r="AI433" s="3"/>
    </row>
    <row r="434" spans="1:35" ht="15.75" customHeight="1">
      <c r="A434" s="3"/>
      <c r="B434" s="79"/>
      <c r="C434" s="80"/>
      <c r="D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81"/>
      <c r="AC434" s="80"/>
      <c r="AD434" s="3"/>
      <c r="AE434" s="3"/>
      <c r="AF434" s="3"/>
      <c r="AG434" s="3"/>
      <c r="AH434" s="3"/>
      <c r="AI434" s="3"/>
    </row>
    <row r="435" spans="1:35" ht="15.75" customHeight="1">
      <c r="A435" s="3"/>
      <c r="B435" s="79"/>
      <c r="C435" s="80"/>
      <c r="D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81"/>
      <c r="AC435" s="80"/>
      <c r="AD435" s="3"/>
      <c r="AE435" s="3"/>
      <c r="AF435" s="3"/>
      <c r="AG435" s="3"/>
      <c r="AH435" s="3"/>
      <c r="AI435" s="3"/>
    </row>
    <row r="436" spans="1:35" ht="15.75" customHeight="1">
      <c r="A436" s="3"/>
      <c r="B436" s="79"/>
      <c r="C436" s="80"/>
      <c r="D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81"/>
      <c r="AC436" s="80"/>
      <c r="AD436" s="3"/>
      <c r="AE436" s="3"/>
      <c r="AF436" s="3"/>
      <c r="AG436" s="3"/>
      <c r="AH436" s="3"/>
      <c r="AI436" s="3"/>
    </row>
    <row r="437" spans="1:35" ht="15.75" customHeight="1">
      <c r="A437" s="3"/>
      <c r="B437" s="79"/>
      <c r="C437" s="80"/>
      <c r="D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81"/>
      <c r="AC437" s="80"/>
      <c r="AD437" s="3"/>
      <c r="AE437" s="3"/>
      <c r="AF437" s="3"/>
      <c r="AG437" s="3"/>
      <c r="AH437" s="3"/>
      <c r="AI437" s="3"/>
    </row>
    <row r="438" spans="1:35" ht="15.75" customHeight="1">
      <c r="A438" s="3"/>
      <c r="B438" s="79"/>
      <c r="C438" s="80"/>
      <c r="D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81"/>
      <c r="AC438" s="80"/>
      <c r="AD438" s="3"/>
      <c r="AE438" s="3"/>
      <c r="AF438" s="3"/>
      <c r="AG438" s="3"/>
      <c r="AH438" s="3"/>
      <c r="AI438" s="3"/>
    </row>
    <row r="439" spans="1:35" ht="15.75" customHeight="1">
      <c r="A439" s="3"/>
      <c r="B439" s="79"/>
      <c r="C439" s="80"/>
      <c r="D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81"/>
      <c r="AC439" s="80"/>
      <c r="AD439" s="3"/>
      <c r="AE439" s="3"/>
      <c r="AF439" s="3"/>
      <c r="AG439" s="3"/>
      <c r="AH439" s="3"/>
      <c r="AI439" s="3"/>
    </row>
    <row r="440" spans="1:35" ht="15.75" customHeight="1">
      <c r="A440" s="3"/>
      <c r="B440" s="79"/>
      <c r="C440" s="80"/>
      <c r="D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81"/>
      <c r="AC440" s="80"/>
      <c r="AD440" s="3"/>
      <c r="AE440" s="3"/>
      <c r="AF440" s="3"/>
      <c r="AG440" s="3"/>
      <c r="AH440" s="3"/>
      <c r="AI440" s="3"/>
    </row>
    <row r="441" spans="1:35" ht="15.75" customHeight="1">
      <c r="A441" s="3"/>
      <c r="B441" s="79"/>
      <c r="C441" s="80"/>
      <c r="D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81"/>
      <c r="AC441" s="80"/>
      <c r="AD441" s="3"/>
      <c r="AE441" s="3"/>
      <c r="AF441" s="3"/>
      <c r="AG441" s="3"/>
      <c r="AH441" s="3"/>
      <c r="AI441" s="3"/>
    </row>
    <row r="442" spans="1:35" ht="15.75" customHeight="1">
      <c r="A442" s="3"/>
      <c r="B442" s="79"/>
      <c r="C442" s="80"/>
      <c r="D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81"/>
      <c r="AC442" s="80"/>
      <c r="AD442" s="3"/>
      <c r="AE442" s="3"/>
      <c r="AF442" s="3"/>
      <c r="AG442" s="3"/>
      <c r="AH442" s="3"/>
      <c r="AI442" s="3"/>
    </row>
    <row r="443" spans="1:35" ht="15.75" customHeight="1">
      <c r="A443" s="3"/>
      <c r="B443" s="79"/>
      <c r="C443" s="80"/>
      <c r="D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81"/>
      <c r="AC443" s="80"/>
      <c r="AD443" s="3"/>
      <c r="AE443" s="3"/>
      <c r="AF443" s="3"/>
      <c r="AG443" s="3"/>
      <c r="AH443" s="3"/>
      <c r="AI443" s="3"/>
    </row>
    <row r="444" spans="1:35" ht="15.75" customHeight="1">
      <c r="A444" s="3"/>
      <c r="B444" s="79"/>
      <c r="C444" s="80"/>
      <c r="D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81"/>
      <c r="AC444" s="80"/>
      <c r="AD444" s="3"/>
      <c r="AE444" s="3"/>
      <c r="AF444" s="3"/>
      <c r="AG444" s="3"/>
      <c r="AH444" s="3"/>
      <c r="AI444" s="3"/>
    </row>
    <row r="445" spans="1:35" ht="15.75" customHeight="1">
      <c r="A445" s="3"/>
      <c r="B445" s="79"/>
      <c r="C445" s="80"/>
      <c r="D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81"/>
      <c r="AC445" s="80"/>
      <c r="AD445" s="3"/>
      <c r="AE445" s="3"/>
      <c r="AF445" s="3"/>
      <c r="AG445" s="3"/>
      <c r="AH445" s="3"/>
      <c r="AI445" s="3"/>
    </row>
    <row r="446" spans="1:35" ht="15.75" customHeight="1">
      <c r="A446" s="3"/>
      <c r="B446" s="79"/>
      <c r="C446" s="80"/>
      <c r="D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81"/>
      <c r="AC446" s="80"/>
      <c r="AD446" s="3"/>
      <c r="AE446" s="3"/>
      <c r="AF446" s="3"/>
      <c r="AG446" s="3"/>
      <c r="AH446" s="3"/>
      <c r="AI446" s="3"/>
    </row>
    <row r="447" spans="1:35" ht="15.75" customHeight="1">
      <c r="A447" s="3"/>
      <c r="B447" s="79"/>
      <c r="C447" s="80"/>
      <c r="D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81"/>
      <c r="AC447" s="80"/>
      <c r="AD447" s="3"/>
      <c r="AE447" s="3"/>
      <c r="AF447" s="3"/>
      <c r="AG447" s="3"/>
      <c r="AH447" s="3"/>
      <c r="AI447" s="3"/>
    </row>
    <row r="448" spans="1:35" ht="15.75" customHeight="1">
      <c r="A448" s="3"/>
      <c r="B448" s="79"/>
      <c r="C448" s="80"/>
      <c r="D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81"/>
      <c r="AC448" s="80"/>
      <c r="AD448" s="3"/>
      <c r="AE448" s="3"/>
      <c r="AF448" s="3"/>
      <c r="AG448" s="3"/>
      <c r="AH448" s="3"/>
      <c r="AI448" s="3"/>
    </row>
    <row r="449" spans="1:35" ht="15.75" customHeight="1">
      <c r="A449" s="3"/>
      <c r="B449" s="79"/>
      <c r="C449" s="80"/>
      <c r="D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81"/>
      <c r="AC449" s="80"/>
      <c r="AD449" s="3"/>
      <c r="AE449" s="3"/>
      <c r="AF449" s="3"/>
      <c r="AG449" s="3"/>
      <c r="AH449" s="3"/>
      <c r="AI449" s="3"/>
    </row>
    <row r="450" spans="1:35" ht="15.75" customHeight="1">
      <c r="A450" s="3"/>
      <c r="B450" s="79"/>
      <c r="C450" s="80"/>
      <c r="D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81"/>
      <c r="AC450" s="80"/>
      <c r="AD450" s="3"/>
      <c r="AE450" s="3"/>
      <c r="AF450" s="3"/>
      <c r="AG450" s="3"/>
      <c r="AH450" s="3"/>
      <c r="AI450" s="3"/>
    </row>
    <row r="451" spans="1:35" ht="15.75" customHeight="1">
      <c r="A451" s="3"/>
      <c r="B451" s="79"/>
      <c r="C451" s="80"/>
      <c r="D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81"/>
      <c r="AC451" s="80"/>
      <c r="AD451" s="3"/>
      <c r="AE451" s="3"/>
      <c r="AF451" s="3"/>
      <c r="AG451" s="3"/>
      <c r="AH451" s="3"/>
      <c r="AI451" s="3"/>
    </row>
    <row r="452" spans="1:35" ht="15.75" customHeight="1">
      <c r="A452" s="3"/>
      <c r="B452" s="79"/>
      <c r="C452" s="80"/>
      <c r="D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81"/>
      <c r="AC452" s="80"/>
      <c r="AD452" s="3"/>
      <c r="AE452" s="3"/>
      <c r="AF452" s="3"/>
      <c r="AG452" s="3"/>
      <c r="AH452" s="3"/>
      <c r="AI452" s="3"/>
    </row>
    <row r="453" spans="1:35" ht="15.75" customHeight="1">
      <c r="A453" s="3"/>
      <c r="B453" s="79"/>
      <c r="C453" s="80"/>
      <c r="D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81"/>
      <c r="AC453" s="80"/>
      <c r="AD453" s="3"/>
      <c r="AE453" s="3"/>
      <c r="AF453" s="3"/>
      <c r="AG453" s="3"/>
      <c r="AH453" s="3"/>
      <c r="AI453" s="3"/>
    </row>
    <row r="454" spans="1:35" ht="15.75" customHeight="1">
      <c r="A454" s="3"/>
      <c r="B454" s="79"/>
      <c r="C454" s="80"/>
      <c r="D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81"/>
      <c r="AC454" s="80"/>
      <c r="AD454" s="3"/>
      <c r="AE454" s="3"/>
      <c r="AF454" s="3"/>
      <c r="AG454" s="3"/>
      <c r="AH454" s="3"/>
      <c r="AI454" s="3"/>
    </row>
    <row r="455" spans="1:35" ht="15.75" customHeight="1">
      <c r="A455" s="3"/>
      <c r="B455" s="79"/>
      <c r="C455" s="80"/>
      <c r="D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81"/>
      <c r="AC455" s="80"/>
      <c r="AD455" s="3"/>
      <c r="AE455" s="3"/>
      <c r="AF455" s="3"/>
      <c r="AG455" s="3"/>
      <c r="AH455" s="3"/>
      <c r="AI455" s="3"/>
    </row>
    <row r="456" spans="1:35" ht="15.75" customHeight="1">
      <c r="A456" s="3"/>
      <c r="B456" s="79"/>
      <c r="C456" s="80"/>
      <c r="D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81"/>
      <c r="AC456" s="80"/>
      <c r="AD456" s="3"/>
      <c r="AE456" s="3"/>
      <c r="AF456" s="3"/>
      <c r="AG456" s="3"/>
      <c r="AH456" s="3"/>
      <c r="AI456" s="3"/>
    </row>
    <row r="457" spans="1:35" ht="15.75" customHeight="1">
      <c r="A457" s="3"/>
      <c r="B457" s="79"/>
      <c r="C457" s="80"/>
      <c r="D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81"/>
      <c r="AC457" s="80"/>
      <c r="AD457" s="3"/>
      <c r="AE457" s="3"/>
      <c r="AF457" s="3"/>
      <c r="AG457" s="3"/>
      <c r="AH457" s="3"/>
      <c r="AI457" s="3"/>
    </row>
    <row r="458" spans="1:35" ht="15.75" customHeight="1">
      <c r="A458" s="3"/>
      <c r="B458" s="79"/>
      <c r="C458" s="80"/>
      <c r="D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81"/>
      <c r="AC458" s="80"/>
      <c r="AD458" s="3"/>
      <c r="AE458" s="3"/>
      <c r="AF458" s="3"/>
      <c r="AG458" s="3"/>
      <c r="AH458" s="3"/>
      <c r="AI458" s="3"/>
    </row>
    <row r="459" spans="1:35" ht="15.75" customHeight="1">
      <c r="A459" s="3"/>
      <c r="B459" s="79"/>
      <c r="C459" s="80"/>
      <c r="D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81"/>
      <c r="AC459" s="80"/>
      <c r="AD459" s="3"/>
      <c r="AE459" s="3"/>
      <c r="AF459" s="3"/>
      <c r="AG459" s="3"/>
      <c r="AH459" s="3"/>
      <c r="AI459" s="3"/>
    </row>
    <row r="460" spans="1:35" ht="15.75" customHeight="1">
      <c r="A460" s="3"/>
      <c r="B460" s="79"/>
      <c r="C460" s="80"/>
      <c r="D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81"/>
      <c r="AC460" s="80"/>
      <c r="AD460" s="3"/>
      <c r="AE460" s="3"/>
      <c r="AF460" s="3"/>
      <c r="AG460" s="3"/>
      <c r="AH460" s="3"/>
      <c r="AI460" s="3"/>
    </row>
    <row r="461" spans="1:35" ht="15.75" customHeight="1">
      <c r="A461" s="3"/>
      <c r="B461" s="79"/>
      <c r="C461" s="80"/>
      <c r="D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81"/>
      <c r="AC461" s="80"/>
      <c r="AD461" s="3"/>
      <c r="AE461" s="3"/>
      <c r="AF461" s="3"/>
      <c r="AG461" s="3"/>
      <c r="AH461" s="3"/>
      <c r="AI461" s="3"/>
    </row>
    <row r="462" spans="1:35" ht="15.75" customHeight="1">
      <c r="A462" s="3"/>
      <c r="B462" s="79"/>
      <c r="C462" s="80"/>
      <c r="D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81"/>
      <c r="AC462" s="80"/>
      <c r="AD462" s="3"/>
      <c r="AE462" s="3"/>
      <c r="AF462" s="3"/>
      <c r="AG462" s="3"/>
      <c r="AH462" s="3"/>
      <c r="AI462" s="3"/>
    </row>
    <row r="463" spans="1:35" ht="15.75" customHeight="1">
      <c r="A463" s="3"/>
      <c r="B463" s="79"/>
      <c r="C463" s="80"/>
      <c r="D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81"/>
      <c r="AC463" s="80"/>
      <c r="AD463" s="3"/>
      <c r="AE463" s="3"/>
      <c r="AF463" s="3"/>
      <c r="AG463" s="3"/>
      <c r="AH463" s="3"/>
      <c r="AI463" s="3"/>
    </row>
    <row r="464" spans="1:35" ht="15.75" customHeight="1">
      <c r="A464" s="3"/>
      <c r="B464" s="79"/>
      <c r="C464" s="80"/>
      <c r="D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81"/>
      <c r="AC464" s="80"/>
      <c r="AD464" s="3"/>
      <c r="AE464" s="3"/>
      <c r="AF464" s="3"/>
      <c r="AG464" s="3"/>
      <c r="AH464" s="3"/>
      <c r="AI464" s="3"/>
    </row>
    <row r="465" spans="1:35" ht="15.75" customHeight="1">
      <c r="A465" s="3"/>
      <c r="B465" s="79"/>
      <c r="C465" s="80"/>
      <c r="D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81"/>
      <c r="AC465" s="80"/>
      <c r="AD465" s="3"/>
      <c r="AE465" s="3"/>
      <c r="AF465" s="3"/>
      <c r="AG465" s="3"/>
      <c r="AH465" s="3"/>
      <c r="AI465" s="3"/>
    </row>
    <row r="466" spans="1:35" ht="15.75" customHeight="1">
      <c r="A466" s="3"/>
      <c r="B466" s="79"/>
      <c r="C466" s="80"/>
      <c r="D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81"/>
      <c r="AC466" s="80"/>
      <c r="AD466" s="3"/>
      <c r="AE466" s="3"/>
      <c r="AF466" s="3"/>
      <c r="AG466" s="3"/>
      <c r="AH466" s="3"/>
      <c r="AI466" s="3"/>
    </row>
    <row r="467" spans="1:35" ht="15.75" customHeight="1">
      <c r="A467" s="3"/>
      <c r="B467" s="79"/>
      <c r="C467" s="80"/>
      <c r="D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81"/>
      <c r="AC467" s="80"/>
      <c r="AD467" s="3"/>
      <c r="AE467" s="3"/>
      <c r="AF467" s="3"/>
      <c r="AG467" s="3"/>
      <c r="AH467" s="3"/>
      <c r="AI467" s="3"/>
    </row>
    <row r="468" spans="1:35" ht="15.75" customHeight="1">
      <c r="A468" s="3"/>
      <c r="B468" s="79"/>
      <c r="C468" s="80"/>
      <c r="D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81"/>
      <c r="AC468" s="80"/>
      <c r="AD468" s="3"/>
      <c r="AE468" s="3"/>
      <c r="AF468" s="3"/>
      <c r="AG468" s="3"/>
      <c r="AH468" s="3"/>
      <c r="AI468" s="3"/>
    </row>
    <row r="469" spans="1:35" ht="15.75" customHeight="1">
      <c r="A469" s="3"/>
      <c r="B469" s="79"/>
      <c r="C469" s="80"/>
      <c r="D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81"/>
      <c r="AC469" s="80"/>
      <c r="AD469" s="3"/>
      <c r="AE469" s="3"/>
      <c r="AF469" s="3"/>
      <c r="AG469" s="3"/>
      <c r="AH469" s="3"/>
      <c r="AI469" s="3"/>
    </row>
    <row r="470" spans="1:35" ht="15.75" customHeight="1">
      <c r="A470" s="3"/>
      <c r="B470" s="79"/>
      <c r="C470" s="80"/>
      <c r="D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81"/>
      <c r="AC470" s="80"/>
      <c r="AD470" s="3"/>
      <c r="AE470" s="3"/>
      <c r="AF470" s="3"/>
      <c r="AG470" s="3"/>
      <c r="AH470" s="3"/>
      <c r="AI470" s="3"/>
    </row>
    <row r="471" spans="1:35" ht="15.75" customHeight="1">
      <c r="A471" s="3"/>
      <c r="B471" s="79"/>
      <c r="C471" s="80"/>
      <c r="D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81"/>
      <c r="AC471" s="80"/>
      <c r="AD471" s="3"/>
      <c r="AE471" s="3"/>
      <c r="AF471" s="3"/>
      <c r="AG471" s="3"/>
      <c r="AH471" s="3"/>
      <c r="AI471" s="3"/>
    </row>
    <row r="472" spans="1:35" ht="15.75" customHeight="1">
      <c r="A472" s="3"/>
      <c r="B472" s="79"/>
      <c r="C472" s="80"/>
      <c r="D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81"/>
      <c r="AC472" s="80"/>
      <c r="AD472" s="3"/>
      <c r="AE472" s="3"/>
      <c r="AF472" s="3"/>
      <c r="AG472" s="3"/>
      <c r="AH472" s="3"/>
      <c r="AI472" s="3"/>
    </row>
    <row r="473" spans="1:35" ht="15.75" customHeight="1">
      <c r="A473" s="3"/>
      <c r="B473" s="79"/>
      <c r="C473" s="80"/>
      <c r="D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81"/>
      <c r="AC473" s="80"/>
      <c r="AD473" s="3"/>
      <c r="AE473" s="3"/>
      <c r="AF473" s="3"/>
      <c r="AG473" s="3"/>
      <c r="AH473" s="3"/>
      <c r="AI473" s="3"/>
    </row>
    <row r="474" spans="1:35" ht="15.75" customHeight="1">
      <c r="A474" s="3"/>
      <c r="B474" s="79"/>
      <c r="C474" s="80"/>
      <c r="D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81"/>
      <c r="AC474" s="80"/>
      <c r="AD474" s="3"/>
      <c r="AE474" s="3"/>
      <c r="AF474" s="3"/>
      <c r="AG474" s="3"/>
      <c r="AH474" s="3"/>
      <c r="AI474" s="3"/>
    </row>
    <row r="475" spans="1:35" ht="15.75" customHeight="1">
      <c r="A475" s="3"/>
      <c r="B475" s="79"/>
      <c r="C475" s="80"/>
      <c r="D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81"/>
      <c r="AC475" s="80"/>
      <c r="AD475" s="3"/>
      <c r="AE475" s="3"/>
      <c r="AF475" s="3"/>
      <c r="AG475" s="3"/>
      <c r="AH475" s="3"/>
      <c r="AI475" s="3"/>
    </row>
    <row r="476" spans="1:35" ht="15.75" customHeight="1">
      <c r="A476" s="3"/>
      <c r="B476" s="79"/>
      <c r="C476" s="80"/>
      <c r="D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81"/>
      <c r="AC476" s="80"/>
      <c r="AD476" s="3"/>
      <c r="AE476" s="3"/>
      <c r="AF476" s="3"/>
      <c r="AG476" s="3"/>
      <c r="AH476" s="3"/>
      <c r="AI476" s="3"/>
    </row>
    <row r="477" spans="1:35" ht="15.75" customHeight="1">
      <c r="A477" s="3"/>
      <c r="B477" s="79"/>
      <c r="C477" s="80"/>
      <c r="D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81"/>
      <c r="AC477" s="80"/>
      <c r="AD477" s="3"/>
      <c r="AE477" s="3"/>
      <c r="AF477" s="3"/>
      <c r="AG477" s="3"/>
      <c r="AH477" s="3"/>
      <c r="AI477" s="3"/>
    </row>
    <row r="478" spans="1:35" ht="15.75" customHeight="1">
      <c r="A478" s="3"/>
      <c r="B478" s="79"/>
      <c r="C478" s="80"/>
      <c r="D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81"/>
      <c r="AC478" s="80"/>
      <c r="AD478" s="3"/>
      <c r="AE478" s="3"/>
      <c r="AF478" s="3"/>
      <c r="AG478" s="3"/>
      <c r="AH478" s="3"/>
      <c r="AI478" s="3"/>
    </row>
    <row r="479" spans="1:35" ht="15.75" customHeight="1">
      <c r="A479" s="3"/>
      <c r="B479" s="79"/>
      <c r="C479" s="80"/>
      <c r="D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81"/>
      <c r="AC479" s="80"/>
      <c r="AD479" s="3"/>
      <c r="AE479" s="3"/>
      <c r="AF479" s="3"/>
      <c r="AG479" s="3"/>
      <c r="AH479" s="3"/>
      <c r="AI479" s="3"/>
    </row>
    <row r="480" spans="1:35" ht="15.75" customHeight="1">
      <c r="A480" s="3"/>
      <c r="B480" s="79"/>
      <c r="C480" s="80"/>
      <c r="D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81"/>
      <c r="AC480" s="80"/>
      <c r="AD480" s="3"/>
      <c r="AE480" s="3"/>
      <c r="AF480" s="3"/>
      <c r="AG480" s="3"/>
      <c r="AH480" s="3"/>
      <c r="AI480" s="3"/>
    </row>
    <row r="481" spans="1:35" ht="15.75" customHeight="1">
      <c r="A481" s="3"/>
      <c r="B481" s="79"/>
      <c r="C481" s="80"/>
      <c r="D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81"/>
      <c r="AC481" s="80"/>
      <c r="AD481" s="3"/>
      <c r="AE481" s="3"/>
      <c r="AF481" s="3"/>
      <c r="AG481" s="3"/>
      <c r="AH481" s="3"/>
      <c r="AI481" s="3"/>
    </row>
    <row r="482" spans="1:35" ht="15.75" customHeight="1">
      <c r="A482" s="3"/>
      <c r="B482" s="79"/>
      <c r="C482" s="80"/>
      <c r="D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81"/>
      <c r="AC482" s="80"/>
      <c r="AD482" s="3"/>
      <c r="AE482" s="3"/>
      <c r="AF482" s="3"/>
      <c r="AG482" s="3"/>
      <c r="AH482" s="3"/>
      <c r="AI482" s="3"/>
    </row>
    <row r="483" spans="1:35" ht="15.75" customHeight="1">
      <c r="A483" s="3"/>
      <c r="B483" s="79"/>
      <c r="C483" s="80"/>
      <c r="D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81"/>
      <c r="AC483" s="80"/>
      <c r="AD483" s="3"/>
      <c r="AE483" s="3"/>
      <c r="AF483" s="3"/>
      <c r="AG483" s="3"/>
      <c r="AH483" s="3"/>
      <c r="AI483" s="3"/>
    </row>
    <row r="484" spans="1:35" ht="15.75" customHeight="1">
      <c r="A484" s="3"/>
      <c r="B484" s="79"/>
      <c r="C484" s="80"/>
      <c r="D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81"/>
      <c r="AC484" s="80"/>
      <c r="AD484" s="3"/>
      <c r="AE484" s="3"/>
      <c r="AF484" s="3"/>
      <c r="AG484" s="3"/>
      <c r="AH484" s="3"/>
      <c r="AI484" s="3"/>
    </row>
    <row r="485" spans="1:35" ht="15.75" customHeight="1">
      <c r="A485" s="3"/>
      <c r="B485" s="79"/>
      <c r="C485" s="80"/>
      <c r="D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81"/>
      <c r="AC485" s="80"/>
      <c r="AD485" s="3"/>
      <c r="AE485" s="3"/>
      <c r="AF485" s="3"/>
      <c r="AG485" s="3"/>
      <c r="AH485" s="3"/>
      <c r="AI485" s="3"/>
    </row>
    <row r="486" spans="1:35" ht="15.75" customHeight="1">
      <c r="A486" s="3"/>
      <c r="B486" s="79"/>
      <c r="C486" s="80"/>
      <c r="D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81"/>
      <c r="AC486" s="80"/>
      <c r="AD486" s="3"/>
      <c r="AE486" s="3"/>
      <c r="AF486" s="3"/>
      <c r="AG486" s="3"/>
      <c r="AH486" s="3"/>
      <c r="AI486" s="3"/>
    </row>
    <row r="487" spans="1:35" ht="15.75" customHeight="1">
      <c r="A487" s="3"/>
      <c r="B487" s="79"/>
      <c r="C487" s="80"/>
      <c r="D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81"/>
      <c r="AC487" s="80"/>
      <c r="AD487" s="3"/>
      <c r="AE487" s="3"/>
      <c r="AF487" s="3"/>
      <c r="AG487" s="3"/>
      <c r="AH487" s="3"/>
      <c r="AI487" s="3"/>
    </row>
    <row r="488" spans="1:35" ht="15.75" customHeight="1">
      <c r="A488" s="3"/>
      <c r="B488" s="79"/>
      <c r="C488" s="80"/>
      <c r="D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81"/>
      <c r="AC488" s="80"/>
      <c r="AD488" s="3"/>
      <c r="AE488" s="3"/>
      <c r="AF488" s="3"/>
      <c r="AG488" s="3"/>
      <c r="AH488" s="3"/>
      <c r="AI488" s="3"/>
    </row>
    <row r="489" spans="1:35" ht="15.75" customHeight="1">
      <c r="A489" s="3"/>
      <c r="B489" s="79"/>
      <c r="C489" s="80"/>
      <c r="D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81"/>
      <c r="AC489" s="80"/>
      <c r="AD489" s="3"/>
      <c r="AE489" s="3"/>
      <c r="AF489" s="3"/>
      <c r="AG489" s="3"/>
      <c r="AH489" s="3"/>
      <c r="AI489" s="3"/>
    </row>
    <row r="490" spans="1:35" ht="15.75" customHeight="1">
      <c r="A490" s="3"/>
      <c r="B490" s="79"/>
      <c r="C490" s="80"/>
      <c r="D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81"/>
      <c r="AC490" s="80"/>
      <c r="AD490" s="3"/>
      <c r="AE490" s="3"/>
      <c r="AF490" s="3"/>
      <c r="AG490" s="3"/>
      <c r="AH490" s="3"/>
      <c r="AI490" s="3"/>
    </row>
    <row r="491" spans="1:35" ht="15.75" customHeight="1">
      <c r="A491" s="3"/>
      <c r="B491" s="79"/>
      <c r="C491" s="80"/>
      <c r="D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81"/>
      <c r="AC491" s="80"/>
      <c r="AD491" s="3"/>
      <c r="AE491" s="3"/>
      <c r="AF491" s="3"/>
      <c r="AG491" s="3"/>
      <c r="AH491" s="3"/>
      <c r="AI491" s="3"/>
    </row>
    <row r="492" spans="1:35" ht="15.75" customHeight="1">
      <c r="A492" s="3"/>
      <c r="B492" s="79"/>
      <c r="C492" s="80"/>
      <c r="D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81"/>
      <c r="AC492" s="80"/>
      <c r="AD492" s="3"/>
      <c r="AE492" s="3"/>
      <c r="AF492" s="3"/>
      <c r="AG492" s="3"/>
      <c r="AH492" s="3"/>
      <c r="AI492" s="3"/>
    </row>
    <row r="493" spans="1:35" ht="15.75" customHeight="1">
      <c r="A493" s="3"/>
      <c r="B493" s="79"/>
      <c r="C493" s="80"/>
      <c r="D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81"/>
      <c r="AC493" s="80"/>
      <c r="AD493" s="3"/>
      <c r="AE493" s="3"/>
      <c r="AF493" s="3"/>
      <c r="AG493" s="3"/>
      <c r="AH493" s="3"/>
      <c r="AI493" s="3"/>
    </row>
    <row r="494" spans="1:35" ht="15.75" customHeight="1">
      <c r="A494" s="3"/>
      <c r="B494" s="79"/>
      <c r="C494" s="80"/>
      <c r="D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81"/>
      <c r="AC494" s="80"/>
      <c r="AD494" s="3"/>
      <c r="AE494" s="3"/>
      <c r="AF494" s="3"/>
      <c r="AG494" s="3"/>
      <c r="AH494" s="3"/>
      <c r="AI494" s="3"/>
    </row>
    <row r="495" spans="1:35" ht="15.75" customHeight="1">
      <c r="A495" s="3"/>
      <c r="B495" s="79"/>
      <c r="C495" s="80"/>
      <c r="D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81"/>
      <c r="AC495" s="80"/>
      <c r="AD495" s="3"/>
      <c r="AE495" s="3"/>
      <c r="AF495" s="3"/>
      <c r="AG495" s="3"/>
      <c r="AH495" s="3"/>
      <c r="AI495" s="3"/>
    </row>
    <row r="496" spans="1:35" ht="15.75" customHeight="1">
      <c r="A496" s="3"/>
      <c r="B496" s="79"/>
      <c r="C496" s="80"/>
      <c r="D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81"/>
      <c r="AC496" s="80"/>
      <c r="AD496" s="3"/>
      <c r="AE496" s="3"/>
      <c r="AF496" s="3"/>
      <c r="AG496" s="3"/>
      <c r="AH496" s="3"/>
      <c r="AI496" s="3"/>
    </row>
    <row r="497" spans="1:35" ht="15.75" customHeight="1">
      <c r="A497" s="3"/>
      <c r="B497" s="79"/>
      <c r="C497" s="80"/>
      <c r="D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81"/>
      <c r="AC497" s="80"/>
      <c r="AD497" s="3"/>
      <c r="AE497" s="3"/>
      <c r="AF497" s="3"/>
      <c r="AG497" s="3"/>
      <c r="AH497" s="3"/>
      <c r="AI497" s="3"/>
    </row>
    <row r="498" spans="1:35" ht="15.75" customHeight="1">
      <c r="A498" s="3"/>
      <c r="B498" s="79"/>
      <c r="C498" s="80"/>
      <c r="D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81"/>
      <c r="AC498" s="80"/>
      <c r="AD498" s="3"/>
      <c r="AE498" s="3"/>
      <c r="AF498" s="3"/>
      <c r="AG498" s="3"/>
      <c r="AH498" s="3"/>
      <c r="AI498" s="3"/>
    </row>
    <row r="499" spans="1:35" ht="15.75" customHeight="1">
      <c r="A499" s="3"/>
      <c r="B499" s="79"/>
      <c r="C499" s="80"/>
      <c r="D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81"/>
      <c r="AC499" s="80"/>
      <c r="AD499" s="3"/>
      <c r="AE499" s="3"/>
      <c r="AF499" s="3"/>
      <c r="AG499" s="3"/>
      <c r="AH499" s="3"/>
      <c r="AI499" s="3"/>
    </row>
    <row r="500" spans="1:35" ht="15.75" customHeight="1">
      <c r="A500" s="3"/>
      <c r="B500" s="79"/>
      <c r="C500" s="80"/>
      <c r="D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81"/>
      <c r="AC500" s="80"/>
      <c r="AD500" s="3"/>
      <c r="AE500" s="3"/>
      <c r="AF500" s="3"/>
      <c r="AG500" s="3"/>
      <c r="AH500" s="3"/>
      <c r="AI500" s="3"/>
    </row>
    <row r="501" spans="1:35" ht="15.75" customHeight="1">
      <c r="A501" s="3"/>
      <c r="B501" s="79"/>
      <c r="C501" s="80"/>
      <c r="D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81"/>
      <c r="AC501" s="80"/>
      <c r="AD501" s="3"/>
      <c r="AE501" s="3"/>
      <c r="AF501" s="3"/>
      <c r="AG501" s="3"/>
      <c r="AH501" s="3"/>
      <c r="AI501" s="3"/>
    </row>
    <row r="502" spans="1:35" ht="15.75" customHeight="1">
      <c r="A502" s="3"/>
      <c r="B502" s="79"/>
      <c r="C502" s="80"/>
      <c r="D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81"/>
      <c r="AC502" s="80"/>
      <c r="AD502" s="3"/>
      <c r="AE502" s="3"/>
      <c r="AF502" s="3"/>
      <c r="AG502" s="3"/>
      <c r="AH502" s="3"/>
      <c r="AI502" s="3"/>
    </row>
    <row r="503" spans="1:35" ht="15.75" customHeight="1">
      <c r="A503" s="3"/>
      <c r="B503" s="79"/>
      <c r="C503" s="80"/>
      <c r="D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81"/>
      <c r="AC503" s="80"/>
      <c r="AD503" s="3"/>
      <c r="AE503" s="3"/>
      <c r="AF503" s="3"/>
      <c r="AG503" s="3"/>
      <c r="AH503" s="3"/>
      <c r="AI503" s="3"/>
    </row>
    <row r="504" spans="1:35" ht="15.75" customHeight="1">
      <c r="A504" s="3"/>
      <c r="B504" s="79"/>
      <c r="C504" s="80"/>
      <c r="D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81"/>
      <c r="AC504" s="80"/>
      <c r="AD504" s="3"/>
      <c r="AE504" s="3"/>
      <c r="AF504" s="3"/>
      <c r="AG504" s="3"/>
      <c r="AH504" s="3"/>
      <c r="AI504" s="3"/>
    </row>
    <row r="505" spans="1:35" ht="15.75" customHeight="1">
      <c r="A505" s="3"/>
      <c r="B505" s="79"/>
      <c r="C505" s="80"/>
      <c r="D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81"/>
      <c r="AC505" s="80"/>
      <c r="AD505" s="3"/>
      <c r="AE505" s="3"/>
      <c r="AF505" s="3"/>
      <c r="AG505" s="3"/>
      <c r="AH505" s="3"/>
      <c r="AI505" s="3"/>
    </row>
    <row r="506" spans="1:35" ht="15.75" customHeight="1">
      <c r="A506" s="3"/>
      <c r="B506" s="79"/>
      <c r="C506" s="80"/>
      <c r="D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81"/>
      <c r="AC506" s="80"/>
      <c r="AD506" s="3"/>
      <c r="AE506" s="3"/>
      <c r="AF506" s="3"/>
      <c r="AG506" s="3"/>
      <c r="AH506" s="3"/>
      <c r="AI506" s="3"/>
    </row>
    <row r="507" spans="1:35" ht="15.75" customHeight="1">
      <c r="A507" s="3"/>
      <c r="B507" s="79"/>
      <c r="C507" s="80"/>
      <c r="D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81"/>
      <c r="AC507" s="80"/>
      <c r="AD507" s="3"/>
      <c r="AE507" s="3"/>
      <c r="AF507" s="3"/>
      <c r="AG507" s="3"/>
      <c r="AH507" s="3"/>
      <c r="AI507" s="3"/>
    </row>
    <row r="508" spans="1:35" ht="15.75" customHeight="1">
      <c r="A508" s="3"/>
      <c r="B508" s="79"/>
      <c r="C508" s="80"/>
      <c r="D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81"/>
      <c r="AC508" s="80"/>
      <c r="AD508" s="3"/>
      <c r="AE508" s="3"/>
      <c r="AF508" s="3"/>
      <c r="AG508" s="3"/>
      <c r="AH508" s="3"/>
      <c r="AI508" s="3"/>
    </row>
    <row r="509" spans="1:35" ht="15.75" customHeight="1">
      <c r="A509" s="3"/>
      <c r="B509" s="79"/>
      <c r="C509" s="80"/>
      <c r="D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81"/>
      <c r="AC509" s="80"/>
      <c r="AD509" s="3"/>
      <c r="AE509" s="3"/>
      <c r="AF509" s="3"/>
      <c r="AG509" s="3"/>
      <c r="AH509" s="3"/>
      <c r="AI509" s="3"/>
    </row>
    <row r="510" spans="1:35" ht="15.75" customHeight="1">
      <c r="A510" s="3"/>
      <c r="B510" s="79"/>
      <c r="C510" s="80"/>
      <c r="D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81"/>
      <c r="AC510" s="80"/>
      <c r="AD510" s="3"/>
      <c r="AE510" s="3"/>
      <c r="AF510" s="3"/>
      <c r="AG510" s="3"/>
      <c r="AH510" s="3"/>
      <c r="AI510" s="3"/>
    </row>
    <row r="511" spans="1:35" ht="15.75" customHeight="1">
      <c r="A511" s="3"/>
      <c r="B511" s="79"/>
      <c r="C511" s="80"/>
      <c r="D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81"/>
      <c r="AC511" s="80"/>
      <c r="AD511" s="3"/>
      <c r="AE511" s="3"/>
      <c r="AF511" s="3"/>
      <c r="AG511" s="3"/>
      <c r="AH511" s="3"/>
      <c r="AI511" s="3"/>
    </row>
    <row r="512" spans="1:35" ht="15.75" customHeight="1">
      <c r="A512" s="3"/>
      <c r="B512" s="79"/>
      <c r="C512" s="80"/>
      <c r="D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81"/>
      <c r="AC512" s="80"/>
      <c r="AD512" s="3"/>
      <c r="AE512" s="3"/>
      <c r="AF512" s="3"/>
      <c r="AG512" s="3"/>
      <c r="AH512" s="3"/>
      <c r="AI512" s="3"/>
    </row>
    <row r="513" spans="1:35" ht="15.75" customHeight="1">
      <c r="A513" s="3"/>
      <c r="B513" s="79"/>
      <c r="C513" s="80"/>
      <c r="D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81"/>
      <c r="AC513" s="80"/>
      <c r="AD513" s="3"/>
      <c r="AE513" s="3"/>
      <c r="AF513" s="3"/>
      <c r="AG513" s="3"/>
      <c r="AH513" s="3"/>
      <c r="AI513" s="3"/>
    </row>
    <row r="514" spans="1:35" ht="15.75" customHeight="1">
      <c r="A514" s="3"/>
      <c r="B514" s="79"/>
      <c r="C514" s="80"/>
      <c r="D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81"/>
      <c r="AC514" s="80"/>
      <c r="AD514" s="3"/>
      <c r="AE514" s="3"/>
      <c r="AF514" s="3"/>
      <c r="AG514" s="3"/>
      <c r="AH514" s="3"/>
      <c r="AI514" s="3"/>
    </row>
    <row r="515" spans="1:35" ht="15.75" customHeight="1">
      <c r="A515" s="3"/>
      <c r="B515" s="79"/>
      <c r="C515" s="80"/>
      <c r="D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81"/>
      <c r="AC515" s="80"/>
      <c r="AD515" s="3"/>
      <c r="AE515" s="3"/>
      <c r="AF515" s="3"/>
      <c r="AG515" s="3"/>
      <c r="AH515" s="3"/>
      <c r="AI515" s="3"/>
    </row>
    <row r="516" spans="1:35" ht="15.75" customHeight="1">
      <c r="A516" s="3"/>
      <c r="B516" s="79"/>
      <c r="C516" s="80"/>
      <c r="D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81"/>
      <c r="AC516" s="80"/>
      <c r="AD516" s="3"/>
      <c r="AE516" s="3"/>
      <c r="AF516" s="3"/>
      <c r="AG516" s="3"/>
      <c r="AH516" s="3"/>
      <c r="AI516" s="3"/>
    </row>
    <row r="517" spans="1:35" ht="15.75" customHeight="1">
      <c r="A517" s="3"/>
      <c r="B517" s="79"/>
      <c r="C517" s="80"/>
      <c r="D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81"/>
      <c r="AC517" s="80"/>
      <c r="AD517" s="3"/>
      <c r="AE517" s="3"/>
      <c r="AF517" s="3"/>
      <c r="AG517" s="3"/>
      <c r="AH517" s="3"/>
      <c r="AI517" s="3"/>
    </row>
    <row r="518" spans="1:35" ht="15.75" customHeight="1">
      <c r="A518" s="3"/>
      <c r="B518" s="79"/>
      <c r="C518" s="80"/>
      <c r="D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81"/>
      <c r="AC518" s="80"/>
      <c r="AD518" s="3"/>
      <c r="AE518" s="3"/>
      <c r="AF518" s="3"/>
      <c r="AG518" s="3"/>
      <c r="AH518" s="3"/>
      <c r="AI518" s="3"/>
    </row>
    <row r="519" spans="1:35" ht="15.75" customHeight="1">
      <c r="A519" s="3"/>
      <c r="B519" s="79"/>
      <c r="C519" s="80"/>
      <c r="D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81"/>
      <c r="AC519" s="80"/>
      <c r="AD519" s="3"/>
      <c r="AE519" s="3"/>
      <c r="AF519" s="3"/>
      <c r="AG519" s="3"/>
      <c r="AH519" s="3"/>
      <c r="AI519" s="3"/>
    </row>
    <row r="520" spans="1:35" ht="15.75" customHeight="1">
      <c r="A520" s="3"/>
      <c r="B520" s="79"/>
      <c r="C520" s="80"/>
      <c r="D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81"/>
      <c r="AC520" s="80"/>
      <c r="AD520" s="3"/>
      <c r="AE520" s="3"/>
      <c r="AF520" s="3"/>
      <c r="AG520" s="3"/>
      <c r="AH520" s="3"/>
      <c r="AI520" s="3"/>
    </row>
    <row r="521" spans="1:35" ht="15.75" customHeight="1">
      <c r="A521" s="3"/>
      <c r="B521" s="79"/>
      <c r="C521" s="80"/>
      <c r="D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81"/>
      <c r="AC521" s="80"/>
      <c r="AD521" s="3"/>
      <c r="AE521" s="3"/>
      <c r="AF521" s="3"/>
      <c r="AG521" s="3"/>
      <c r="AH521" s="3"/>
      <c r="AI521" s="3"/>
    </row>
    <row r="522" spans="1:35" ht="15.75" customHeight="1">
      <c r="A522" s="3"/>
      <c r="B522" s="79"/>
      <c r="C522" s="80"/>
      <c r="D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81"/>
      <c r="AC522" s="80"/>
      <c r="AD522" s="3"/>
      <c r="AE522" s="3"/>
      <c r="AF522" s="3"/>
      <c r="AG522" s="3"/>
      <c r="AH522" s="3"/>
      <c r="AI522" s="3"/>
    </row>
    <row r="523" spans="1:35" ht="15.75" customHeight="1">
      <c r="A523" s="3"/>
      <c r="B523" s="79"/>
      <c r="C523" s="80"/>
      <c r="D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81"/>
      <c r="AC523" s="80"/>
      <c r="AD523" s="3"/>
      <c r="AE523" s="3"/>
      <c r="AF523" s="3"/>
      <c r="AG523" s="3"/>
      <c r="AH523" s="3"/>
      <c r="AI523" s="3"/>
    </row>
    <row r="524" spans="1:35" ht="15.75" customHeight="1">
      <c r="A524" s="3"/>
      <c r="B524" s="79"/>
      <c r="C524" s="80"/>
      <c r="D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81"/>
      <c r="AC524" s="80"/>
      <c r="AD524" s="3"/>
      <c r="AE524" s="3"/>
      <c r="AF524" s="3"/>
      <c r="AG524" s="3"/>
      <c r="AH524" s="3"/>
      <c r="AI524" s="3"/>
    </row>
    <row r="525" spans="1:35" ht="15.75" customHeight="1">
      <c r="A525" s="3"/>
      <c r="B525" s="79"/>
      <c r="C525" s="80"/>
      <c r="D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81"/>
      <c r="AC525" s="80"/>
      <c r="AD525" s="3"/>
      <c r="AE525" s="3"/>
      <c r="AF525" s="3"/>
      <c r="AG525" s="3"/>
      <c r="AH525" s="3"/>
      <c r="AI525" s="3"/>
    </row>
    <row r="526" spans="1:35" ht="15.75" customHeight="1">
      <c r="A526" s="3"/>
      <c r="B526" s="79"/>
      <c r="C526" s="80"/>
      <c r="D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81"/>
      <c r="AC526" s="80"/>
      <c r="AD526" s="3"/>
      <c r="AE526" s="3"/>
      <c r="AF526" s="3"/>
      <c r="AG526" s="3"/>
      <c r="AH526" s="3"/>
      <c r="AI526" s="3"/>
    </row>
    <row r="527" spans="1:35" ht="15.75" customHeight="1">
      <c r="A527" s="3"/>
      <c r="B527" s="79"/>
      <c r="C527" s="80"/>
      <c r="D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81"/>
      <c r="AC527" s="80"/>
      <c r="AD527" s="3"/>
      <c r="AE527" s="3"/>
      <c r="AF527" s="3"/>
      <c r="AG527" s="3"/>
      <c r="AH527" s="3"/>
      <c r="AI527" s="3"/>
    </row>
    <row r="528" spans="1:35" ht="15.75" customHeight="1">
      <c r="A528" s="3"/>
      <c r="B528" s="79"/>
      <c r="C528" s="80"/>
      <c r="D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81"/>
      <c r="AC528" s="80"/>
      <c r="AD528" s="3"/>
      <c r="AE528" s="3"/>
      <c r="AF528" s="3"/>
      <c r="AG528" s="3"/>
      <c r="AH528" s="3"/>
      <c r="AI528" s="3"/>
    </row>
    <row r="529" spans="1:35" ht="15.75" customHeight="1">
      <c r="A529" s="3"/>
      <c r="B529" s="79"/>
      <c r="C529" s="80"/>
      <c r="D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81"/>
      <c r="AC529" s="80"/>
      <c r="AD529" s="3"/>
      <c r="AE529" s="3"/>
      <c r="AF529" s="3"/>
      <c r="AG529" s="3"/>
      <c r="AH529" s="3"/>
      <c r="AI529" s="3"/>
    </row>
    <row r="530" spans="1:35" ht="15.75" customHeight="1">
      <c r="A530" s="3"/>
      <c r="B530" s="79"/>
      <c r="C530" s="80"/>
      <c r="D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81"/>
      <c r="AC530" s="80"/>
      <c r="AD530" s="3"/>
      <c r="AE530" s="3"/>
      <c r="AF530" s="3"/>
      <c r="AG530" s="3"/>
      <c r="AH530" s="3"/>
      <c r="AI530" s="3"/>
    </row>
    <row r="531" spans="1:35" ht="15.75" customHeight="1">
      <c r="A531" s="3"/>
      <c r="B531" s="79"/>
      <c r="C531" s="80"/>
      <c r="D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81"/>
      <c r="AC531" s="80"/>
      <c r="AD531" s="3"/>
      <c r="AE531" s="3"/>
      <c r="AF531" s="3"/>
      <c r="AG531" s="3"/>
      <c r="AH531" s="3"/>
      <c r="AI531" s="3"/>
    </row>
    <row r="532" spans="1:35" ht="15.75" customHeight="1">
      <c r="A532" s="3"/>
      <c r="B532" s="79"/>
      <c r="C532" s="80"/>
      <c r="D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81"/>
      <c r="AC532" s="80"/>
      <c r="AD532" s="3"/>
      <c r="AE532" s="3"/>
      <c r="AF532" s="3"/>
      <c r="AG532" s="3"/>
      <c r="AH532" s="3"/>
      <c r="AI532" s="3"/>
    </row>
    <row r="533" spans="1:35" ht="15.75" customHeight="1">
      <c r="A533" s="3"/>
      <c r="B533" s="79"/>
      <c r="C533" s="80"/>
      <c r="D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81"/>
      <c r="AC533" s="80"/>
      <c r="AD533" s="3"/>
      <c r="AE533" s="3"/>
      <c r="AF533" s="3"/>
      <c r="AG533" s="3"/>
      <c r="AH533" s="3"/>
      <c r="AI533" s="3"/>
    </row>
    <row r="534" spans="1:35" ht="15.75" customHeight="1">
      <c r="A534" s="3"/>
      <c r="B534" s="79"/>
      <c r="C534" s="80"/>
      <c r="D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81"/>
      <c r="AC534" s="80"/>
      <c r="AD534" s="3"/>
      <c r="AE534" s="3"/>
      <c r="AF534" s="3"/>
      <c r="AG534" s="3"/>
      <c r="AH534" s="3"/>
      <c r="AI534" s="3"/>
    </row>
    <row r="535" spans="1:35" ht="15.75" customHeight="1">
      <c r="A535" s="3"/>
      <c r="B535" s="79"/>
      <c r="C535" s="80"/>
      <c r="D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81"/>
      <c r="AC535" s="80"/>
      <c r="AD535" s="3"/>
      <c r="AE535" s="3"/>
      <c r="AF535" s="3"/>
      <c r="AG535" s="3"/>
      <c r="AH535" s="3"/>
      <c r="AI535" s="3"/>
    </row>
    <row r="536" spans="1:35" ht="15.75" customHeight="1">
      <c r="A536" s="3"/>
      <c r="B536" s="79"/>
      <c r="C536" s="80"/>
      <c r="D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81"/>
      <c r="AC536" s="80"/>
      <c r="AD536" s="3"/>
      <c r="AE536" s="3"/>
      <c r="AF536" s="3"/>
      <c r="AG536" s="3"/>
      <c r="AH536" s="3"/>
      <c r="AI536" s="3"/>
    </row>
    <row r="537" spans="1:35" ht="15.75" customHeight="1">
      <c r="A537" s="3"/>
      <c r="B537" s="79"/>
      <c r="C537" s="80"/>
      <c r="D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81"/>
      <c r="AC537" s="80"/>
      <c r="AD537" s="3"/>
      <c r="AE537" s="3"/>
      <c r="AF537" s="3"/>
      <c r="AG537" s="3"/>
      <c r="AH537" s="3"/>
      <c r="AI537" s="3"/>
    </row>
    <row r="538" spans="1:35" ht="15.75" customHeight="1">
      <c r="A538" s="3"/>
      <c r="B538" s="79"/>
      <c r="C538" s="80"/>
      <c r="D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81"/>
      <c r="AC538" s="80"/>
      <c r="AD538" s="3"/>
      <c r="AE538" s="3"/>
      <c r="AF538" s="3"/>
      <c r="AG538" s="3"/>
      <c r="AH538" s="3"/>
      <c r="AI538" s="3"/>
    </row>
    <row r="539" spans="1:35" ht="15.75" customHeight="1">
      <c r="A539" s="3"/>
      <c r="B539" s="79"/>
      <c r="C539" s="80"/>
      <c r="D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81"/>
      <c r="AC539" s="80"/>
      <c r="AD539" s="3"/>
      <c r="AE539" s="3"/>
      <c r="AF539" s="3"/>
      <c r="AG539" s="3"/>
      <c r="AH539" s="3"/>
      <c r="AI539" s="3"/>
    </row>
    <row r="540" spans="1:35" ht="15.75" customHeight="1">
      <c r="A540" s="3"/>
      <c r="B540" s="79"/>
      <c r="C540" s="80"/>
      <c r="D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81"/>
      <c r="AC540" s="80"/>
      <c r="AD540" s="3"/>
      <c r="AE540" s="3"/>
      <c r="AF540" s="3"/>
      <c r="AG540" s="3"/>
      <c r="AH540" s="3"/>
      <c r="AI540" s="3"/>
    </row>
    <row r="541" spans="1:35" ht="15.75" customHeight="1">
      <c r="A541" s="3"/>
      <c r="B541" s="79"/>
      <c r="C541" s="80"/>
      <c r="D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81"/>
      <c r="AC541" s="80"/>
      <c r="AD541" s="3"/>
      <c r="AE541" s="3"/>
      <c r="AF541" s="3"/>
      <c r="AG541" s="3"/>
      <c r="AH541" s="3"/>
      <c r="AI541" s="3"/>
    </row>
    <row r="542" spans="1:35" ht="15.75" customHeight="1">
      <c r="A542" s="3"/>
      <c r="B542" s="79"/>
      <c r="C542" s="80"/>
      <c r="D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81"/>
      <c r="AC542" s="80"/>
      <c r="AD542" s="3"/>
      <c r="AE542" s="3"/>
      <c r="AF542" s="3"/>
      <c r="AG542" s="3"/>
      <c r="AH542" s="3"/>
      <c r="AI542" s="3"/>
    </row>
    <row r="543" spans="1:35" ht="15.75" customHeight="1">
      <c r="A543" s="3"/>
      <c r="B543" s="79"/>
      <c r="C543" s="80"/>
      <c r="D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81"/>
      <c r="AC543" s="80"/>
      <c r="AD543" s="3"/>
      <c r="AE543" s="3"/>
      <c r="AF543" s="3"/>
      <c r="AG543" s="3"/>
      <c r="AH543" s="3"/>
      <c r="AI543" s="3"/>
    </row>
    <row r="544" spans="1:35" ht="15.75" customHeight="1">
      <c r="A544" s="3"/>
      <c r="B544" s="79"/>
      <c r="C544" s="80"/>
      <c r="D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81"/>
      <c r="AC544" s="80"/>
      <c r="AD544" s="3"/>
      <c r="AE544" s="3"/>
      <c r="AF544" s="3"/>
      <c r="AG544" s="3"/>
      <c r="AH544" s="3"/>
      <c r="AI544" s="3"/>
    </row>
    <row r="545" spans="1:35" ht="15.75" customHeight="1">
      <c r="A545" s="3"/>
      <c r="B545" s="79"/>
      <c r="C545" s="80"/>
      <c r="D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81"/>
      <c r="AC545" s="80"/>
      <c r="AD545" s="3"/>
      <c r="AE545" s="3"/>
      <c r="AF545" s="3"/>
      <c r="AG545" s="3"/>
      <c r="AH545" s="3"/>
      <c r="AI545" s="3"/>
    </row>
    <row r="546" spans="1:35" ht="15.75" customHeight="1">
      <c r="A546" s="3"/>
      <c r="B546" s="79"/>
      <c r="C546" s="80"/>
      <c r="D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81"/>
      <c r="AC546" s="80"/>
      <c r="AD546" s="3"/>
      <c r="AE546" s="3"/>
      <c r="AF546" s="3"/>
      <c r="AG546" s="3"/>
      <c r="AH546" s="3"/>
      <c r="AI546" s="3"/>
    </row>
    <row r="547" spans="1:35" ht="15.75" customHeight="1">
      <c r="A547" s="3"/>
      <c r="B547" s="79"/>
      <c r="C547" s="80"/>
      <c r="D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81"/>
      <c r="AC547" s="80"/>
      <c r="AD547" s="3"/>
      <c r="AE547" s="3"/>
      <c r="AF547" s="3"/>
      <c r="AG547" s="3"/>
      <c r="AH547" s="3"/>
      <c r="AI547" s="3"/>
    </row>
    <row r="548" spans="1:35" ht="15.75" customHeight="1">
      <c r="A548" s="3"/>
      <c r="B548" s="79"/>
      <c r="C548" s="80"/>
      <c r="D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81"/>
      <c r="AC548" s="80"/>
      <c r="AD548" s="3"/>
      <c r="AE548" s="3"/>
      <c r="AF548" s="3"/>
      <c r="AG548" s="3"/>
      <c r="AH548" s="3"/>
      <c r="AI548" s="3"/>
    </row>
    <row r="549" spans="1:35" ht="15.75" customHeight="1">
      <c r="A549" s="3"/>
      <c r="B549" s="79"/>
      <c r="C549" s="80"/>
      <c r="D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81"/>
      <c r="AC549" s="80"/>
      <c r="AD549" s="3"/>
      <c r="AE549" s="3"/>
      <c r="AF549" s="3"/>
      <c r="AG549" s="3"/>
      <c r="AH549" s="3"/>
      <c r="AI549" s="3"/>
    </row>
    <row r="550" spans="1:35" ht="15.75" customHeight="1">
      <c r="A550" s="3"/>
      <c r="B550" s="79"/>
      <c r="C550" s="80"/>
      <c r="D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81"/>
      <c r="AC550" s="80"/>
      <c r="AD550" s="3"/>
      <c r="AE550" s="3"/>
      <c r="AF550" s="3"/>
      <c r="AG550" s="3"/>
      <c r="AH550" s="3"/>
      <c r="AI550" s="3"/>
    </row>
    <row r="551" spans="1:35" ht="15.75" customHeight="1">
      <c r="A551" s="3"/>
      <c r="B551" s="79"/>
      <c r="C551" s="80"/>
      <c r="D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81"/>
      <c r="AC551" s="80"/>
      <c r="AD551" s="3"/>
      <c r="AE551" s="3"/>
      <c r="AF551" s="3"/>
      <c r="AG551" s="3"/>
      <c r="AH551" s="3"/>
      <c r="AI551" s="3"/>
    </row>
    <row r="552" spans="1:35" ht="15.75" customHeight="1">
      <c r="A552" s="3"/>
      <c r="B552" s="79"/>
      <c r="C552" s="80"/>
      <c r="D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81"/>
      <c r="AC552" s="80"/>
      <c r="AD552" s="3"/>
      <c r="AE552" s="3"/>
      <c r="AF552" s="3"/>
      <c r="AG552" s="3"/>
      <c r="AH552" s="3"/>
      <c r="AI552" s="3"/>
    </row>
    <row r="553" spans="1:35" ht="15.75" customHeight="1">
      <c r="A553" s="3"/>
      <c r="B553" s="79"/>
      <c r="C553" s="80"/>
      <c r="D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81"/>
      <c r="AC553" s="80"/>
      <c r="AD553" s="3"/>
      <c r="AE553" s="3"/>
      <c r="AF553" s="3"/>
      <c r="AG553" s="3"/>
      <c r="AH553" s="3"/>
      <c r="AI553" s="3"/>
    </row>
    <row r="554" spans="1:35" ht="15.75" customHeight="1">
      <c r="A554" s="3"/>
      <c r="B554" s="79"/>
      <c r="C554" s="80"/>
      <c r="D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81"/>
      <c r="AC554" s="80"/>
      <c r="AD554" s="3"/>
      <c r="AE554" s="3"/>
      <c r="AF554" s="3"/>
      <c r="AG554" s="3"/>
      <c r="AH554" s="3"/>
      <c r="AI554" s="3"/>
    </row>
    <row r="555" spans="1:35" ht="15.75" customHeight="1">
      <c r="A555" s="3"/>
      <c r="B555" s="79"/>
      <c r="C555" s="80"/>
      <c r="D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81"/>
      <c r="AC555" s="80"/>
      <c r="AD555" s="3"/>
      <c r="AE555" s="3"/>
      <c r="AF555" s="3"/>
      <c r="AG555" s="3"/>
      <c r="AH555" s="3"/>
      <c r="AI555" s="3"/>
    </row>
    <row r="556" spans="1:35" ht="15.75" customHeight="1">
      <c r="A556" s="3"/>
      <c r="B556" s="79"/>
      <c r="C556" s="80"/>
      <c r="D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81"/>
      <c r="AC556" s="80"/>
      <c r="AD556" s="3"/>
      <c r="AE556" s="3"/>
      <c r="AF556" s="3"/>
      <c r="AG556" s="3"/>
      <c r="AH556" s="3"/>
      <c r="AI556" s="3"/>
    </row>
    <row r="557" spans="1:35" ht="15.75" customHeight="1">
      <c r="A557" s="3"/>
      <c r="B557" s="79"/>
      <c r="C557" s="80"/>
      <c r="D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81"/>
      <c r="AC557" s="80"/>
      <c r="AD557" s="3"/>
      <c r="AE557" s="3"/>
      <c r="AF557" s="3"/>
      <c r="AG557" s="3"/>
      <c r="AH557" s="3"/>
      <c r="AI557" s="3"/>
    </row>
    <row r="558" spans="1:35" ht="15.75" customHeight="1">
      <c r="A558" s="3"/>
      <c r="B558" s="79"/>
      <c r="C558" s="80"/>
      <c r="D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81"/>
      <c r="AC558" s="80"/>
      <c r="AD558" s="3"/>
      <c r="AE558" s="3"/>
      <c r="AF558" s="3"/>
      <c r="AG558" s="3"/>
      <c r="AH558" s="3"/>
      <c r="AI558" s="3"/>
    </row>
    <row r="559" spans="1:35" ht="15.75" customHeight="1">
      <c r="A559" s="3"/>
      <c r="B559" s="79"/>
      <c r="C559" s="80"/>
      <c r="D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81"/>
      <c r="AC559" s="80"/>
      <c r="AD559" s="3"/>
      <c r="AE559" s="3"/>
      <c r="AF559" s="3"/>
      <c r="AG559" s="3"/>
      <c r="AH559" s="3"/>
      <c r="AI559" s="3"/>
    </row>
    <row r="560" spans="1:35" ht="15.75" customHeight="1">
      <c r="A560" s="3"/>
      <c r="B560" s="79"/>
      <c r="C560" s="80"/>
      <c r="D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81"/>
      <c r="AC560" s="80"/>
      <c r="AD560" s="3"/>
      <c r="AE560" s="3"/>
      <c r="AF560" s="3"/>
      <c r="AG560" s="3"/>
      <c r="AH560" s="3"/>
      <c r="AI560" s="3"/>
    </row>
    <row r="561" spans="1:35" ht="15.75" customHeight="1">
      <c r="A561" s="3"/>
      <c r="B561" s="79"/>
      <c r="C561" s="80"/>
      <c r="D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81"/>
      <c r="AC561" s="80"/>
      <c r="AD561" s="3"/>
      <c r="AE561" s="3"/>
      <c r="AF561" s="3"/>
      <c r="AG561" s="3"/>
      <c r="AH561" s="3"/>
      <c r="AI561" s="3"/>
    </row>
    <row r="562" spans="1:35" ht="15.75" customHeight="1">
      <c r="A562" s="3"/>
      <c r="B562" s="79"/>
      <c r="C562" s="80"/>
      <c r="D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81"/>
      <c r="AC562" s="80"/>
      <c r="AD562" s="3"/>
      <c r="AE562" s="3"/>
      <c r="AF562" s="3"/>
      <c r="AG562" s="3"/>
      <c r="AH562" s="3"/>
      <c r="AI562" s="3"/>
    </row>
    <row r="563" spans="1:35" ht="15.75" customHeight="1">
      <c r="A563" s="3"/>
      <c r="B563" s="79"/>
      <c r="C563" s="80"/>
      <c r="D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81"/>
      <c r="AC563" s="80"/>
      <c r="AD563" s="3"/>
      <c r="AE563" s="3"/>
      <c r="AF563" s="3"/>
      <c r="AG563" s="3"/>
      <c r="AH563" s="3"/>
      <c r="AI563" s="3"/>
    </row>
    <row r="564" spans="1:35" ht="15.75" customHeight="1">
      <c r="A564" s="3"/>
      <c r="B564" s="79"/>
      <c r="C564" s="80"/>
      <c r="D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81"/>
      <c r="AC564" s="80"/>
      <c r="AD564" s="3"/>
      <c r="AE564" s="3"/>
      <c r="AF564" s="3"/>
      <c r="AG564" s="3"/>
      <c r="AH564" s="3"/>
      <c r="AI564" s="3"/>
    </row>
    <row r="565" spans="1:35" ht="15.75" customHeight="1">
      <c r="A565" s="3"/>
      <c r="B565" s="79"/>
      <c r="C565" s="80"/>
      <c r="D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81"/>
      <c r="AC565" s="80"/>
      <c r="AD565" s="3"/>
      <c r="AE565" s="3"/>
      <c r="AF565" s="3"/>
      <c r="AG565" s="3"/>
      <c r="AH565" s="3"/>
      <c r="AI565" s="3"/>
    </row>
    <row r="566" spans="1:35" ht="15.75" customHeight="1">
      <c r="A566" s="3"/>
      <c r="B566" s="79"/>
      <c r="C566" s="80"/>
      <c r="D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81"/>
      <c r="AC566" s="80"/>
      <c r="AD566" s="3"/>
      <c r="AE566" s="3"/>
      <c r="AF566" s="3"/>
      <c r="AG566" s="3"/>
      <c r="AH566" s="3"/>
      <c r="AI566" s="3"/>
    </row>
    <row r="567" spans="1:35" ht="15.75" customHeight="1">
      <c r="A567" s="3"/>
      <c r="B567" s="79"/>
      <c r="C567" s="80"/>
      <c r="D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81"/>
      <c r="AC567" s="80"/>
      <c r="AD567" s="3"/>
      <c r="AE567" s="3"/>
      <c r="AF567" s="3"/>
      <c r="AG567" s="3"/>
      <c r="AH567" s="3"/>
      <c r="AI567" s="3"/>
    </row>
    <row r="568" spans="1:35" ht="15.75" customHeight="1">
      <c r="A568" s="3"/>
      <c r="B568" s="79"/>
      <c r="C568" s="80"/>
      <c r="D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81"/>
      <c r="AC568" s="80"/>
      <c r="AD568" s="3"/>
      <c r="AE568" s="3"/>
      <c r="AF568" s="3"/>
      <c r="AG568" s="3"/>
      <c r="AH568" s="3"/>
      <c r="AI568" s="3"/>
    </row>
    <row r="569" spans="1:35" ht="15.75" customHeight="1">
      <c r="A569" s="3"/>
      <c r="B569" s="79"/>
      <c r="C569" s="80"/>
      <c r="D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81"/>
      <c r="AC569" s="80"/>
      <c r="AD569" s="3"/>
      <c r="AE569" s="3"/>
      <c r="AF569" s="3"/>
      <c r="AG569" s="3"/>
      <c r="AH569" s="3"/>
      <c r="AI569" s="3"/>
    </row>
    <row r="570" spans="1:35" ht="15.75" customHeight="1">
      <c r="A570" s="3"/>
      <c r="B570" s="79"/>
      <c r="C570" s="80"/>
      <c r="D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81"/>
      <c r="AC570" s="80"/>
      <c r="AD570" s="3"/>
      <c r="AE570" s="3"/>
      <c r="AF570" s="3"/>
      <c r="AG570" s="3"/>
      <c r="AH570" s="3"/>
      <c r="AI570" s="3"/>
    </row>
    <row r="571" spans="1:35" ht="15.75" customHeight="1">
      <c r="A571" s="3"/>
      <c r="B571" s="79"/>
      <c r="C571" s="80"/>
      <c r="D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81"/>
      <c r="AC571" s="80"/>
      <c r="AD571" s="3"/>
      <c r="AE571" s="3"/>
      <c r="AF571" s="3"/>
      <c r="AG571" s="3"/>
      <c r="AH571" s="3"/>
      <c r="AI571" s="3"/>
    </row>
    <row r="572" spans="1:35" ht="15.75" customHeight="1">
      <c r="A572" s="3"/>
      <c r="B572" s="79"/>
      <c r="C572" s="80"/>
      <c r="D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81"/>
      <c r="AC572" s="80"/>
      <c r="AD572" s="3"/>
      <c r="AE572" s="3"/>
      <c r="AF572" s="3"/>
      <c r="AG572" s="3"/>
      <c r="AH572" s="3"/>
      <c r="AI572" s="3"/>
    </row>
    <row r="573" spans="1:35" ht="15.75" customHeight="1">
      <c r="A573" s="3"/>
      <c r="B573" s="79"/>
      <c r="C573" s="80"/>
      <c r="D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81"/>
      <c r="AC573" s="80"/>
      <c r="AD573" s="3"/>
      <c r="AE573" s="3"/>
      <c r="AF573" s="3"/>
      <c r="AG573" s="3"/>
      <c r="AH573" s="3"/>
      <c r="AI573" s="3"/>
    </row>
    <row r="574" spans="1:35" ht="15.75" customHeight="1">
      <c r="A574" s="3"/>
      <c r="B574" s="79"/>
      <c r="C574" s="80"/>
      <c r="D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81"/>
      <c r="AC574" s="80"/>
      <c r="AD574" s="3"/>
      <c r="AE574" s="3"/>
      <c r="AF574" s="3"/>
      <c r="AG574" s="3"/>
      <c r="AH574" s="3"/>
      <c r="AI574" s="3"/>
    </row>
    <row r="575" spans="1:35" ht="15.75" customHeight="1">
      <c r="A575" s="3"/>
      <c r="B575" s="79"/>
      <c r="C575" s="80"/>
      <c r="D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81"/>
      <c r="AC575" s="80"/>
      <c r="AD575" s="3"/>
      <c r="AE575" s="3"/>
      <c r="AF575" s="3"/>
      <c r="AG575" s="3"/>
      <c r="AH575" s="3"/>
      <c r="AI575" s="3"/>
    </row>
    <row r="576" spans="1:35" ht="15.75" customHeight="1">
      <c r="A576" s="3"/>
      <c r="B576" s="79"/>
      <c r="C576" s="80"/>
      <c r="D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81"/>
      <c r="AC576" s="80"/>
      <c r="AD576" s="3"/>
      <c r="AE576" s="3"/>
      <c r="AF576" s="3"/>
      <c r="AG576" s="3"/>
      <c r="AH576" s="3"/>
      <c r="AI576" s="3"/>
    </row>
    <row r="577" spans="1:35" ht="15.75" customHeight="1">
      <c r="A577" s="3"/>
      <c r="B577" s="79"/>
      <c r="C577" s="80"/>
      <c r="D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81"/>
      <c r="AC577" s="80"/>
      <c r="AD577" s="3"/>
      <c r="AE577" s="3"/>
      <c r="AF577" s="3"/>
      <c r="AG577" s="3"/>
      <c r="AH577" s="3"/>
      <c r="AI577" s="3"/>
    </row>
    <row r="578" spans="1:35" ht="15.75" customHeight="1">
      <c r="A578" s="3"/>
      <c r="B578" s="79"/>
      <c r="C578" s="80"/>
      <c r="D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81"/>
      <c r="AC578" s="80"/>
      <c r="AD578" s="3"/>
      <c r="AE578" s="3"/>
      <c r="AF578" s="3"/>
      <c r="AG578" s="3"/>
      <c r="AH578" s="3"/>
      <c r="AI578" s="3"/>
    </row>
    <row r="579" spans="1:35" ht="15.75" customHeight="1">
      <c r="A579" s="3"/>
      <c r="B579" s="79"/>
      <c r="C579" s="80"/>
      <c r="D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81"/>
      <c r="AC579" s="80"/>
      <c r="AD579" s="3"/>
      <c r="AE579" s="3"/>
      <c r="AF579" s="3"/>
      <c r="AG579" s="3"/>
      <c r="AH579" s="3"/>
      <c r="AI579" s="3"/>
    </row>
    <row r="580" spans="1:35" ht="15.75" customHeight="1">
      <c r="A580" s="3"/>
      <c r="B580" s="79"/>
      <c r="C580" s="80"/>
      <c r="D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81"/>
      <c r="AC580" s="80"/>
      <c r="AD580" s="3"/>
      <c r="AE580" s="3"/>
      <c r="AF580" s="3"/>
      <c r="AG580" s="3"/>
      <c r="AH580" s="3"/>
      <c r="AI580" s="3"/>
    </row>
    <row r="581" spans="1:35" ht="15.75" customHeight="1">
      <c r="A581" s="3"/>
      <c r="B581" s="79"/>
      <c r="C581" s="80"/>
      <c r="D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81"/>
      <c r="AC581" s="80"/>
      <c r="AD581" s="3"/>
      <c r="AE581" s="3"/>
      <c r="AF581" s="3"/>
      <c r="AG581" s="3"/>
      <c r="AH581" s="3"/>
      <c r="AI581" s="3"/>
    </row>
    <row r="582" spans="1:35" ht="15.75" customHeight="1">
      <c r="A582" s="3"/>
      <c r="B582" s="79"/>
      <c r="C582" s="80"/>
      <c r="D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81"/>
      <c r="AC582" s="80"/>
      <c r="AD582" s="3"/>
      <c r="AE582" s="3"/>
      <c r="AF582" s="3"/>
      <c r="AG582" s="3"/>
      <c r="AH582" s="3"/>
      <c r="AI582" s="3"/>
    </row>
    <row r="583" spans="1:35" ht="15.75" customHeight="1">
      <c r="A583" s="3"/>
      <c r="B583" s="79"/>
      <c r="C583" s="80"/>
      <c r="D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81"/>
      <c r="AC583" s="80"/>
      <c r="AD583" s="3"/>
      <c r="AE583" s="3"/>
      <c r="AF583" s="3"/>
      <c r="AG583" s="3"/>
      <c r="AH583" s="3"/>
      <c r="AI583" s="3"/>
    </row>
    <row r="584" spans="1:35" ht="15.75" customHeight="1">
      <c r="A584" s="3"/>
      <c r="B584" s="79"/>
      <c r="C584" s="80"/>
      <c r="D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81"/>
      <c r="AC584" s="80"/>
      <c r="AD584" s="3"/>
      <c r="AE584" s="3"/>
      <c r="AF584" s="3"/>
      <c r="AG584" s="3"/>
      <c r="AH584" s="3"/>
      <c r="AI584" s="3"/>
    </row>
    <row r="585" spans="1:35" ht="15.75" customHeight="1">
      <c r="A585" s="3"/>
      <c r="B585" s="79"/>
      <c r="C585" s="80"/>
      <c r="D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81"/>
      <c r="AC585" s="80"/>
      <c r="AD585" s="3"/>
      <c r="AE585" s="3"/>
      <c r="AF585" s="3"/>
      <c r="AG585" s="3"/>
      <c r="AH585" s="3"/>
      <c r="AI585" s="3"/>
    </row>
    <row r="586" spans="1:35" ht="15.75" customHeight="1">
      <c r="A586" s="3"/>
      <c r="B586" s="79"/>
      <c r="C586" s="80"/>
      <c r="D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81"/>
      <c r="AC586" s="80"/>
      <c r="AD586" s="3"/>
      <c r="AE586" s="3"/>
      <c r="AF586" s="3"/>
      <c r="AG586" s="3"/>
      <c r="AH586" s="3"/>
      <c r="AI586" s="3"/>
    </row>
    <row r="587" spans="1:35" ht="15.75" customHeight="1">
      <c r="A587" s="3"/>
      <c r="B587" s="79"/>
      <c r="C587" s="80"/>
      <c r="D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81"/>
      <c r="AC587" s="80"/>
      <c r="AD587" s="3"/>
      <c r="AE587" s="3"/>
      <c r="AF587" s="3"/>
      <c r="AG587" s="3"/>
      <c r="AH587" s="3"/>
      <c r="AI587" s="3"/>
    </row>
    <row r="588" spans="1:35" ht="15.75" customHeight="1">
      <c r="A588" s="3"/>
      <c r="B588" s="79"/>
      <c r="C588" s="80"/>
      <c r="D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81"/>
      <c r="AC588" s="80"/>
      <c r="AD588" s="3"/>
      <c r="AE588" s="3"/>
      <c r="AF588" s="3"/>
      <c r="AG588" s="3"/>
      <c r="AH588" s="3"/>
      <c r="AI588" s="3"/>
    </row>
    <row r="589" spans="1:35" ht="15.75" customHeight="1">
      <c r="A589" s="3"/>
      <c r="B589" s="79"/>
      <c r="C589" s="80"/>
      <c r="D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81"/>
      <c r="AC589" s="80"/>
      <c r="AD589" s="3"/>
      <c r="AE589" s="3"/>
      <c r="AF589" s="3"/>
      <c r="AG589" s="3"/>
      <c r="AH589" s="3"/>
      <c r="AI589" s="3"/>
    </row>
    <row r="590" spans="1:35" ht="15.75" customHeight="1">
      <c r="A590" s="3"/>
      <c r="B590" s="79"/>
      <c r="C590" s="80"/>
      <c r="D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81"/>
      <c r="AC590" s="80"/>
      <c r="AD590" s="3"/>
      <c r="AE590" s="3"/>
      <c r="AF590" s="3"/>
      <c r="AG590" s="3"/>
      <c r="AH590" s="3"/>
      <c r="AI590" s="3"/>
    </row>
    <row r="591" spans="1:35" ht="15.75" customHeight="1">
      <c r="A591" s="3"/>
      <c r="B591" s="79"/>
      <c r="C591" s="80"/>
      <c r="D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81"/>
      <c r="AC591" s="80"/>
      <c r="AD591" s="3"/>
      <c r="AE591" s="3"/>
      <c r="AF591" s="3"/>
      <c r="AG591" s="3"/>
      <c r="AH591" s="3"/>
      <c r="AI591" s="3"/>
    </row>
    <row r="592" spans="1:35" ht="15.75" customHeight="1">
      <c r="A592" s="3"/>
      <c r="B592" s="79"/>
      <c r="C592" s="80"/>
      <c r="D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81"/>
      <c r="AC592" s="80"/>
      <c r="AD592" s="3"/>
      <c r="AE592" s="3"/>
      <c r="AF592" s="3"/>
      <c r="AG592" s="3"/>
      <c r="AH592" s="3"/>
      <c r="AI592" s="3"/>
    </row>
    <row r="593" spans="1:35" ht="15.75" customHeight="1">
      <c r="A593" s="3"/>
      <c r="B593" s="79"/>
      <c r="C593" s="80"/>
      <c r="D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81"/>
      <c r="AC593" s="80"/>
      <c r="AD593" s="3"/>
      <c r="AE593" s="3"/>
      <c r="AF593" s="3"/>
      <c r="AG593" s="3"/>
      <c r="AH593" s="3"/>
      <c r="AI593" s="3"/>
    </row>
    <row r="594" spans="1:35" ht="15.75" customHeight="1">
      <c r="A594" s="3"/>
      <c r="B594" s="79"/>
      <c r="C594" s="80"/>
      <c r="D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81"/>
      <c r="AC594" s="80"/>
      <c r="AD594" s="3"/>
      <c r="AE594" s="3"/>
      <c r="AF594" s="3"/>
      <c r="AG594" s="3"/>
      <c r="AH594" s="3"/>
      <c r="AI594" s="3"/>
    </row>
    <row r="595" spans="1:35" ht="15.75" customHeight="1">
      <c r="A595" s="3"/>
      <c r="B595" s="79"/>
      <c r="C595" s="80"/>
      <c r="D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81"/>
      <c r="AC595" s="80"/>
      <c r="AD595" s="3"/>
      <c r="AE595" s="3"/>
      <c r="AF595" s="3"/>
      <c r="AG595" s="3"/>
      <c r="AH595" s="3"/>
      <c r="AI595" s="3"/>
    </row>
    <row r="596" spans="1:35" ht="15.75" customHeight="1">
      <c r="A596" s="3"/>
      <c r="B596" s="79"/>
      <c r="C596" s="80"/>
      <c r="D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81"/>
      <c r="AC596" s="80"/>
      <c r="AD596" s="3"/>
      <c r="AE596" s="3"/>
      <c r="AF596" s="3"/>
      <c r="AG596" s="3"/>
      <c r="AH596" s="3"/>
      <c r="AI596" s="3"/>
    </row>
    <row r="597" spans="1:35" ht="15.75" customHeight="1">
      <c r="A597" s="3"/>
      <c r="B597" s="79"/>
      <c r="C597" s="80"/>
      <c r="D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81"/>
      <c r="AC597" s="80"/>
      <c r="AD597" s="3"/>
      <c r="AE597" s="3"/>
      <c r="AF597" s="3"/>
      <c r="AG597" s="3"/>
      <c r="AH597" s="3"/>
      <c r="AI597" s="3"/>
    </row>
    <row r="598" spans="1:35" ht="15.75" customHeight="1">
      <c r="A598" s="3"/>
      <c r="B598" s="79"/>
      <c r="C598" s="80"/>
      <c r="D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81"/>
      <c r="AC598" s="80"/>
      <c r="AD598" s="3"/>
      <c r="AE598" s="3"/>
      <c r="AF598" s="3"/>
      <c r="AG598" s="3"/>
      <c r="AH598" s="3"/>
      <c r="AI598" s="3"/>
    </row>
    <row r="599" spans="1:35" ht="15.75" customHeight="1">
      <c r="A599" s="3"/>
      <c r="B599" s="79"/>
      <c r="C599" s="80"/>
      <c r="D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81"/>
      <c r="AC599" s="80"/>
      <c r="AD599" s="3"/>
      <c r="AE599" s="3"/>
      <c r="AF599" s="3"/>
      <c r="AG599" s="3"/>
      <c r="AH599" s="3"/>
      <c r="AI599" s="3"/>
    </row>
    <row r="600" spans="1:35" ht="15.75" customHeight="1">
      <c r="A600" s="3"/>
      <c r="B600" s="79"/>
      <c r="C600" s="80"/>
      <c r="D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81"/>
      <c r="AC600" s="80"/>
      <c r="AD600" s="3"/>
      <c r="AE600" s="3"/>
      <c r="AF600" s="3"/>
      <c r="AG600" s="3"/>
      <c r="AH600" s="3"/>
      <c r="AI600" s="3"/>
    </row>
    <row r="601" spans="1:35" ht="15.75" customHeight="1">
      <c r="A601" s="3"/>
      <c r="B601" s="79"/>
      <c r="C601" s="80"/>
      <c r="D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81"/>
      <c r="AC601" s="80"/>
      <c r="AD601" s="3"/>
      <c r="AE601" s="3"/>
      <c r="AF601" s="3"/>
      <c r="AG601" s="3"/>
      <c r="AH601" s="3"/>
      <c r="AI601" s="3"/>
    </row>
    <row r="602" spans="1:35" ht="15.75" customHeight="1">
      <c r="A602" s="3"/>
      <c r="B602" s="79"/>
      <c r="C602" s="80"/>
      <c r="D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81"/>
      <c r="AC602" s="80"/>
      <c r="AD602" s="3"/>
      <c r="AE602" s="3"/>
      <c r="AF602" s="3"/>
      <c r="AG602" s="3"/>
      <c r="AH602" s="3"/>
      <c r="AI602" s="3"/>
    </row>
    <row r="603" spans="1:35" ht="15.75" customHeight="1">
      <c r="A603" s="3"/>
      <c r="B603" s="79"/>
      <c r="C603" s="80"/>
      <c r="D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81"/>
      <c r="AC603" s="80"/>
      <c r="AD603" s="3"/>
      <c r="AE603" s="3"/>
      <c r="AF603" s="3"/>
      <c r="AG603" s="3"/>
      <c r="AH603" s="3"/>
      <c r="AI603" s="3"/>
    </row>
    <row r="604" spans="1:35" ht="15.75" customHeight="1">
      <c r="A604" s="3"/>
      <c r="B604" s="79"/>
      <c r="C604" s="80"/>
      <c r="D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81"/>
      <c r="AC604" s="80"/>
      <c r="AD604" s="3"/>
      <c r="AE604" s="3"/>
      <c r="AF604" s="3"/>
      <c r="AG604" s="3"/>
      <c r="AH604" s="3"/>
      <c r="AI604" s="3"/>
    </row>
    <row r="605" spans="1:35" ht="15.75" customHeight="1">
      <c r="A605" s="3"/>
      <c r="B605" s="79"/>
      <c r="C605" s="80"/>
      <c r="D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81"/>
      <c r="AC605" s="80"/>
      <c r="AD605" s="3"/>
      <c r="AE605" s="3"/>
      <c r="AF605" s="3"/>
      <c r="AG605" s="3"/>
      <c r="AH605" s="3"/>
      <c r="AI605" s="3"/>
    </row>
    <row r="606" spans="1:35" ht="15.75" customHeight="1">
      <c r="A606" s="3"/>
      <c r="B606" s="79"/>
      <c r="C606" s="80"/>
      <c r="D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81"/>
      <c r="AC606" s="80"/>
      <c r="AD606" s="3"/>
      <c r="AE606" s="3"/>
      <c r="AF606" s="3"/>
      <c r="AG606" s="3"/>
      <c r="AH606" s="3"/>
      <c r="AI606" s="3"/>
    </row>
    <row r="607" spans="1:35" ht="15.75" customHeight="1">
      <c r="A607" s="3"/>
      <c r="B607" s="79"/>
      <c r="C607" s="80"/>
      <c r="D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81"/>
      <c r="AC607" s="80"/>
      <c r="AD607" s="3"/>
      <c r="AE607" s="3"/>
      <c r="AF607" s="3"/>
      <c r="AG607" s="3"/>
      <c r="AH607" s="3"/>
      <c r="AI607" s="3"/>
    </row>
    <row r="608" spans="1:35" ht="15.75" customHeight="1">
      <c r="A608" s="3"/>
      <c r="B608" s="79"/>
      <c r="C608" s="80"/>
      <c r="D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81"/>
      <c r="AC608" s="80"/>
      <c r="AD608" s="3"/>
      <c r="AE608" s="3"/>
      <c r="AF608" s="3"/>
      <c r="AG608" s="3"/>
      <c r="AH608" s="3"/>
      <c r="AI608" s="3"/>
    </row>
    <row r="609" spans="1:35" ht="15.75" customHeight="1">
      <c r="A609" s="3"/>
      <c r="B609" s="79"/>
      <c r="C609" s="80"/>
      <c r="D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81"/>
      <c r="AC609" s="80"/>
      <c r="AD609" s="3"/>
      <c r="AE609" s="3"/>
      <c r="AF609" s="3"/>
      <c r="AG609" s="3"/>
      <c r="AH609" s="3"/>
      <c r="AI609" s="3"/>
    </row>
    <row r="610" spans="1:35" ht="15.75" customHeight="1">
      <c r="A610" s="3"/>
      <c r="B610" s="79"/>
      <c r="C610" s="80"/>
      <c r="D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81"/>
      <c r="AC610" s="80"/>
      <c r="AD610" s="3"/>
      <c r="AE610" s="3"/>
      <c r="AF610" s="3"/>
      <c r="AG610" s="3"/>
      <c r="AH610" s="3"/>
      <c r="AI610" s="3"/>
    </row>
    <row r="611" spans="1:35" ht="15.75" customHeight="1">
      <c r="A611" s="3"/>
      <c r="B611" s="79"/>
      <c r="C611" s="80"/>
      <c r="D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81"/>
      <c r="AC611" s="80"/>
      <c r="AD611" s="3"/>
      <c r="AE611" s="3"/>
      <c r="AF611" s="3"/>
      <c r="AG611" s="3"/>
      <c r="AH611" s="3"/>
      <c r="AI611" s="3"/>
    </row>
    <row r="612" spans="1:35" ht="15.75" customHeight="1">
      <c r="A612" s="3"/>
      <c r="B612" s="79"/>
      <c r="C612" s="80"/>
      <c r="D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81"/>
      <c r="AC612" s="80"/>
      <c r="AD612" s="3"/>
      <c r="AE612" s="3"/>
      <c r="AF612" s="3"/>
      <c r="AG612" s="3"/>
      <c r="AH612" s="3"/>
      <c r="AI612" s="3"/>
    </row>
    <row r="613" spans="1:35" ht="15.75" customHeight="1">
      <c r="A613" s="3"/>
      <c r="B613" s="79"/>
      <c r="C613" s="80"/>
      <c r="D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81"/>
      <c r="AC613" s="80"/>
      <c r="AD613" s="3"/>
      <c r="AE613" s="3"/>
      <c r="AF613" s="3"/>
      <c r="AG613" s="3"/>
      <c r="AH613" s="3"/>
      <c r="AI613" s="3"/>
    </row>
    <row r="614" spans="1:35" ht="15.75" customHeight="1">
      <c r="A614" s="3"/>
      <c r="B614" s="79"/>
      <c r="C614" s="80"/>
      <c r="D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81"/>
      <c r="AC614" s="80"/>
      <c r="AD614" s="3"/>
      <c r="AE614" s="3"/>
      <c r="AF614" s="3"/>
      <c r="AG614" s="3"/>
      <c r="AH614" s="3"/>
      <c r="AI614" s="3"/>
    </row>
    <row r="615" spans="1:35" ht="15.75" customHeight="1">
      <c r="A615" s="3"/>
      <c r="B615" s="79"/>
      <c r="C615" s="80"/>
      <c r="D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81"/>
      <c r="AC615" s="80"/>
      <c r="AD615" s="3"/>
      <c r="AE615" s="3"/>
      <c r="AF615" s="3"/>
      <c r="AG615" s="3"/>
      <c r="AH615" s="3"/>
      <c r="AI615" s="3"/>
    </row>
    <row r="616" spans="1:35" ht="15.75" customHeight="1">
      <c r="A616" s="3"/>
      <c r="B616" s="79"/>
      <c r="C616" s="80"/>
      <c r="D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81"/>
      <c r="AC616" s="80"/>
      <c r="AD616" s="3"/>
      <c r="AE616" s="3"/>
      <c r="AF616" s="3"/>
      <c r="AG616" s="3"/>
      <c r="AH616" s="3"/>
      <c r="AI616" s="3"/>
    </row>
    <row r="617" spans="1:35" ht="15.75" customHeight="1">
      <c r="A617" s="3"/>
      <c r="B617" s="79"/>
      <c r="C617" s="80"/>
      <c r="D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81"/>
      <c r="AC617" s="80"/>
      <c r="AD617" s="3"/>
      <c r="AE617" s="3"/>
      <c r="AF617" s="3"/>
      <c r="AG617" s="3"/>
      <c r="AH617" s="3"/>
      <c r="AI617" s="3"/>
    </row>
    <row r="618" spans="1:35" ht="15.75" customHeight="1">
      <c r="A618" s="3"/>
      <c r="B618" s="79"/>
      <c r="C618" s="80"/>
      <c r="D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81"/>
      <c r="AC618" s="80"/>
      <c r="AD618" s="3"/>
      <c r="AE618" s="3"/>
      <c r="AF618" s="3"/>
      <c r="AG618" s="3"/>
      <c r="AH618" s="3"/>
      <c r="AI618" s="3"/>
    </row>
    <row r="619" spans="1:35" ht="15.75" customHeight="1">
      <c r="A619" s="3"/>
      <c r="B619" s="79"/>
      <c r="C619" s="80"/>
      <c r="D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81"/>
      <c r="AC619" s="80"/>
      <c r="AD619" s="3"/>
      <c r="AE619" s="3"/>
      <c r="AF619" s="3"/>
      <c r="AG619" s="3"/>
      <c r="AH619" s="3"/>
      <c r="AI619" s="3"/>
    </row>
    <row r="620" spans="1:35" ht="15.75" customHeight="1">
      <c r="A620" s="3"/>
      <c r="B620" s="79"/>
      <c r="C620" s="80"/>
      <c r="D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81"/>
      <c r="AC620" s="80"/>
      <c r="AD620" s="3"/>
      <c r="AE620" s="3"/>
      <c r="AF620" s="3"/>
      <c r="AG620" s="3"/>
      <c r="AH620" s="3"/>
      <c r="AI620" s="3"/>
    </row>
    <row r="621" spans="1:35" ht="15.75" customHeight="1">
      <c r="A621" s="3"/>
      <c r="B621" s="79"/>
      <c r="C621" s="80"/>
      <c r="D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81"/>
      <c r="AC621" s="80"/>
      <c r="AD621" s="3"/>
      <c r="AE621" s="3"/>
      <c r="AF621" s="3"/>
      <c r="AG621" s="3"/>
      <c r="AH621" s="3"/>
      <c r="AI621" s="3"/>
    </row>
    <row r="622" spans="1:35" ht="15.75" customHeight="1">
      <c r="A622" s="3"/>
      <c r="B622" s="79"/>
      <c r="C622" s="80"/>
      <c r="D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81"/>
      <c r="AC622" s="80"/>
      <c r="AD622" s="3"/>
      <c r="AE622" s="3"/>
      <c r="AF622" s="3"/>
      <c r="AG622" s="3"/>
      <c r="AH622" s="3"/>
      <c r="AI622" s="3"/>
    </row>
    <row r="623" spans="1:35" ht="15.75" customHeight="1">
      <c r="A623" s="3"/>
      <c r="B623" s="79"/>
      <c r="C623" s="80"/>
      <c r="D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81"/>
      <c r="AC623" s="80"/>
      <c r="AD623" s="3"/>
      <c r="AE623" s="3"/>
      <c r="AF623" s="3"/>
      <c r="AG623" s="3"/>
      <c r="AH623" s="3"/>
      <c r="AI623" s="3"/>
    </row>
    <row r="624" spans="1:35" ht="15.75" customHeight="1">
      <c r="A624" s="3"/>
      <c r="B624" s="79"/>
      <c r="C624" s="80"/>
      <c r="D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81"/>
      <c r="AC624" s="80"/>
      <c r="AD624" s="3"/>
      <c r="AE624" s="3"/>
      <c r="AF624" s="3"/>
      <c r="AG624" s="3"/>
      <c r="AH624" s="3"/>
      <c r="AI624" s="3"/>
    </row>
    <row r="625" spans="1:35" ht="15.75" customHeight="1">
      <c r="A625" s="3"/>
      <c r="B625" s="79"/>
      <c r="C625" s="80"/>
      <c r="D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81"/>
      <c r="AC625" s="80"/>
      <c r="AD625" s="3"/>
      <c r="AE625" s="3"/>
      <c r="AF625" s="3"/>
      <c r="AG625" s="3"/>
      <c r="AH625" s="3"/>
      <c r="AI625" s="3"/>
    </row>
    <row r="626" spans="1:35" ht="15.75" customHeight="1">
      <c r="A626" s="3"/>
      <c r="B626" s="79"/>
      <c r="C626" s="80"/>
      <c r="D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81"/>
      <c r="AC626" s="80"/>
      <c r="AD626" s="3"/>
      <c r="AE626" s="3"/>
      <c r="AF626" s="3"/>
      <c r="AG626" s="3"/>
      <c r="AH626" s="3"/>
      <c r="AI626" s="3"/>
    </row>
    <row r="627" spans="1:35" ht="15.75" customHeight="1">
      <c r="A627" s="3"/>
      <c r="B627" s="79"/>
      <c r="C627" s="80"/>
      <c r="D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81"/>
      <c r="AC627" s="80"/>
      <c r="AD627" s="3"/>
      <c r="AE627" s="3"/>
      <c r="AF627" s="3"/>
      <c r="AG627" s="3"/>
      <c r="AH627" s="3"/>
      <c r="AI627" s="3"/>
    </row>
    <row r="628" spans="1:35" ht="15.75" customHeight="1">
      <c r="A628" s="3"/>
      <c r="B628" s="79"/>
      <c r="C628" s="80"/>
      <c r="D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81"/>
      <c r="AC628" s="80"/>
      <c r="AD628" s="3"/>
      <c r="AE628" s="3"/>
      <c r="AF628" s="3"/>
      <c r="AG628" s="3"/>
      <c r="AH628" s="3"/>
      <c r="AI628" s="3"/>
    </row>
    <row r="629" spans="1:35" ht="15.75" customHeight="1">
      <c r="A629" s="3"/>
      <c r="B629" s="79"/>
      <c r="C629" s="80"/>
      <c r="D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81"/>
      <c r="AC629" s="80"/>
      <c r="AD629" s="3"/>
      <c r="AE629" s="3"/>
      <c r="AF629" s="3"/>
      <c r="AG629" s="3"/>
      <c r="AH629" s="3"/>
      <c r="AI629" s="3"/>
    </row>
    <row r="630" spans="1:35" ht="15.75" customHeight="1">
      <c r="A630" s="3"/>
      <c r="B630" s="79"/>
      <c r="C630" s="80"/>
      <c r="D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81"/>
      <c r="AC630" s="80"/>
      <c r="AD630" s="3"/>
      <c r="AE630" s="3"/>
      <c r="AF630" s="3"/>
      <c r="AG630" s="3"/>
      <c r="AH630" s="3"/>
      <c r="AI630" s="3"/>
    </row>
    <row r="631" spans="1:35" ht="15.75" customHeight="1">
      <c r="A631" s="3"/>
      <c r="B631" s="79"/>
      <c r="C631" s="80"/>
      <c r="D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81"/>
      <c r="AC631" s="80"/>
      <c r="AD631" s="3"/>
      <c r="AE631" s="3"/>
      <c r="AF631" s="3"/>
      <c r="AG631" s="3"/>
      <c r="AH631" s="3"/>
      <c r="AI631" s="3"/>
    </row>
    <row r="632" spans="1:35" ht="15.75" customHeight="1">
      <c r="A632" s="3"/>
      <c r="B632" s="79"/>
      <c r="C632" s="80"/>
      <c r="D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81"/>
      <c r="AC632" s="80"/>
      <c r="AD632" s="3"/>
      <c r="AE632" s="3"/>
      <c r="AF632" s="3"/>
      <c r="AG632" s="3"/>
      <c r="AH632" s="3"/>
      <c r="AI632" s="3"/>
    </row>
    <row r="633" spans="1:35" ht="15.75" customHeight="1">
      <c r="A633" s="3"/>
      <c r="B633" s="79"/>
      <c r="C633" s="80"/>
      <c r="D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81"/>
      <c r="AC633" s="80"/>
      <c r="AD633" s="3"/>
      <c r="AE633" s="3"/>
      <c r="AF633" s="3"/>
      <c r="AG633" s="3"/>
      <c r="AH633" s="3"/>
      <c r="AI633" s="3"/>
    </row>
    <row r="634" spans="1:35" ht="15.75" customHeight="1">
      <c r="A634" s="3"/>
      <c r="B634" s="79"/>
      <c r="C634" s="80"/>
      <c r="D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81"/>
      <c r="AC634" s="80"/>
      <c r="AD634" s="3"/>
      <c r="AE634" s="3"/>
      <c r="AF634" s="3"/>
      <c r="AG634" s="3"/>
      <c r="AH634" s="3"/>
      <c r="AI634" s="3"/>
    </row>
    <row r="635" spans="1:35" ht="15.75" customHeight="1">
      <c r="A635" s="3"/>
      <c r="B635" s="79"/>
      <c r="C635" s="80"/>
      <c r="D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81"/>
      <c r="AC635" s="80"/>
      <c r="AD635" s="3"/>
      <c r="AE635" s="3"/>
      <c r="AF635" s="3"/>
      <c r="AG635" s="3"/>
      <c r="AH635" s="3"/>
      <c r="AI635" s="3"/>
    </row>
    <row r="636" spans="1:35" ht="15.75" customHeight="1">
      <c r="A636" s="3"/>
      <c r="B636" s="79"/>
      <c r="C636" s="80"/>
      <c r="D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81"/>
      <c r="AC636" s="80"/>
      <c r="AD636" s="3"/>
      <c r="AE636" s="3"/>
      <c r="AF636" s="3"/>
      <c r="AG636" s="3"/>
      <c r="AH636" s="3"/>
      <c r="AI636" s="3"/>
    </row>
    <row r="637" spans="1:35" ht="15.75" customHeight="1">
      <c r="A637" s="3"/>
      <c r="B637" s="79"/>
      <c r="C637" s="80"/>
      <c r="D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81"/>
      <c r="AC637" s="80"/>
      <c r="AD637" s="3"/>
      <c r="AE637" s="3"/>
      <c r="AF637" s="3"/>
      <c r="AG637" s="3"/>
      <c r="AH637" s="3"/>
      <c r="AI637" s="3"/>
    </row>
    <row r="638" spans="1:35" ht="15.75" customHeight="1">
      <c r="A638" s="3"/>
      <c r="B638" s="79"/>
      <c r="C638" s="80"/>
      <c r="D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81"/>
      <c r="AC638" s="80"/>
      <c r="AD638" s="3"/>
      <c r="AE638" s="3"/>
      <c r="AF638" s="3"/>
      <c r="AG638" s="3"/>
      <c r="AH638" s="3"/>
      <c r="AI638" s="3"/>
    </row>
    <row r="639" spans="1:35" ht="15.75" customHeight="1">
      <c r="A639" s="3"/>
      <c r="B639" s="79"/>
      <c r="C639" s="80"/>
      <c r="D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81"/>
      <c r="AC639" s="80"/>
      <c r="AD639" s="3"/>
      <c r="AE639" s="3"/>
      <c r="AF639" s="3"/>
      <c r="AG639" s="3"/>
      <c r="AH639" s="3"/>
      <c r="AI639" s="3"/>
    </row>
    <row r="640" spans="1:35" ht="15.75" customHeight="1">
      <c r="A640" s="3"/>
      <c r="B640" s="79"/>
      <c r="C640" s="80"/>
      <c r="D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81"/>
      <c r="AC640" s="80"/>
      <c r="AD640" s="3"/>
      <c r="AE640" s="3"/>
      <c r="AF640" s="3"/>
      <c r="AG640" s="3"/>
      <c r="AH640" s="3"/>
      <c r="AI640" s="3"/>
    </row>
    <row r="641" spans="1:35" ht="15.75" customHeight="1">
      <c r="A641" s="3"/>
      <c r="B641" s="79"/>
      <c r="C641" s="80"/>
      <c r="D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81"/>
      <c r="AC641" s="80"/>
      <c r="AD641" s="3"/>
      <c r="AE641" s="3"/>
      <c r="AF641" s="3"/>
      <c r="AG641" s="3"/>
      <c r="AH641" s="3"/>
      <c r="AI641" s="3"/>
    </row>
    <row r="642" spans="1:35" ht="15.75" customHeight="1">
      <c r="A642" s="3"/>
      <c r="B642" s="79"/>
      <c r="C642" s="80"/>
      <c r="D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81"/>
      <c r="AC642" s="80"/>
      <c r="AD642" s="3"/>
      <c r="AE642" s="3"/>
      <c r="AF642" s="3"/>
      <c r="AG642" s="3"/>
      <c r="AH642" s="3"/>
      <c r="AI642" s="3"/>
    </row>
    <row r="643" spans="1:35" ht="15.75" customHeight="1">
      <c r="A643" s="3"/>
      <c r="B643" s="79"/>
      <c r="C643" s="80"/>
      <c r="D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81"/>
      <c r="AC643" s="80"/>
      <c r="AD643" s="3"/>
      <c r="AE643" s="3"/>
      <c r="AF643" s="3"/>
      <c r="AG643" s="3"/>
      <c r="AH643" s="3"/>
      <c r="AI643" s="3"/>
    </row>
    <row r="644" spans="1:35" ht="15.75" customHeight="1">
      <c r="A644" s="3"/>
      <c r="B644" s="79"/>
      <c r="C644" s="80"/>
      <c r="D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81"/>
      <c r="AC644" s="80"/>
      <c r="AD644" s="3"/>
      <c r="AE644" s="3"/>
      <c r="AF644" s="3"/>
      <c r="AG644" s="3"/>
      <c r="AH644" s="3"/>
      <c r="AI644" s="3"/>
    </row>
    <row r="645" spans="1:35" ht="15.75" customHeight="1">
      <c r="A645" s="3"/>
      <c r="B645" s="79"/>
      <c r="C645" s="80"/>
      <c r="D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81"/>
      <c r="AC645" s="80"/>
      <c r="AD645" s="3"/>
      <c r="AE645" s="3"/>
      <c r="AF645" s="3"/>
      <c r="AG645" s="3"/>
      <c r="AH645" s="3"/>
      <c r="AI645" s="3"/>
    </row>
    <row r="646" spans="1:35" ht="15.75" customHeight="1">
      <c r="A646" s="3"/>
      <c r="B646" s="79"/>
      <c r="C646" s="80"/>
      <c r="D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81"/>
      <c r="AC646" s="80"/>
      <c r="AD646" s="3"/>
      <c r="AE646" s="3"/>
      <c r="AF646" s="3"/>
      <c r="AG646" s="3"/>
      <c r="AH646" s="3"/>
      <c r="AI646" s="3"/>
    </row>
    <row r="647" spans="1:35" ht="15.75" customHeight="1">
      <c r="A647" s="3"/>
      <c r="B647" s="79"/>
      <c r="C647" s="80"/>
      <c r="D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81"/>
      <c r="AC647" s="80"/>
      <c r="AD647" s="3"/>
      <c r="AE647" s="3"/>
      <c r="AF647" s="3"/>
      <c r="AG647" s="3"/>
      <c r="AH647" s="3"/>
      <c r="AI647" s="3"/>
    </row>
    <row r="648" spans="1:35" ht="15.75" customHeight="1">
      <c r="A648" s="3"/>
      <c r="B648" s="79"/>
      <c r="C648" s="80"/>
      <c r="D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81"/>
      <c r="AC648" s="80"/>
      <c r="AD648" s="3"/>
      <c r="AE648" s="3"/>
      <c r="AF648" s="3"/>
      <c r="AG648" s="3"/>
      <c r="AH648" s="3"/>
      <c r="AI648" s="3"/>
    </row>
    <row r="649" spans="1:35" ht="15.75" customHeight="1">
      <c r="A649" s="3"/>
      <c r="B649" s="79"/>
      <c r="C649" s="80"/>
      <c r="D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81"/>
      <c r="AC649" s="80"/>
      <c r="AD649" s="3"/>
      <c r="AE649" s="3"/>
      <c r="AF649" s="3"/>
      <c r="AG649" s="3"/>
      <c r="AH649" s="3"/>
      <c r="AI649" s="3"/>
    </row>
    <row r="650" spans="1:35" ht="15.75" customHeight="1">
      <c r="A650" s="3"/>
      <c r="B650" s="79"/>
      <c r="C650" s="80"/>
      <c r="D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81"/>
      <c r="AC650" s="80"/>
      <c r="AD650" s="3"/>
      <c r="AE650" s="3"/>
      <c r="AF650" s="3"/>
      <c r="AG650" s="3"/>
      <c r="AH650" s="3"/>
      <c r="AI650" s="3"/>
    </row>
    <row r="651" spans="1:35" ht="15.75" customHeight="1">
      <c r="A651" s="3"/>
      <c r="B651" s="79"/>
      <c r="C651" s="80"/>
      <c r="D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81"/>
      <c r="AC651" s="80"/>
      <c r="AD651" s="3"/>
      <c r="AE651" s="3"/>
      <c r="AF651" s="3"/>
      <c r="AG651" s="3"/>
      <c r="AH651" s="3"/>
      <c r="AI651" s="3"/>
    </row>
    <row r="652" spans="1:35" ht="15.75" customHeight="1">
      <c r="A652" s="3"/>
      <c r="B652" s="79"/>
      <c r="C652" s="80"/>
      <c r="D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81"/>
      <c r="AC652" s="80"/>
      <c r="AD652" s="3"/>
      <c r="AE652" s="3"/>
      <c r="AF652" s="3"/>
      <c r="AG652" s="3"/>
      <c r="AH652" s="3"/>
      <c r="AI652" s="3"/>
    </row>
    <row r="653" spans="1:35" ht="15.75" customHeight="1">
      <c r="A653" s="3"/>
      <c r="B653" s="79"/>
      <c r="C653" s="80"/>
      <c r="D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81"/>
      <c r="AC653" s="80"/>
      <c r="AD653" s="3"/>
      <c r="AE653" s="3"/>
      <c r="AF653" s="3"/>
      <c r="AG653" s="3"/>
      <c r="AH653" s="3"/>
      <c r="AI653" s="3"/>
    </row>
    <row r="654" spans="1:35" ht="15.75" customHeight="1">
      <c r="A654" s="3"/>
      <c r="B654" s="79"/>
      <c r="C654" s="80"/>
      <c r="D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81"/>
      <c r="AC654" s="80"/>
      <c r="AD654" s="3"/>
      <c r="AE654" s="3"/>
      <c r="AF654" s="3"/>
      <c r="AG654" s="3"/>
      <c r="AH654" s="3"/>
      <c r="AI654" s="3"/>
    </row>
    <row r="655" spans="1:35" ht="15.75" customHeight="1">
      <c r="A655" s="3"/>
      <c r="B655" s="79"/>
      <c r="C655" s="80"/>
      <c r="D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81"/>
      <c r="AC655" s="80"/>
      <c r="AD655" s="3"/>
      <c r="AE655" s="3"/>
      <c r="AF655" s="3"/>
      <c r="AG655" s="3"/>
      <c r="AH655" s="3"/>
      <c r="AI655" s="3"/>
    </row>
    <row r="656" spans="1:35" ht="15.75" customHeight="1">
      <c r="A656" s="3"/>
      <c r="B656" s="79"/>
      <c r="C656" s="80"/>
      <c r="D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81"/>
      <c r="AC656" s="80"/>
      <c r="AD656" s="3"/>
      <c r="AE656" s="3"/>
      <c r="AF656" s="3"/>
      <c r="AG656" s="3"/>
      <c r="AH656" s="3"/>
      <c r="AI656" s="3"/>
    </row>
    <row r="657" spans="1:35" ht="15.75" customHeight="1">
      <c r="A657" s="3"/>
      <c r="B657" s="79"/>
      <c r="C657" s="80"/>
      <c r="D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81"/>
      <c r="AC657" s="80"/>
      <c r="AD657" s="3"/>
      <c r="AE657" s="3"/>
      <c r="AF657" s="3"/>
      <c r="AG657" s="3"/>
      <c r="AH657" s="3"/>
      <c r="AI657" s="3"/>
    </row>
    <row r="658" spans="1:35" ht="15.75" customHeight="1">
      <c r="A658" s="3"/>
      <c r="B658" s="79"/>
      <c r="C658" s="80"/>
      <c r="D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81"/>
      <c r="AC658" s="80"/>
      <c r="AD658" s="3"/>
      <c r="AE658" s="3"/>
      <c r="AF658" s="3"/>
      <c r="AG658" s="3"/>
      <c r="AH658" s="3"/>
      <c r="AI658" s="3"/>
    </row>
    <row r="659" spans="1:35" ht="15.75" customHeight="1">
      <c r="A659" s="3"/>
      <c r="B659" s="79"/>
      <c r="C659" s="80"/>
      <c r="D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81"/>
      <c r="AC659" s="80"/>
      <c r="AD659" s="3"/>
      <c r="AE659" s="3"/>
      <c r="AF659" s="3"/>
      <c r="AG659" s="3"/>
      <c r="AH659" s="3"/>
      <c r="AI659" s="3"/>
    </row>
    <row r="660" spans="1:35" ht="15.75" customHeight="1">
      <c r="A660" s="3"/>
      <c r="B660" s="79"/>
      <c r="C660" s="80"/>
      <c r="D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81"/>
      <c r="AC660" s="80"/>
      <c r="AD660" s="3"/>
      <c r="AE660" s="3"/>
      <c r="AF660" s="3"/>
      <c r="AG660" s="3"/>
      <c r="AH660" s="3"/>
      <c r="AI660" s="3"/>
    </row>
    <row r="661" spans="1:35" ht="15.75" customHeight="1">
      <c r="A661" s="3"/>
      <c r="B661" s="79"/>
      <c r="C661" s="80"/>
      <c r="D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81"/>
      <c r="AC661" s="80"/>
      <c r="AD661" s="3"/>
      <c r="AE661" s="3"/>
      <c r="AF661" s="3"/>
      <c r="AG661" s="3"/>
      <c r="AH661" s="3"/>
      <c r="AI661" s="3"/>
    </row>
    <row r="662" spans="1:35" ht="15.75" customHeight="1">
      <c r="A662" s="3"/>
      <c r="B662" s="79"/>
      <c r="C662" s="80"/>
      <c r="D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81"/>
      <c r="AC662" s="80"/>
      <c r="AD662" s="3"/>
      <c r="AE662" s="3"/>
      <c r="AF662" s="3"/>
      <c r="AG662" s="3"/>
      <c r="AH662" s="3"/>
      <c r="AI662" s="3"/>
    </row>
    <row r="663" spans="1:35" ht="15.75" customHeight="1">
      <c r="A663" s="3"/>
      <c r="B663" s="79"/>
      <c r="C663" s="80"/>
      <c r="D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81"/>
      <c r="AC663" s="80"/>
      <c r="AD663" s="3"/>
      <c r="AE663" s="3"/>
      <c r="AF663" s="3"/>
      <c r="AG663" s="3"/>
      <c r="AH663" s="3"/>
      <c r="AI663" s="3"/>
    </row>
    <row r="664" spans="1:35" ht="15.75" customHeight="1">
      <c r="A664" s="3"/>
      <c r="B664" s="79"/>
      <c r="C664" s="80"/>
      <c r="D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81"/>
      <c r="AC664" s="80"/>
      <c r="AD664" s="3"/>
      <c r="AE664" s="3"/>
      <c r="AF664" s="3"/>
      <c r="AG664" s="3"/>
      <c r="AH664" s="3"/>
      <c r="AI664" s="3"/>
    </row>
    <row r="665" spans="1:35" ht="15.75" customHeight="1">
      <c r="A665" s="3"/>
      <c r="B665" s="79"/>
      <c r="C665" s="80"/>
      <c r="D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81"/>
      <c r="AC665" s="80"/>
      <c r="AD665" s="3"/>
      <c r="AE665" s="3"/>
      <c r="AF665" s="3"/>
      <c r="AG665" s="3"/>
      <c r="AH665" s="3"/>
      <c r="AI665" s="3"/>
    </row>
    <row r="666" spans="1:35" ht="15.75" customHeight="1">
      <c r="A666" s="3"/>
      <c r="B666" s="79"/>
      <c r="C666" s="80"/>
      <c r="D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81"/>
      <c r="AC666" s="80"/>
      <c r="AD666" s="3"/>
      <c r="AE666" s="3"/>
      <c r="AF666" s="3"/>
      <c r="AG666" s="3"/>
      <c r="AH666" s="3"/>
      <c r="AI666" s="3"/>
    </row>
    <row r="667" spans="1:35" ht="15.75" customHeight="1">
      <c r="A667" s="3"/>
      <c r="B667" s="79"/>
      <c r="C667" s="80"/>
      <c r="D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81"/>
      <c r="AC667" s="80"/>
      <c r="AD667" s="3"/>
      <c r="AE667" s="3"/>
      <c r="AF667" s="3"/>
      <c r="AG667" s="3"/>
      <c r="AH667" s="3"/>
      <c r="AI667" s="3"/>
    </row>
    <row r="668" spans="1:35" ht="15.75" customHeight="1">
      <c r="A668" s="3"/>
      <c r="B668" s="79"/>
      <c r="C668" s="80"/>
      <c r="D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81"/>
      <c r="AC668" s="80"/>
      <c r="AD668" s="3"/>
      <c r="AE668" s="3"/>
      <c r="AF668" s="3"/>
      <c r="AG668" s="3"/>
      <c r="AH668" s="3"/>
      <c r="AI668" s="3"/>
    </row>
    <row r="669" spans="1:35" ht="15.75" customHeight="1">
      <c r="A669" s="3"/>
      <c r="B669" s="79"/>
      <c r="C669" s="80"/>
      <c r="D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81"/>
      <c r="AC669" s="80"/>
      <c r="AD669" s="3"/>
      <c r="AE669" s="3"/>
      <c r="AF669" s="3"/>
      <c r="AG669" s="3"/>
      <c r="AH669" s="3"/>
      <c r="AI669" s="3"/>
    </row>
    <row r="670" spans="1:35" ht="15.75" customHeight="1">
      <c r="A670" s="3"/>
      <c r="B670" s="79"/>
      <c r="C670" s="80"/>
      <c r="D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81"/>
      <c r="AC670" s="80"/>
      <c r="AD670" s="3"/>
      <c r="AE670" s="3"/>
      <c r="AF670" s="3"/>
      <c r="AG670" s="3"/>
      <c r="AH670" s="3"/>
      <c r="AI670" s="3"/>
    </row>
    <row r="671" spans="1:35" ht="15.75" customHeight="1">
      <c r="A671" s="3"/>
      <c r="B671" s="79"/>
      <c r="C671" s="80"/>
      <c r="D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81"/>
      <c r="AC671" s="80"/>
      <c r="AD671" s="3"/>
      <c r="AE671" s="3"/>
      <c r="AF671" s="3"/>
      <c r="AG671" s="3"/>
      <c r="AH671" s="3"/>
      <c r="AI671" s="3"/>
    </row>
    <row r="672" spans="1:35" ht="15.75" customHeight="1">
      <c r="A672" s="3"/>
      <c r="B672" s="79"/>
      <c r="C672" s="80"/>
      <c r="D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81"/>
      <c r="AC672" s="80"/>
      <c r="AD672" s="3"/>
      <c r="AE672" s="3"/>
      <c r="AF672" s="3"/>
      <c r="AG672" s="3"/>
      <c r="AH672" s="3"/>
      <c r="AI672" s="3"/>
    </row>
    <row r="673" spans="1:35" ht="15.75" customHeight="1">
      <c r="A673" s="3"/>
      <c r="B673" s="79"/>
      <c r="C673" s="80"/>
      <c r="D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81"/>
      <c r="AC673" s="80"/>
      <c r="AD673" s="3"/>
      <c r="AE673" s="3"/>
      <c r="AF673" s="3"/>
      <c r="AG673" s="3"/>
      <c r="AH673" s="3"/>
      <c r="AI673" s="3"/>
    </row>
    <row r="674" spans="1:35" ht="15.75" customHeight="1">
      <c r="A674" s="3"/>
      <c r="B674" s="79"/>
      <c r="C674" s="80"/>
      <c r="D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81"/>
      <c r="AC674" s="80"/>
      <c r="AD674" s="3"/>
      <c r="AE674" s="3"/>
      <c r="AF674" s="3"/>
      <c r="AG674" s="3"/>
      <c r="AH674" s="3"/>
      <c r="AI674" s="3"/>
    </row>
    <row r="675" spans="1:35" ht="15.75" customHeight="1">
      <c r="A675" s="3"/>
      <c r="B675" s="79"/>
      <c r="C675" s="80"/>
      <c r="D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81"/>
      <c r="AC675" s="80"/>
      <c r="AD675" s="3"/>
      <c r="AE675" s="3"/>
      <c r="AF675" s="3"/>
      <c r="AG675" s="3"/>
      <c r="AH675" s="3"/>
      <c r="AI675" s="3"/>
    </row>
    <row r="676" spans="1:35" ht="15.75" customHeight="1">
      <c r="A676" s="3"/>
      <c r="B676" s="79"/>
      <c r="C676" s="80"/>
      <c r="D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81"/>
      <c r="AC676" s="80"/>
      <c r="AD676" s="3"/>
      <c r="AE676" s="3"/>
      <c r="AF676" s="3"/>
      <c r="AG676" s="3"/>
      <c r="AH676" s="3"/>
      <c r="AI676" s="3"/>
    </row>
    <row r="677" spans="1:35" ht="15.75" customHeight="1">
      <c r="A677" s="3"/>
      <c r="B677" s="79"/>
      <c r="C677" s="80"/>
      <c r="D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81"/>
      <c r="AC677" s="80"/>
      <c r="AD677" s="3"/>
      <c r="AE677" s="3"/>
      <c r="AF677" s="3"/>
      <c r="AG677" s="3"/>
      <c r="AH677" s="3"/>
      <c r="AI677" s="3"/>
    </row>
    <row r="678" spans="1:35" ht="15.75" customHeight="1">
      <c r="A678" s="3"/>
      <c r="B678" s="79"/>
      <c r="C678" s="80"/>
      <c r="D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81"/>
      <c r="AC678" s="80"/>
      <c r="AD678" s="3"/>
      <c r="AE678" s="3"/>
      <c r="AF678" s="3"/>
      <c r="AG678" s="3"/>
      <c r="AH678" s="3"/>
      <c r="AI678" s="3"/>
    </row>
    <row r="679" spans="1:35" ht="15.75" customHeight="1">
      <c r="A679" s="3"/>
      <c r="B679" s="79"/>
      <c r="C679" s="80"/>
      <c r="D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81"/>
      <c r="AC679" s="80"/>
      <c r="AD679" s="3"/>
      <c r="AE679" s="3"/>
      <c r="AF679" s="3"/>
      <c r="AG679" s="3"/>
      <c r="AH679" s="3"/>
      <c r="AI679" s="3"/>
    </row>
    <row r="680" spans="1:35" ht="15.75" customHeight="1">
      <c r="A680" s="3"/>
      <c r="B680" s="79"/>
      <c r="C680" s="80"/>
      <c r="D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81"/>
      <c r="AC680" s="80"/>
      <c r="AD680" s="3"/>
      <c r="AE680" s="3"/>
      <c r="AF680" s="3"/>
      <c r="AG680" s="3"/>
      <c r="AH680" s="3"/>
      <c r="AI680" s="3"/>
    </row>
    <row r="681" spans="1:35" ht="15.75" customHeight="1">
      <c r="A681" s="3"/>
      <c r="B681" s="79"/>
      <c r="C681" s="80"/>
      <c r="D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81"/>
      <c r="AC681" s="80"/>
      <c r="AD681" s="3"/>
      <c r="AE681" s="3"/>
      <c r="AF681" s="3"/>
      <c r="AG681" s="3"/>
      <c r="AH681" s="3"/>
      <c r="AI681" s="3"/>
    </row>
    <row r="682" spans="1:35" ht="15.75" customHeight="1">
      <c r="A682" s="3"/>
      <c r="B682" s="79"/>
      <c r="C682" s="80"/>
      <c r="D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81"/>
      <c r="AC682" s="80"/>
      <c r="AD682" s="3"/>
      <c r="AE682" s="3"/>
      <c r="AF682" s="3"/>
      <c r="AG682" s="3"/>
      <c r="AH682" s="3"/>
      <c r="AI682" s="3"/>
    </row>
    <row r="683" spans="1:35" ht="15.75" customHeight="1">
      <c r="A683" s="3"/>
      <c r="B683" s="79"/>
      <c r="C683" s="80"/>
      <c r="D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81"/>
      <c r="AC683" s="80"/>
      <c r="AD683" s="3"/>
      <c r="AE683" s="3"/>
      <c r="AF683" s="3"/>
      <c r="AG683" s="3"/>
      <c r="AH683" s="3"/>
      <c r="AI683" s="3"/>
    </row>
    <row r="684" spans="1:35" ht="15.75" customHeight="1">
      <c r="A684" s="3"/>
      <c r="B684" s="79"/>
      <c r="C684" s="80"/>
      <c r="D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81"/>
      <c r="AC684" s="80"/>
      <c r="AD684" s="3"/>
      <c r="AE684" s="3"/>
      <c r="AF684" s="3"/>
      <c r="AG684" s="3"/>
      <c r="AH684" s="3"/>
      <c r="AI684" s="3"/>
    </row>
    <row r="685" spans="1:35" ht="15.75" customHeight="1">
      <c r="A685" s="3"/>
      <c r="B685" s="79"/>
      <c r="C685" s="80"/>
      <c r="D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81"/>
      <c r="AC685" s="80"/>
      <c r="AD685" s="3"/>
      <c r="AE685" s="3"/>
      <c r="AF685" s="3"/>
      <c r="AG685" s="3"/>
      <c r="AH685" s="3"/>
      <c r="AI685" s="3"/>
    </row>
    <row r="686" spans="1:35" ht="15.75" customHeight="1">
      <c r="A686" s="3"/>
      <c r="B686" s="79"/>
      <c r="C686" s="80"/>
      <c r="D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81"/>
      <c r="AC686" s="80"/>
      <c r="AD686" s="3"/>
      <c r="AE686" s="3"/>
      <c r="AF686" s="3"/>
      <c r="AG686" s="3"/>
      <c r="AH686" s="3"/>
      <c r="AI686" s="3"/>
    </row>
    <row r="687" spans="1:35" ht="15.75" customHeight="1">
      <c r="A687" s="3"/>
      <c r="B687" s="79"/>
      <c r="C687" s="80"/>
      <c r="D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81"/>
      <c r="AC687" s="80"/>
      <c r="AD687" s="3"/>
      <c r="AE687" s="3"/>
      <c r="AF687" s="3"/>
      <c r="AG687" s="3"/>
      <c r="AH687" s="3"/>
      <c r="AI687" s="3"/>
    </row>
    <row r="688" spans="1:35" ht="15.75" customHeight="1">
      <c r="A688" s="3"/>
      <c r="B688" s="79"/>
      <c r="C688" s="80"/>
      <c r="D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81"/>
      <c r="AC688" s="80"/>
      <c r="AD688" s="3"/>
      <c r="AE688" s="3"/>
      <c r="AF688" s="3"/>
      <c r="AG688" s="3"/>
      <c r="AH688" s="3"/>
      <c r="AI688" s="3"/>
    </row>
    <row r="689" spans="1:35" ht="15.75" customHeight="1">
      <c r="A689" s="3"/>
      <c r="B689" s="79"/>
      <c r="C689" s="80"/>
      <c r="D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81"/>
      <c r="AC689" s="80"/>
      <c r="AD689" s="3"/>
      <c r="AE689" s="3"/>
      <c r="AF689" s="3"/>
      <c r="AG689" s="3"/>
      <c r="AH689" s="3"/>
      <c r="AI689" s="3"/>
    </row>
    <row r="690" spans="1:35" ht="15.75" customHeight="1">
      <c r="A690" s="3"/>
      <c r="B690" s="79"/>
      <c r="C690" s="80"/>
      <c r="D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81"/>
      <c r="AC690" s="80"/>
      <c r="AD690" s="3"/>
      <c r="AE690" s="3"/>
      <c r="AF690" s="3"/>
      <c r="AG690" s="3"/>
      <c r="AH690" s="3"/>
      <c r="AI690" s="3"/>
    </row>
    <row r="691" spans="1:35" ht="15.75" customHeight="1">
      <c r="A691" s="3"/>
      <c r="B691" s="79"/>
      <c r="C691" s="80"/>
      <c r="D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81"/>
      <c r="AC691" s="80"/>
      <c r="AD691" s="3"/>
      <c r="AE691" s="3"/>
      <c r="AF691" s="3"/>
      <c r="AG691" s="3"/>
      <c r="AH691" s="3"/>
      <c r="AI691" s="3"/>
    </row>
    <row r="692" spans="1:35" ht="15.75" customHeight="1">
      <c r="A692" s="3"/>
      <c r="B692" s="79"/>
      <c r="C692" s="80"/>
      <c r="D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81"/>
      <c r="AC692" s="80"/>
      <c r="AD692" s="3"/>
      <c r="AE692" s="3"/>
      <c r="AF692" s="3"/>
      <c r="AG692" s="3"/>
      <c r="AH692" s="3"/>
      <c r="AI692" s="3"/>
    </row>
    <row r="693" spans="1:35" ht="15.75" customHeight="1">
      <c r="A693" s="3"/>
      <c r="B693" s="79"/>
      <c r="C693" s="80"/>
      <c r="D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81"/>
      <c r="AC693" s="80"/>
      <c r="AD693" s="3"/>
      <c r="AE693" s="3"/>
      <c r="AF693" s="3"/>
      <c r="AG693" s="3"/>
      <c r="AH693" s="3"/>
      <c r="AI693" s="3"/>
    </row>
    <row r="694" spans="1:35" ht="15.75" customHeight="1">
      <c r="A694" s="3"/>
      <c r="B694" s="79"/>
      <c r="C694" s="80"/>
      <c r="D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81"/>
      <c r="AC694" s="80"/>
      <c r="AD694" s="3"/>
      <c r="AE694" s="3"/>
      <c r="AF694" s="3"/>
      <c r="AG694" s="3"/>
      <c r="AH694" s="3"/>
      <c r="AI694" s="3"/>
    </row>
    <row r="695" spans="1:35" ht="15.75" customHeight="1">
      <c r="A695" s="3"/>
      <c r="B695" s="79"/>
      <c r="C695" s="80"/>
      <c r="D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81"/>
      <c r="AC695" s="80"/>
      <c r="AD695" s="3"/>
      <c r="AE695" s="3"/>
      <c r="AF695" s="3"/>
      <c r="AG695" s="3"/>
      <c r="AH695" s="3"/>
      <c r="AI695" s="3"/>
    </row>
    <row r="696" spans="1:35" ht="15.75" customHeight="1">
      <c r="A696" s="3"/>
      <c r="B696" s="79"/>
      <c r="C696" s="80"/>
      <c r="D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81"/>
      <c r="AC696" s="80"/>
      <c r="AD696" s="3"/>
      <c r="AE696" s="3"/>
      <c r="AF696" s="3"/>
      <c r="AG696" s="3"/>
      <c r="AH696" s="3"/>
      <c r="AI696" s="3"/>
    </row>
    <row r="697" spans="1:35" ht="15.75" customHeight="1">
      <c r="A697" s="3"/>
      <c r="B697" s="79"/>
      <c r="C697" s="80"/>
      <c r="D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81"/>
      <c r="AC697" s="80"/>
      <c r="AD697" s="3"/>
      <c r="AE697" s="3"/>
      <c r="AF697" s="3"/>
      <c r="AG697" s="3"/>
      <c r="AH697" s="3"/>
      <c r="AI697" s="3"/>
    </row>
    <row r="698" spans="1:35" ht="15.75" customHeight="1">
      <c r="A698" s="3"/>
      <c r="B698" s="79"/>
      <c r="C698" s="80"/>
      <c r="D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81"/>
      <c r="AC698" s="80"/>
      <c r="AD698" s="3"/>
      <c r="AE698" s="3"/>
      <c r="AF698" s="3"/>
      <c r="AG698" s="3"/>
      <c r="AH698" s="3"/>
      <c r="AI698" s="3"/>
    </row>
    <row r="699" spans="1:35" ht="15.75" customHeight="1">
      <c r="A699" s="3"/>
      <c r="B699" s="79"/>
      <c r="C699" s="80"/>
      <c r="D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81"/>
      <c r="AC699" s="80"/>
      <c r="AD699" s="3"/>
      <c r="AE699" s="3"/>
      <c r="AF699" s="3"/>
      <c r="AG699" s="3"/>
      <c r="AH699" s="3"/>
      <c r="AI699" s="3"/>
    </row>
    <row r="700" spans="1:35" ht="15.75" customHeight="1">
      <c r="A700" s="3"/>
      <c r="B700" s="79"/>
      <c r="C700" s="80"/>
      <c r="D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81"/>
      <c r="AC700" s="80"/>
      <c r="AD700" s="3"/>
      <c r="AE700" s="3"/>
      <c r="AF700" s="3"/>
      <c r="AG700" s="3"/>
      <c r="AH700" s="3"/>
      <c r="AI700" s="3"/>
    </row>
    <row r="701" spans="1:35" ht="15.75" customHeight="1">
      <c r="A701" s="3"/>
      <c r="B701" s="79"/>
      <c r="C701" s="80"/>
      <c r="D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81"/>
      <c r="AC701" s="80"/>
      <c r="AD701" s="3"/>
      <c r="AE701" s="3"/>
      <c r="AF701" s="3"/>
      <c r="AG701" s="3"/>
      <c r="AH701" s="3"/>
      <c r="AI701" s="3"/>
    </row>
    <row r="702" spans="1:35" ht="15.75" customHeight="1">
      <c r="A702" s="3"/>
      <c r="B702" s="79"/>
      <c r="C702" s="80"/>
      <c r="D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81"/>
      <c r="AC702" s="80"/>
      <c r="AD702" s="3"/>
      <c r="AE702" s="3"/>
      <c r="AF702" s="3"/>
      <c r="AG702" s="3"/>
      <c r="AH702" s="3"/>
      <c r="AI702" s="3"/>
    </row>
    <row r="703" spans="1:35" ht="15.75" customHeight="1">
      <c r="A703" s="3"/>
      <c r="B703" s="79"/>
      <c r="C703" s="80"/>
      <c r="D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81"/>
      <c r="AC703" s="80"/>
      <c r="AD703" s="3"/>
      <c r="AE703" s="3"/>
      <c r="AF703" s="3"/>
      <c r="AG703" s="3"/>
      <c r="AH703" s="3"/>
      <c r="AI703" s="3"/>
    </row>
    <row r="704" spans="1:35" ht="15.75" customHeight="1">
      <c r="A704" s="3"/>
      <c r="B704" s="79"/>
      <c r="C704" s="80"/>
      <c r="D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81"/>
      <c r="AC704" s="80"/>
      <c r="AD704" s="3"/>
      <c r="AE704" s="3"/>
      <c r="AF704" s="3"/>
      <c r="AG704" s="3"/>
      <c r="AH704" s="3"/>
      <c r="AI704" s="3"/>
    </row>
    <row r="705" spans="1:35" ht="15.75" customHeight="1">
      <c r="A705" s="3"/>
      <c r="B705" s="79"/>
      <c r="C705" s="80"/>
      <c r="D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81"/>
      <c r="AC705" s="80"/>
      <c r="AD705" s="3"/>
      <c r="AE705" s="3"/>
      <c r="AF705" s="3"/>
      <c r="AG705" s="3"/>
      <c r="AH705" s="3"/>
      <c r="AI705" s="3"/>
    </row>
    <row r="706" spans="1:35" ht="15.75" customHeight="1">
      <c r="A706" s="3"/>
      <c r="B706" s="79"/>
      <c r="C706" s="80"/>
      <c r="D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81"/>
      <c r="AC706" s="80"/>
      <c r="AD706" s="3"/>
      <c r="AE706" s="3"/>
      <c r="AF706" s="3"/>
      <c r="AG706" s="3"/>
      <c r="AH706" s="3"/>
      <c r="AI706" s="3"/>
    </row>
    <row r="707" spans="1:35" ht="15.75" customHeight="1">
      <c r="A707" s="3"/>
      <c r="B707" s="79"/>
      <c r="C707" s="80"/>
      <c r="D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81"/>
      <c r="AC707" s="80"/>
      <c r="AD707" s="3"/>
      <c r="AE707" s="3"/>
      <c r="AF707" s="3"/>
      <c r="AG707" s="3"/>
      <c r="AH707" s="3"/>
      <c r="AI707" s="3"/>
    </row>
    <row r="708" spans="1:35" ht="15.75" customHeight="1">
      <c r="A708" s="3"/>
      <c r="B708" s="79"/>
      <c r="C708" s="80"/>
      <c r="D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81"/>
      <c r="AC708" s="80"/>
      <c r="AD708" s="3"/>
      <c r="AE708" s="3"/>
      <c r="AF708" s="3"/>
      <c r="AG708" s="3"/>
      <c r="AH708" s="3"/>
      <c r="AI708" s="3"/>
    </row>
    <row r="709" spans="1:35" ht="15.75" customHeight="1">
      <c r="A709" s="3"/>
      <c r="B709" s="79"/>
      <c r="C709" s="80"/>
      <c r="D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81"/>
      <c r="AC709" s="80"/>
      <c r="AD709" s="3"/>
      <c r="AE709" s="3"/>
      <c r="AF709" s="3"/>
      <c r="AG709" s="3"/>
      <c r="AH709" s="3"/>
      <c r="AI709" s="3"/>
    </row>
    <row r="710" spans="1:35" ht="15.75" customHeight="1">
      <c r="A710" s="3"/>
      <c r="B710" s="79"/>
      <c r="C710" s="80"/>
      <c r="D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81"/>
      <c r="AC710" s="80"/>
      <c r="AD710" s="3"/>
      <c r="AE710" s="3"/>
      <c r="AF710" s="3"/>
      <c r="AG710" s="3"/>
      <c r="AH710" s="3"/>
      <c r="AI710" s="3"/>
    </row>
    <row r="711" spans="1:35" ht="15.75" customHeight="1">
      <c r="A711" s="3"/>
      <c r="B711" s="79"/>
      <c r="C711" s="80"/>
      <c r="D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81"/>
      <c r="AC711" s="80"/>
      <c r="AD711" s="3"/>
      <c r="AE711" s="3"/>
      <c r="AF711" s="3"/>
      <c r="AG711" s="3"/>
      <c r="AH711" s="3"/>
      <c r="AI711" s="3"/>
    </row>
    <row r="712" spans="1:35" ht="15.75" customHeight="1">
      <c r="A712" s="3"/>
      <c r="B712" s="79"/>
      <c r="C712" s="80"/>
      <c r="D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81"/>
      <c r="AC712" s="80"/>
      <c r="AD712" s="3"/>
      <c r="AE712" s="3"/>
      <c r="AF712" s="3"/>
      <c r="AG712" s="3"/>
      <c r="AH712" s="3"/>
      <c r="AI712" s="3"/>
    </row>
    <row r="713" spans="1:35" ht="15.75" customHeight="1">
      <c r="A713" s="3"/>
      <c r="B713" s="79"/>
      <c r="C713" s="80"/>
      <c r="D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81"/>
      <c r="AC713" s="80"/>
      <c r="AD713" s="3"/>
      <c r="AE713" s="3"/>
      <c r="AF713" s="3"/>
      <c r="AG713" s="3"/>
      <c r="AH713" s="3"/>
      <c r="AI713" s="3"/>
    </row>
    <row r="714" spans="1:35" ht="15.75" customHeight="1">
      <c r="A714" s="3"/>
      <c r="B714" s="79"/>
      <c r="C714" s="80"/>
      <c r="D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81"/>
      <c r="AC714" s="80"/>
      <c r="AD714" s="3"/>
      <c r="AE714" s="3"/>
      <c r="AF714" s="3"/>
      <c r="AG714" s="3"/>
      <c r="AH714" s="3"/>
      <c r="AI714" s="3"/>
    </row>
    <row r="715" spans="1:35" ht="15.75" customHeight="1">
      <c r="A715" s="3"/>
      <c r="B715" s="79"/>
      <c r="C715" s="80"/>
      <c r="D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81"/>
      <c r="AC715" s="80"/>
      <c r="AD715" s="3"/>
      <c r="AE715" s="3"/>
      <c r="AF715" s="3"/>
      <c r="AG715" s="3"/>
      <c r="AH715" s="3"/>
      <c r="AI715" s="3"/>
    </row>
    <row r="716" spans="1:35" ht="15.75" customHeight="1">
      <c r="A716" s="3"/>
      <c r="B716" s="79"/>
      <c r="C716" s="80"/>
      <c r="D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81"/>
      <c r="AC716" s="80"/>
      <c r="AD716" s="3"/>
      <c r="AE716" s="3"/>
      <c r="AF716" s="3"/>
      <c r="AG716" s="3"/>
      <c r="AH716" s="3"/>
      <c r="AI716" s="3"/>
    </row>
    <row r="717" spans="1:35" ht="15.75" customHeight="1">
      <c r="A717" s="3"/>
      <c r="B717" s="79"/>
      <c r="C717" s="80"/>
      <c r="D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81"/>
      <c r="AC717" s="80"/>
      <c r="AD717" s="3"/>
      <c r="AE717" s="3"/>
      <c r="AF717" s="3"/>
      <c r="AG717" s="3"/>
      <c r="AH717" s="3"/>
      <c r="AI717" s="3"/>
    </row>
    <row r="718" spans="1:35" ht="15.75" customHeight="1">
      <c r="A718" s="3"/>
      <c r="B718" s="79"/>
      <c r="C718" s="80"/>
      <c r="D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81"/>
      <c r="AC718" s="80"/>
      <c r="AD718" s="3"/>
      <c r="AE718" s="3"/>
      <c r="AF718" s="3"/>
      <c r="AG718" s="3"/>
      <c r="AH718" s="3"/>
      <c r="AI718" s="3"/>
    </row>
    <row r="719" spans="1:35" ht="15.75" customHeight="1">
      <c r="A719" s="3"/>
      <c r="B719" s="79"/>
      <c r="C719" s="80"/>
      <c r="D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81"/>
      <c r="AC719" s="80"/>
      <c r="AD719" s="3"/>
      <c r="AE719" s="3"/>
      <c r="AF719" s="3"/>
      <c r="AG719" s="3"/>
      <c r="AH719" s="3"/>
      <c r="AI719" s="3"/>
    </row>
    <row r="720" spans="1:35" ht="15.75" customHeight="1">
      <c r="A720" s="3"/>
      <c r="B720" s="79"/>
      <c r="C720" s="80"/>
      <c r="D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81"/>
      <c r="AC720" s="80"/>
      <c r="AD720" s="3"/>
      <c r="AE720" s="3"/>
      <c r="AF720" s="3"/>
      <c r="AG720" s="3"/>
      <c r="AH720" s="3"/>
      <c r="AI720" s="3"/>
    </row>
    <row r="721" spans="1:35" ht="15.75" customHeight="1">
      <c r="A721" s="3"/>
      <c r="B721" s="79"/>
      <c r="C721" s="80"/>
      <c r="D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81"/>
      <c r="AC721" s="80"/>
      <c r="AD721" s="3"/>
      <c r="AE721" s="3"/>
      <c r="AF721" s="3"/>
      <c r="AG721" s="3"/>
      <c r="AH721" s="3"/>
      <c r="AI721" s="3"/>
    </row>
    <row r="722" spans="1:35" ht="15.75" customHeight="1">
      <c r="A722" s="3"/>
      <c r="B722" s="79"/>
      <c r="C722" s="80"/>
      <c r="D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81"/>
      <c r="AC722" s="80"/>
      <c r="AD722" s="3"/>
      <c r="AE722" s="3"/>
      <c r="AF722" s="3"/>
      <c r="AG722" s="3"/>
      <c r="AH722" s="3"/>
      <c r="AI722" s="3"/>
    </row>
    <row r="723" spans="1:35" ht="15.75" customHeight="1">
      <c r="A723" s="3"/>
      <c r="B723" s="79"/>
      <c r="C723" s="80"/>
      <c r="D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81"/>
      <c r="AC723" s="80"/>
      <c r="AD723" s="3"/>
      <c r="AE723" s="3"/>
      <c r="AF723" s="3"/>
      <c r="AG723" s="3"/>
      <c r="AH723" s="3"/>
      <c r="AI723" s="3"/>
    </row>
    <row r="724" spans="1:35" ht="15.75" customHeight="1">
      <c r="A724" s="3"/>
      <c r="B724" s="79"/>
      <c r="C724" s="80"/>
      <c r="D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81"/>
      <c r="AC724" s="80"/>
      <c r="AD724" s="3"/>
      <c r="AE724" s="3"/>
      <c r="AF724" s="3"/>
      <c r="AG724" s="3"/>
      <c r="AH724" s="3"/>
      <c r="AI724" s="3"/>
    </row>
    <row r="725" spans="1:35" ht="15.75" customHeight="1">
      <c r="A725" s="3"/>
      <c r="B725" s="79"/>
      <c r="C725" s="80"/>
      <c r="D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81"/>
      <c r="AC725" s="80"/>
      <c r="AD725" s="3"/>
      <c r="AE725" s="3"/>
      <c r="AF725" s="3"/>
      <c r="AG725" s="3"/>
      <c r="AH725" s="3"/>
      <c r="AI725" s="3"/>
    </row>
    <row r="726" spans="1:35" ht="15.75" customHeight="1">
      <c r="A726" s="3"/>
      <c r="B726" s="79"/>
      <c r="C726" s="80"/>
      <c r="D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81"/>
      <c r="AC726" s="80"/>
      <c r="AD726" s="3"/>
      <c r="AE726" s="3"/>
      <c r="AF726" s="3"/>
      <c r="AG726" s="3"/>
      <c r="AH726" s="3"/>
      <c r="AI726" s="3"/>
    </row>
    <row r="727" spans="1:35" ht="15.75" customHeight="1">
      <c r="A727" s="3"/>
      <c r="B727" s="79"/>
      <c r="C727" s="80"/>
      <c r="D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81"/>
      <c r="AC727" s="80"/>
      <c r="AD727" s="3"/>
      <c r="AE727" s="3"/>
      <c r="AF727" s="3"/>
      <c r="AG727" s="3"/>
      <c r="AH727" s="3"/>
      <c r="AI727" s="3"/>
    </row>
    <row r="728" spans="1:35" ht="15.75" customHeight="1">
      <c r="A728" s="3"/>
      <c r="B728" s="79"/>
      <c r="C728" s="80"/>
      <c r="D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81"/>
      <c r="AC728" s="80"/>
      <c r="AD728" s="3"/>
      <c r="AE728" s="3"/>
      <c r="AF728" s="3"/>
      <c r="AG728" s="3"/>
      <c r="AH728" s="3"/>
      <c r="AI728" s="3"/>
    </row>
    <row r="729" spans="1:35" ht="15.75" customHeight="1">
      <c r="A729" s="3"/>
      <c r="B729" s="79"/>
      <c r="C729" s="80"/>
      <c r="D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81"/>
      <c r="AC729" s="80"/>
      <c r="AD729" s="3"/>
      <c r="AE729" s="3"/>
      <c r="AF729" s="3"/>
      <c r="AG729" s="3"/>
      <c r="AH729" s="3"/>
      <c r="AI729" s="3"/>
    </row>
    <row r="730" spans="1:35" ht="15.75" customHeight="1">
      <c r="A730" s="3"/>
      <c r="B730" s="79"/>
      <c r="C730" s="80"/>
      <c r="D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81"/>
      <c r="AC730" s="80"/>
      <c r="AD730" s="3"/>
      <c r="AE730" s="3"/>
      <c r="AF730" s="3"/>
      <c r="AG730" s="3"/>
      <c r="AH730" s="3"/>
      <c r="AI730" s="3"/>
    </row>
    <row r="731" spans="1:35" ht="15.75" customHeight="1">
      <c r="A731" s="3"/>
      <c r="B731" s="79"/>
      <c r="C731" s="80"/>
      <c r="D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81"/>
      <c r="AC731" s="80"/>
      <c r="AD731" s="3"/>
      <c r="AE731" s="3"/>
      <c r="AF731" s="3"/>
      <c r="AG731" s="3"/>
      <c r="AH731" s="3"/>
      <c r="AI731" s="3"/>
    </row>
    <row r="732" spans="1:35" ht="15.75" customHeight="1">
      <c r="A732" s="3"/>
      <c r="B732" s="79"/>
      <c r="C732" s="80"/>
      <c r="D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81"/>
      <c r="AC732" s="80"/>
      <c r="AD732" s="3"/>
      <c r="AE732" s="3"/>
      <c r="AF732" s="3"/>
      <c r="AG732" s="3"/>
      <c r="AH732" s="3"/>
      <c r="AI732" s="3"/>
    </row>
    <row r="733" spans="1:35" ht="15.75" customHeight="1">
      <c r="A733" s="3"/>
      <c r="B733" s="79"/>
      <c r="C733" s="80"/>
      <c r="D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81"/>
      <c r="AC733" s="80"/>
      <c r="AD733" s="3"/>
      <c r="AE733" s="3"/>
      <c r="AF733" s="3"/>
      <c r="AG733" s="3"/>
      <c r="AH733" s="3"/>
      <c r="AI733" s="3"/>
    </row>
    <row r="734" spans="1:35" ht="15.75" customHeight="1">
      <c r="A734" s="3"/>
      <c r="B734" s="79"/>
      <c r="C734" s="80"/>
      <c r="D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81"/>
      <c r="AC734" s="80"/>
      <c r="AD734" s="3"/>
      <c r="AE734" s="3"/>
      <c r="AF734" s="3"/>
      <c r="AG734" s="3"/>
      <c r="AH734" s="3"/>
      <c r="AI734" s="3"/>
    </row>
    <row r="735" spans="1:35" ht="15.75" customHeight="1">
      <c r="A735" s="3"/>
      <c r="B735" s="79"/>
      <c r="C735" s="80"/>
      <c r="D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81"/>
      <c r="AC735" s="80"/>
      <c r="AD735" s="3"/>
      <c r="AE735" s="3"/>
      <c r="AF735" s="3"/>
      <c r="AG735" s="3"/>
      <c r="AH735" s="3"/>
      <c r="AI735" s="3"/>
    </row>
    <row r="736" spans="1:35" ht="15.75" customHeight="1">
      <c r="A736" s="3"/>
      <c r="B736" s="79"/>
      <c r="C736" s="80"/>
      <c r="D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81"/>
      <c r="AC736" s="80"/>
      <c r="AD736" s="3"/>
      <c r="AE736" s="3"/>
      <c r="AF736" s="3"/>
      <c r="AG736" s="3"/>
      <c r="AH736" s="3"/>
      <c r="AI736" s="3"/>
    </row>
    <row r="737" spans="1:35" ht="15.75" customHeight="1">
      <c r="A737" s="3"/>
      <c r="B737" s="79"/>
      <c r="C737" s="80"/>
      <c r="D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81"/>
      <c r="AC737" s="80"/>
      <c r="AD737" s="3"/>
      <c r="AE737" s="3"/>
      <c r="AF737" s="3"/>
      <c r="AG737" s="3"/>
      <c r="AH737" s="3"/>
      <c r="AI737" s="3"/>
    </row>
    <row r="738" spans="1:35" ht="15.75" customHeight="1">
      <c r="A738" s="3"/>
      <c r="B738" s="79"/>
      <c r="C738" s="80"/>
      <c r="D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81"/>
      <c r="AC738" s="80"/>
      <c r="AD738" s="3"/>
      <c r="AE738" s="3"/>
      <c r="AF738" s="3"/>
      <c r="AG738" s="3"/>
      <c r="AH738" s="3"/>
      <c r="AI738" s="3"/>
    </row>
    <row r="739" spans="1:35" ht="15.75" customHeight="1">
      <c r="A739" s="3"/>
      <c r="B739" s="79"/>
      <c r="C739" s="80"/>
      <c r="D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81"/>
      <c r="AC739" s="80"/>
      <c r="AD739" s="3"/>
      <c r="AE739" s="3"/>
      <c r="AF739" s="3"/>
      <c r="AG739" s="3"/>
      <c r="AH739" s="3"/>
      <c r="AI739" s="3"/>
    </row>
    <row r="740" spans="1:35" ht="15.75" customHeight="1">
      <c r="A740" s="3"/>
      <c r="B740" s="79"/>
      <c r="C740" s="80"/>
      <c r="D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81"/>
      <c r="AC740" s="80"/>
      <c r="AD740" s="3"/>
      <c r="AE740" s="3"/>
      <c r="AF740" s="3"/>
      <c r="AG740" s="3"/>
      <c r="AH740" s="3"/>
      <c r="AI740" s="3"/>
    </row>
    <row r="741" spans="1:35" ht="15.75" customHeight="1">
      <c r="A741" s="3"/>
      <c r="B741" s="79"/>
      <c r="C741" s="80"/>
      <c r="D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81"/>
      <c r="AC741" s="80"/>
      <c r="AD741" s="3"/>
      <c r="AE741" s="3"/>
      <c r="AF741" s="3"/>
      <c r="AG741" s="3"/>
      <c r="AH741" s="3"/>
      <c r="AI741" s="3"/>
    </row>
    <row r="742" spans="1:35" ht="15.75" customHeight="1">
      <c r="A742" s="3"/>
      <c r="B742" s="79"/>
      <c r="C742" s="80"/>
      <c r="D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81"/>
      <c r="AC742" s="80"/>
      <c r="AD742" s="3"/>
      <c r="AE742" s="3"/>
      <c r="AF742" s="3"/>
      <c r="AG742" s="3"/>
      <c r="AH742" s="3"/>
      <c r="AI742" s="3"/>
    </row>
    <row r="743" spans="1:35" ht="15.75" customHeight="1">
      <c r="A743" s="3"/>
      <c r="B743" s="79"/>
      <c r="C743" s="80"/>
      <c r="D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81"/>
      <c r="AC743" s="80"/>
      <c r="AD743" s="3"/>
      <c r="AE743" s="3"/>
      <c r="AF743" s="3"/>
      <c r="AG743" s="3"/>
      <c r="AH743" s="3"/>
      <c r="AI743" s="3"/>
    </row>
    <row r="744" spans="1:35" ht="15.75" customHeight="1">
      <c r="A744" s="3"/>
      <c r="B744" s="79"/>
      <c r="C744" s="80"/>
      <c r="D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81"/>
      <c r="AC744" s="80"/>
      <c r="AD744" s="3"/>
      <c r="AE744" s="3"/>
      <c r="AF744" s="3"/>
      <c r="AG744" s="3"/>
      <c r="AH744" s="3"/>
      <c r="AI744" s="3"/>
    </row>
    <row r="745" spans="1:35" ht="15.75" customHeight="1">
      <c r="A745" s="3"/>
      <c r="B745" s="79"/>
      <c r="C745" s="80"/>
      <c r="D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81"/>
      <c r="AC745" s="80"/>
      <c r="AD745" s="3"/>
      <c r="AE745" s="3"/>
      <c r="AF745" s="3"/>
      <c r="AG745" s="3"/>
      <c r="AH745" s="3"/>
      <c r="AI745" s="3"/>
    </row>
    <row r="746" spans="1:35" ht="15.75" customHeight="1">
      <c r="A746" s="3"/>
      <c r="B746" s="79"/>
      <c r="C746" s="80"/>
      <c r="D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81"/>
      <c r="AC746" s="80"/>
      <c r="AD746" s="3"/>
      <c r="AE746" s="3"/>
      <c r="AF746" s="3"/>
      <c r="AG746" s="3"/>
      <c r="AH746" s="3"/>
      <c r="AI746" s="3"/>
    </row>
    <row r="747" spans="1:35" ht="15.75" customHeight="1">
      <c r="A747" s="3"/>
      <c r="B747" s="79"/>
      <c r="C747" s="80"/>
      <c r="D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81"/>
      <c r="AC747" s="80"/>
      <c r="AD747" s="3"/>
      <c r="AE747" s="3"/>
      <c r="AF747" s="3"/>
      <c r="AG747" s="3"/>
      <c r="AH747" s="3"/>
      <c r="AI747" s="3"/>
    </row>
    <row r="748" spans="1:35" ht="15.75" customHeight="1">
      <c r="A748" s="3"/>
      <c r="B748" s="79"/>
      <c r="C748" s="80"/>
      <c r="D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81"/>
      <c r="AC748" s="80"/>
      <c r="AD748" s="3"/>
      <c r="AE748" s="3"/>
      <c r="AF748" s="3"/>
      <c r="AG748" s="3"/>
      <c r="AH748" s="3"/>
      <c r="AI748" s="3"/>
    </row>
    <row r="749" spans="1:35" ht="15.75" customHeight="1">
      <c r="A749" s="3"/>
      <c r="B749" s="79"/>
      <c r="C749" s="80"/>
      <c r="D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81"/>
      <c r="AC749" s="80"/>
      <c r="AD749" s="3"/>
      <c r="AE749" s="3"/>
      <c r="AF749" s="3"/>
      <c r="AG749" s="3"/>
      <c r="AH749" s="3"/>
      <c r="AI749" s="3"/>
    </row>
    <row r="750" spans="1:35" ht="15.75" customHeight="1">
      <c r="A750" s="3"/>
      <c r="B750" s="79"/>
      <c r="C750" s="80"/>
      <c r="D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81"/>
      <c r="AC750" s="80"/>
      <c r="AD750" s="3"/>
      <c r="AE750" s="3"/>
      <c r="AF750" s="3"/>
      <c r="AG750" s="3"/>
      <c r="AH750" s="3"/>
      <c r="AI750" s="3"/>
    </row>
    <row r="751" spans="1:35" ht="15.75" customHeight="1">
      <c r="A751" s="3"/>
      <c r="B751" s="79"/>
      <c r="C751" s="80"/>
      <c r="D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81"/>
      <c r="AC751" s="80"/>
      <c r="AD751" s="3"/>
      <c r="AE751" s="3"/>
      <c r="AF751" s="3"/>
      <c r="AG751" s="3"/>
      <c r="AH751" s="3"/>
      <c r="AI751" s="3"/>
    </row>
    <row r="752" spans="1:35" ht="15.75" customHeight="1">
      <c r="A752" s="3"/>
      <c r="B752" s="79"/>
      <c r="C752" s="80"/>
      <c r="D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81"/>
      <c r="AC752" s="80"/>
      <c r="AD752" s="3"/>
      <c r="AE752" s="3"/>
      <c r="AF752" s="3"/>
      <c r="AG752" s="3"/>
      <c r="AH752" s="3"/>
      <c r="AI752" s="3"/>
    </row>
    <row r="753" spans="1:35" ht="15.75" customHeight="1">
      <c r="A753" s="3"/>
      <c r="B753" s="79"/>
      <c r="C753" s="80"/>
      <c r="D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81"/>
      <c r="AC753" s="80"/>
      <c r="AD753" s="3"/>
      <c r="AE753" s="3"/>
      <c r="AF753" s="3"/>
      <c r="AG753" s="3"/>
      <c r="AH753" s="3"/>
      <c r="AI753" s="3"/>
    </row>
    <row r="754" spans="1:35" ht="15.75" customHeight="1">
      <c r="A754" s="3"/>
      <c r="B754" s="79"/>
      <c r="C754" s="80"/>
      <c r="D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81"/>
      <c r="AC754" s="80"/>
      <c r="AD754" s="3"/>
      <c r="AE754" s="3"/>
      <c r="AF754" s="3"/>
      <c r="AG754" s="3"/>
      <c r="AH754" s="3"/>
      <c r="AI754" s="3"/>
    </row>
    <row r="755" spans="1:35" ht="15.75" customHeight="1">
      <c r="A755" s="3"/>
      <c r="B755" s="79"/>
      <c r="C755" s="80"/>
      <c r="D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81"/>
      <c r="AC755" s="80"/>
      <c r="AD755" s="3"/>
      <c r="AE755" s="3"/>
      <c r="AF755" s="3"/>
      <c r="AG755" s="3"/>
      <c r="AH755" s="3"/>
      <c r="AI755" s="3"/>
    </row>
    <row r="756" spans="1:35" ht="15.75" customHeight="1">
      <c r="A756" s="3"/>
      <c r="B756" s="79"/>
      <c r="C756" s="80"/>
      <c r="D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81"/>
      <c r="AC756" s="80"/>
      <c r="AD756" s="3"/>
      <c r="AE756" s="3"/>
      <c r="AF756" s="3"/>
      <c r="AG756" s="3"/>
      <c r="AH756" s="3"/>
      <c r="AI756" s="3"/>
    </row>
    <row r="757" spans="1:35" ht="15.75" customHeight="1">
      <c r="A757" s="3"/>
      <c r="B757" s="79"/>
      <c r="C757" s="80"/>
      <c r="D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81"/>
      <c r="AC757" s="80"/>
      <c r="AD757" s="3"/>
      <c r="AE757" s="3"/>
      <c r="AF757" s="3"/>
      <c r="AG757" s="3"/>
      <c r="AH757" s="3"/>
      <c r="AI757" s="3"/>
    </row>
    <row r="758" spans="1:35" ht="15.75" customHeight="1">
      <c r="A758" s="3"/>
      <c r="B758" s="79"/>
      <c r="C758" s="80"/>
      <c r="D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81"/>
      <c r="AC758" s="80"/>
      <c r="AD758" s="3"/>
      <c r="AE758" s="3"/>
      <c r="AF758" s="3"/>
      <c r="AG758" s="3"/>
      <c r="AH758" s="3"/>
      <c r="AI758" s="3"/>
    </row>
    <row r="759" spans="1:35" ht="15.75" customHeight="1">
      <c r="A759" s="3"/>
      <c r="B759" s="79"/>
      <c r="C759" s="80"/>
      <c r="D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81"/>
      <c r="AC759" s="80"/>
      <c r="AD759" s="3"/>
      <c r="AE759" s="3"/>
      <c r="AF759" s="3"/>
      <c r="AG759" s="3"/>
      <c r="AH759" s="3"/>
      <c r="AI759" s="3"/>
    </row>
    <row r="760" spans="1:35" ht="15.75" customHeight="1">
      <c r="A760" s="3"/>
      <c r="B760" s="79"/>
      <c r="C760" s="80"/>
      <c r="D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81"/>
      <c r="AC760" s="80"/>
      <c r="AD760" s="3"/>
      <c r="AE760" s="3"/>
      <c r="AF760" s="3"/>
      <c r="AG760" s="3"/>
      <c r="AH760" s="3"/>
      <c r="AI760" s="3"/>
    </row>
    <row r="761" spans="1:35" ht="15.75" customHeight="1">
      <c r="A761" s="3"/>
      <c r="B761" s="79"/>
      <c r="C761" s="80"/>
      <c r="D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81"/>
      <c r="AC761" s="80"/>
      <c r="AD761" s="3"/>
      <c r="AE761" s="3"/>
      <c r="AF761" s="3"/>
      <c r="AG761" s="3"/>
      <c r="AH761" s="3"/>
      <c r="AI761" s="3"/>
    </row>
    <row r="762" spans="1:35" ht="15.75" customHeight="1">
      <c r="A762" s="3"/>
      <c r="B762" s="79"/>
      <c r="C762" s="80"/>
      <c r="D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81"/>
      <c r="AC762" s="80"/>
      <c r="AD762" s="3"/>
      <c r="AE762" s="3"/>
      <c r="AF762" s="3"/>
      <c r="AG762" s="3"/>
      <c r="AH762" s="3"/>
      <c r="AI762" s="3"/>
    </row>
    <row r="763" spans="1:35" ht="15.75" customHeight="1">
      <c r="A763" s="3"/>
      <c r="B763" s="79"/>
      <c r="C763" s="80"/>
      <c r="D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81"/>
      <c r="AC763" s="80"/>
      <c r="AD763" s="3"/>
      <c r="AE763" s="3"/>
      <c r="AF763" s="3"/>
      <c r="AG763" s="3"/>
      <c r="AH763" s="3"/>
      <c r="AI763" s="3"/>
    </row>
    <row r="764" spans="1:35" ht="15.75" customHeight="1">
      <c r="A764" s="3"/>
      <c r="B764" s="79"/>
      <c r="C764" s="80"/>
      <c r="D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81"/>
      <c r="AC764" s="80"/>
      <c r="AD764" s="3"/>
      <c r="AE764" s="3"/>
      <c r="AF764" s="3"/>
      <c r="AG764" s="3"/>
      <c r="AH764" s="3"/>
      <c r="AI764" s="3"/>
    </row>
    <row r="765" spans="1:35" ht="15.75" customHeight="1">
      <c r="A765" s="3"/>
      <c r="B765" s="79"/>
      <c r="C765" s="80"/>
      <c r="D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81"/>
      <c r="AC765" s="80"/>
      <c r="AD765" s="3"/>
      <c r="AE765" s="3"/>
      <c r="AF765" s="3"/>
      <c r="AG765" s="3"/>
      <c r="AH765" s="3"/>
      <c r="AI765" s="3"/>
    </row>
    <row r="766" spans="1:35" ht="15.75" customHeight="1">
      <c r="A766" s="3"/>
      <c r="B766" s="79"/>
      <c r="C766" s="80"/>
      <c r="D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81"/>
      <c r="AC766" s="80"/>
      <c r="AD766" s="3"/>
      <c r="AE766" s="3"/>
      <c r="AF766" s="3"/>
      <c r="AG766" s="3"/>
      <c r="AH766" s="3"/>
      <c r="AI766" s="3"/>
    </row>
    <row r="767" spans="1:35" ht="15.75" customHeight="1">
      <c r="A767" s="3"/>
      <c r="B767" s="79"/>
      <c r="C767" s="80"/>
      <c r="D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81"/>
      <c r="AC767" s="80"/>
      <c r="AD767" s="3"/>
      <c r="AE767" s="3"/>
      <c r="AF767" s="3"/>
      <c r="AG767" s="3"/>
      <c r="AH767" s="3"/>
      <c r="AI767" s="3"/>
    </row>
    <row r="768" spans="1:35" ht="15.75" customHeight="1">
      <c r="A768" s="3"/>
      <c r="B768" s="79"/>
      <c r="C768" s="80"/>
      <c r="D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81"/>
      <c r="AC768" s="80"/>
      <c r="AD768" s="3"/>
      <c r="AE768" s="3"/>
      <c r="AF768" s="3"/>
      <c r="AG768" s="3"/>
      <c r="AH768" s="3"/>
      <c r="AI768" s="3"/>
    </row>
    <row r="769" spans="1:35" ht="15.75" customHeight="1">
      <c r="A769" s="3"/>
      <c r="B769" s="79"/>
      <c r="C769" s="80"/>
      <c r="D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81"/>
      <c r="AC769" s="80"/>
      <c r="AD769" s="3"/>
      <c r="AE769" s="3"/>
      <c r="AF769" s="3"/>
      <c r="AG769" s="3"/>
      <c r="AH769" s="3"/>
      <c r="AI769" s="3"/>
    </row>
    <row r="770" spans="1:35" ht="15.75" customHeight="1">
      <c r="A770" s="3"/>
      <c r="B770" s="79"/>
      <c r="C770" s="80"/>
      <c r="D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81"/>
      <c r="AC770" s="80"/>
      <c r="AD770" s="3"/>
      <c r="AE770" s="3"/>
      <c r="AF770" s="3"/>
      <c r="AG770" s="3"/>
      <c r="AH770" s="3"/>
      <c r="AI770" s="3"/>
    </row>
    <row r="771" spans="1:35" ht="15.75" customHeight="1">
      <c r="A771" s="3"/>
      <c r="B771" s="79"/>
      <c r="C771" s="80"/>
      <c r="D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81"/>
      <c r="AC771" s="80"/>
      <c r="AD771" s="3"/>
      <c r="AE771" s="3"/>
      <c r="AF771" s="3"/>
      <c r="AG771" s="3"/>
      <c r="AH771" s="3"/>
      <c r="AI771" s="3"/>
    </row>
    <row r="772" spans="1:35" ht="15.75" customHeight="1">
      <c r="A772" s="3"/>
      <c r="B772" s="79"/>
      <c r="C772" s="80"/>
      <c r="D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81"/>
      <c r="AC772" s="80"/>
      <c r="AD772" s="3"/>
      <c r="AE772" s="3"/>
      <c r="AF772" s="3"/>
      <c r="AG772" s="3"/>
      <c r="AH772" s="3"/>
      <c r="AI772" s="3"/>
    </row>
    <row r="773" spans="1:35" ht="15.75" customHeight="1">
      <c r="A773" s="3"/>
      <c r="B773" s="79"/>
      <c r="C773" s="80"/>
      <c r="D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81"/>
      <c r="AC773" s="80"/>
      <c r="AD773" s="3"/>
      <c r="AE773" s="3"/>
      <c r="AF773" s="3"/>
      <c r="AG773" s="3"/>
      <c r="AH773" s="3"/>
      <c r="AI773" s="3"/>
    </row>
    <row r="774" spans="1:35" ht="15.75" customHeight="1">
      <c r="A774" s="3"/>
      <c r="B774" s="79"/>
      <c r="C774" s="80"/>
      <c r="D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81"/>
      <c r="AC774" s="80"/>
      <c r="AD774" s="3"/>
      <c r="AE774" s="3"/>
      <c r="AF774" s="3"/>
      <c r="AG774" s="3"/>
      <c r="AH774" s="3"/>
      <c r="AI774" s="3"/>
    </row>
    <row r="775" spans="1:35" ht="15.75" customHeight="1">
      <c r="A775" s="3"/>
      <c r="B775" s="79"/>
      <c r="C775" s="80"/>
      <c r="D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81"/>
      <c r="AC775" s="80"/>
      <c r="AD775" s="3"/>
      <c r="AE775" s="3"/>
      <c r="AF775" s="3"/>
      <c r="AG775" s="3"/>
      <c r="AH775" s="3"/>
      <c r="AI775" s="3"/>
    </row>
    <row r="776" spans="1:35" ht="15.75" customHeight="1">
      <c r="A776" s="3"/>
      <c r="B776" s="79"/>
      <c r="C776" s="80"/>
      <c r="D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81"/>
      <c r="AC776" s="80"/>
      <c r="AD776" s="3"/>
      <c r="AE776" s="3"/>
      <c r="AF776" s="3"/>
      <c r="AG776" s="3"/>
      <c r="AH776" s="3"/>
      <c r="AI776" s="3"/>
    </row>
    <row r="777" spans="1:35" ht="15.75" customHeight="1">
      <c r="A777" s="3"/>
      <c r="B777" s="79"/>
      <c r="C777" s="80"/>
      <c r="D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81"/>
      <c r="AC777" s="80"/>
      <c r="AD777" s="3"/>
      <c r="AE777" s="3"/>
      <c r="AF777" s="3"/>
      <c r="AG777" s="3"/>
      <c r="AH777" s="3"/>
      <c r="AI777" s="3"/>
    </row>
    <row r="778" spans="1:35" ht="15.75" customHeight="1">
      <c r="A778" s="3"/>
      <c r="B778" s="79"/>
      <c r="C778" s="80"/>
      <c r="D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81"/>
      <c r="AC778" s="80"/>
      <c r="AD778" s="3"/>
      <c r="AE778" s="3"/>
      <c r="AF778" s="3"/>
      <c r="AG778" s="3"/>
      <c r="AH778" s="3"/>
      <c r="AI778" s="3"/>
    </row>
    <row r="779" spans="1:35" ht="15.75" customHeight="1">
      <c r="A779" s="3"/>
      <c r="B779" s="79"/>
      <c r="C779" s="80"/>
      <c r="D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81"/>
      <c r="AC779" s="80"/>
      <c r="AD779" s="3"/>
      <c r="AE779" s="3"/>
      <c r="AF779" s="3"/>
      <c r="AG779" s="3"/>
      <c r="AH779" s="3"/>
      <c r="AI779" s="3"/>
    </row>
    <row r="780" spans="1:35" ht="15.75" customHeight="1">
      <c r="A780" s="3"/>
      <c r="B780" s="79"/>
      <c r="C780" s="80"/>
      <c r="D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81"/>
      <c r="AC780" s="80"/>
      <c r="AD780" s="3"/>
      <c r="AE780" s="3"/>
      <c r="AF780" s="3"/>
      <c r="AG780" s="3"/>
      <c r="AH780" s="3"/>
      <c r="AI780" s="3"/>
    </row>
    <row r="781" spans="1:35" ht="15.75" customHeight="1">
      <c r="A781" s="3"/>
      <c r="B781" s="79"/>
      <c r="C781" s="80"/>
      <c r="D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81"/>
      <c r="AC781" s="80"/>
      <c r="AD781" s="3"/>
      <c r="AE781" s="3"/>
      <c r="AF781" s="3"/>
      <c r="AG781" s="3"/>
      <c r="AH781" s="3"/>
      <c r="AI781" s="3"/>
    </row>
    <row r="782" spans="1:35" ht="15.75" customHeight="1">
      <c r="A782" s="3"/>
      <c r="B782" s="79"/>
      <c r="C782" s="80"/>
      <c r="D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81"/>
      <c r="AC782" s="80"/>
      <c r="AD782" s="3"/>
      <c r="AE782" s="3"/>
      <c r="AF782" s="3"/>
      <c r="AG782" s="3"/>
      <c r="AH782" s="3"/>
      <c r="AI782" s="3"/>
    </row>
    <row r="783" spans="1:35" ht="15.75" customHeight="1">
      <c r="A783" s="3"/>
      <c r="B783" s="79"/>
      <c r="C783" s="80"/>
      <c r="D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81"/>
      <c r="AC783" s="80"/>
      <c r="AD783" s="3"/>
      <c r="AE783" s="3"/>
      <c r="AF783" s="3"/>
      <c r="AG783" s="3"/>
      <c r="AH783" s="3"/>
      <c r="AI783" s="3"/>
    </row>
    <row r="784" spans="1:35" ht="15.75" customHeight="1">
      <c r="A784" s="3"/>
      <c r="B784" s="79"/>
      <c r="C784" s="80"/>
      <c r="D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81"/>
      <c r="AC784" s="80"/>
      <c r="AD784" s="3"/>
      <c r="AE784" s="3"/>
      <c r="AF784" s="3"/>
      <c r="AG784" s="3"/>
      <c r="AH784" s="3"/>
      <c r="AI784" s="3"/>
    </row>
    <row r="785" spans="1:35" ht="15.75" customHeight="1">
      <c r="A785" s="3"/>
      <c r="B785" s="79"/>
      <c r="C785" s="80"/>
      <c r="D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81"/>
      <c r="AC785" s="80"/>
      <c r="AD785" s="3"/>
      <c r="AE785" s="3"/>
      <c r="AF785" s="3"/>
      <c r="AG785" s="3"/>
      <c r="AH785" s="3"/>
      <c r="AI785" s="3"/>
    </row>
    <row r="786" spans="1:35" ht="15.75" customHeight="1">
      <c r="A786" s="3"/>
      <c r="B786" s="79"/>
      <c r="C786" s="80"/>
      <c r="D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81"/>
      <c r="AC786" s="80"/>
      <c r="AD786" s="3"/>
      <c r="AE786" s="3"/>
      <c r="AF786" s="3"/>
      <c r="AG786" s="3"/>
      <c r="AH786" s="3"/>
      <c r="AI786" s="3"/>
    </row>
    <row r="787" spans="1:35" ht="15.75" customHeight="1">
      <c r="A787" s="3"/>
      <c r="B787" s="79"/>
      <c r="C787" s="80"/>
      <c r="D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81"/>
      <c r="AC787" s="80"/>
      <c r="AD787" s="3"/>
      <c r="AE787" s="3"/>
      <c r="AF787" s="3"/>
      <c r="AG787" s="3"/>
      <c r="AH787" s="3"/>
      <c r="AI787" s="3"/>
    </row>
    <row r="788" spans="1:35" ht="15.75" customHeight="1">
      <c r="A788" s="3"/>
      <c r="B788" s="79"/>
      <c r="C788" s="80"/>
      <c r="D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81"/>
      <c r="AC788" s="80"/>
      <c r="AD788" s="3"/>
      <c r="AE788" s="3"/>
      <c r="AF788" s="3"/>
      <c r="AG788" s="3"/>
      <c r="AH788" s="3"/>
      <c r="AI788" s="3"/>
    </row>
    <row r="789" spans="1:35" ht="15.75" customHeight="1">
      <c r="A789" s="3"/>
      <c r="B789" s="79"/>
      <c r="C789" s="80"/>
      <c r="D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81"/>
      <c r="AC789" s="80"/>
      <c r="AD789" s="3"/>
      <c r="AE789" s="3"/>
      <c r="AF789" s="3"/>
      <c r="AG789" s="3"/>
      <c r="AH789" s="3"/>
      <c r="AI789" s="3"/>
    </row>
    <row r="790" spans="1:35" ht="15.75" customHeight="1">
      <c r="A790" s="3"/>
      <c r="B790" s="79"/>
      <c r="C790" s="80"/>
      <c r="D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81"/>
      <c r="AC790" s="80"/>
      <c r="AD790" s="3"/>
      <c r="AE790" s="3"/>
      <c r="AF790" s="3"/>
      <c r="AG790" s="3"/>
      <c r="AH790" s="3"/>
      <c r="AI790" s="3"/>
    </row>
    <row r="791" spans="1:35" ht="15.75" customHeight="1">
      <c r="A791" s="3"/>
      <c r="B791" s="79"/>
      <c r="C791" s="80"/>
      <c r="D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81"/>
      <c r="AC791" s="80"/>
      <c r="AD791" s="3"/>
      <c r="AE791" s="3"/>
      <c r="AF791" s="3"/>
      <c r="AG791" s="3"/>
      <c r="AH791" s="3"/>
      <c r="AI791" s="3"/>
    </row>
    <row r="792" spans="1:35" ht="15.75" customHeight="1">
      <c r="A792" s="3"/>
      <c r="B792" s="79"/>
      <c r="C792" s="80"/>
      <c r="D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81"/>
      <c r="AC792" s="80"/>
      <c r="AD792" s="3"/>
      <c r="AE792" s="3"/>
      <c r="AF792" s="3"/>
      <c r="AG792" s="3"/>
      <c r="AH792" s="3"/>
      <c r="AI792" s="3"/>
    </row>
    <row r="793" spans="1:35" ht="15.75" customHeight="1">
      <c r="A793" s="3"/>
      <c r="B793" s="79"/>
      <c r="C793" s="80"/>
      <c r="D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81"/>
      <c r="AC793" s="80"/>
      <c r="AD793" s="3"/>
      <c r="AE793" s="3"/>
      <c r="AF793" s="3"/>
      <c r="AG793" s="3"/>
      <c r="AH793" s="3"/>
      <c r="AI793" s="3"/>
    </row>
    <row r="794" spans="1:35" ht="15.75" customHeight="1">
      <c r="A794" s="3"/>
      <c r="B794" s="79"/>
      <c r="C794" s="80"/>
      <c r="D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81"/>
      <c r="AC794" s="80"/>
      <c r="AD794" s="3"/>
      <c r="AE794" s="3"/>
      <c r="AF794" s="3"/>
      <c r="AG794" s="3"/>
      <c r="AH794" s="3"/>
      <c r="AI794" s="3"/>
    </row>
    <row r="795" spans="1:35" ht="15.75" customHeight="1">
      <c r="A795" s="3"/>
      <c r="B795" s="79"/>
      <c r="C795" s="80"/>
      <c r="D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81"/>
      <c r="AC795" s="80"/>
      <c r="AD795" s="3"/>
      <c r="AE795" s="3"/>
      <c r="AF795" s="3"/>
      <c r="AG795" s="3"/>
      <c r="AH795" s="3"/>
      <c r="AI795" s="3"/>
    </row>
    <row r="796" spans="1:35" ht="15.75" customHeight="1">
      <c r="A796" s="3"/>
      <c r="B796" s="79"/>
      <c r="C796" s="80"/>
      <c r="D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81"/>
      <c r="AC796" s="80"/>
      <c r="AD796" s="3"/>
      <c r="AE796" s="3"/>
      <c r="AF796" s="3"/>
      <c r="AG796" s="3"/>
      <c r="AH796" s="3"/>
      <c r="AI796" s="3"/>
    </row>
    <row r="797" spans="1:35" ht="15.75" customHeight="1">
      <c r="A797" s="3"/>
      <c r="B797" s="79"/>
      <c r="C797" s="80"/>
      <c r="D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81"/>
      <c r="AC797" s="80"/>
      <c r="AD797" s="3"/>
      <c r="AE797" s="3"/>
      <c r="AF797" s="3"/>
      <c r="AG797" s="3"/>
      <c r="AH797" s="3"/>
      <c r="AI797" s="3"/>
    </row>
    <row r="798" spans="1:35" ht="15.75" customHeight="1">
      <c r="A798" s="3"/>
      <c r="B798" s="79"/>
      <c r="C798" s="80"/>
      <c r="D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81"/>
      <c r="AC798" s="80"/>
      <c r="AD798" s="3"/>
      <c r="AE798" s="3"/>
      <c r="AF798" s="3"/>
      <c r="AG798" s="3"/>
      <c r="AH798" s="3"/>
      <c r="AI798" s="3"/>
    </row>
    <row r="799" spans="1:35" ht="15.75" customHeight="1">
      <c r="A799" s="3"/>
      <c r="B799" s="79"/>
      <c r="C799" s="80"/>
      <c r="D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81"/>
      <c r="AC799" s="80"/>
      <c r="AD799" s="3"/>
      <c r="AE799" s="3"/>
      <c r="AF799" s="3"/>
      <c r="AG799" s="3"/>
      <c r="AH799" s="3"/>
      <c r="AI799" s="3"/>
    </row>
    <row r="800" spans="1:35" ht="15.75" customHeight="1">
      <c r="A800" s="3"/>
      <c r="B800" s="79"/>
      <c r="C800" s="80"/>
      <c r="D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81"/>
      <c r="AC800" s="80"/>
      <c r="AD800" s="3"/>
      <c r="AE800" s="3"/>
      <c r="AF800" s="3"/>
      <c r="AG800" s="3"/>
      <c r="AH800" s="3"/>
      <c r="AI800" s="3"/>
    </row>
    <row r="801" spans="1:35" ht="15.75" customHeight="1">
      <c r="A801" s="3"/>
      <c r="B801" s="79"/>
      <c r="C801" s="80"/>
      <c r="D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81"/>
      <c r="AC801" s="80"/>
      <c r="AD801" s="3"/>
      <c r="AE801" s="3"/>
      <c r="AF801" s="3"/>
      <c r="AG801" s="3"/>
      <c r="AH801" s="3"/>
      <c r="AI801" s="3"/>
    </row>
    <row r="802" spans="1:35" ht="15.75" customHeight="1">
      <c r="A802" s="3"/>
      <c r="B802" s="79"/>
      <c r="C802" s="80"/>
      <c r="D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81"/>
      <c r="AC802" s="80"/>
      <c r="AD802" s="3"/>
      <c r="AE802" s="3"/>
      <c r="AF802" s="3"/>
      <c r="AG802" s="3"/>
      <c r="AH802" s="3"/>
      <c r="AI802" s="3"/>
    </row>
    <row r="803" spans="1:35" ht="15.75" customHeight="1">
      <c r="A803" s="3"/>
      <c r="B803" s="79"/>
      <c r="C803" s="80"/>
      <c r="D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81"/>
      <c r="AC803" s="80"/>
      <c r="AD803" s="3"/>
      <c r="AE803" s="3"/>
      <c r="AF803" s="3"/>
      <c r="AG803" s="3"/>
      <c r="AH803" s="3"/>
      <c r="AI803" s="3"/>
    </row>
    <row r="804" spans="1:35" ht="15.75" customHeight="1">
      <c r="A804" s="3"/>
      <c r="B804" s="79"/>
      <c r="C804" s="80"/>
      <c r="D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81"/>
      <c r="AC804" s="80"/>
      <c r="AD804" s="3"/>
      <c r="AE804" s="3"/>
      <c r="AF804" s="3"/>
      <c r="AG804" s="3"/>
      <c r="AH804" s="3"/>
      <c r="AI804" s="3"/>
    </row>
    <row r="805" spans="1:35" ht="15.75" customHeight="1">
      <c r="A805" s="3"/>
      <c r="B805" s="79"/>
      <c r="C805" s="80"/>
      <c r="D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81"/>
      <c r="AC805" s="80"/>
      <c r="AD805" s="3"/>
      <c r="AE805" s="3"/>
      <c r="AF805" s="3"/>
      <c r="AG805" s="3"/>
      <c r="AH805" s="3"/>
      <c r="AI805" s="3"/>
    </row>
    <row r="806" spans="1:35" ht="15.75" customHeight="1">
      <c r="A806" s="3"/>
      <c r="B806" s="79"/>
      <c r="C806" s="80"/>
      <c r="D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81"/>
      <c r="AC806" s="80"/>
      <c r="AD806" s="3"/>
      <c r="AE806" s="3"/>
      <c r="AF806" s="3"/>
      <c r="AG806" s="3"/>
      <c r="AH806" s="3"/>
      <c r="AI806" s="3"/>
    </row>
    <row r="807" spans="1:35" ht="15.75" customHeight="1">
      <c r="A807" s="3"/>
      <c r="B807" s="79"/>
      <c r="C807" s="80"/>
      <c r="D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81"/>
      <c r="AC807" s="80"/>
      <c r="AD807" s="3"/>
      <c r="AE807" s="3"/>
      <c r="AF807" s="3"/>
      <c r="AG807" s="3"/>
      <c r="AH807" s="3"/>
      <c r="AI807" s="3"/>
    </row>
    <row r="808" spans="1:35" ht="15.75" customHeight="1">
      <c r="A808" s="3"/>
      <c r="B808" s="79"/>
      <c r="C808" s="80"/>
      <c r="D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81"/>
      <c r="AC808" s="80"/>
      <c r="AD808" s="3"/>
      <c r="AE808" s="3"/>
      <c r="AF808" s="3"/>
      <c r="AG808" s="3"/>
      <c r="AH808" s="3"/>
      <c r="AI808" s="3"/>
    </row>
    <row r="809" spans="1:35" ht="15.75" customHeight="1">
      <c r="A809" s="3"/>
      <c r="B809" s="79"/>
      <c r="C809" s="80"/>
      <c r="D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81"/>
      <c r="AC809" s="80"/>
      <c r="AD809" s="3"/>
      <c r="AE809" s="3"/>
      <c r="AF809" s="3"/>
      <c r="AG809" s="3"/>
      <c r="AH809" s="3"/>
      <c r="AI809" s="3"/>
    </row>
    <row r="810" spans="1:35" ht="15.75" customHeight="1">
      <c r="A810" s="3"/>
      <c r="B810" s="79"/>
      <c r="C810" s="80"/>
      <c r="D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81"/>
      <c r="AC810" s="80"/>
      <c r="AD810" s="3"/>
      <c r="AE810" s="3"/>
      <c r="AF810" s="3"/>
      <c r="AG810" s="3"/>
      <c r="AH810" s="3"/>
      <c r="AI810" s="3"/>
    </row>
    <row r="811" spans="1:35" ht="15.75" customHeight="1">
      <c r="A811" s="3"/>
      <c r="B811" s="79"/>
      <c r="C811" s="80"/>
      <c r="D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81"/>
      <c r="AC811" s="80"/>
      <c r="AD811" s="3"/>
      <c r="AE811" s="3"/>
      <c r="AF811" s="3"/>
      <c r="AG811" s="3"/>
      <c r="AH811" s="3"/>
      <c r="AI811" s="3"/>
    </row>
    <row r="812" spans="1:35" ht="15.75" customHeight="1">
      <c r="A812" s="3"/>
      <c r="B812" s="79"/>
      <c r="C812" s="80"/>
      <c r="D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81"/>
      <c r="AC812" s="80"/>
      <c r="AD812" s="3"/>
      <c r="AE812" s="3"/>
      <c r="AF812" s="3"/>
      <c r="AG812" s="3"/>
      <c r="AH812" s="3"/>
      <c r="AI812" s="3"/>
    </row>
    <row r="813" spans="1:35" ht="15.75" customHeight="1">
      <c r="A813" s="3"/>
      <c r="B813" s="79"/>
      <c r="C813" s="80"/>
      <c r="D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81"/>
      <c r="AC813" s="80"/>
      <c r="AD813" s="3"/>
      <c r="AE813" s="3"/>
      <c r="AF813" s="3"/>
      <c r="AG813" s="3"/>
      <c r="AH813" s="3"/>
      <c r="AI813" s="3"/>
    </row>
    <row r="814" spans="1:35" ht="15.75" customHeight="1">
      <c r="A814" s="3"/>
      <c r="B814" s="79"/>
      <c r="C814" s="80"/>
      <c r="D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81"/>
      <c r="AC814" s="80"/>
      <c r="AD814" s="3"/>
      <c r="AE814" s="3"/>
      <c r="AF814" s="3"/>
      <c r="AG814" s="3"/>
      <c r="AH814" s="3"/>
      <c r="AI814" s="3"/>
    </row>
    <row r="815" spans="1:35" ht="15.75" customHeight="1">
      <c r="A815" s="3"/>
      <c r="B815" s="79"/>
      <c r="C815" s="80"/>
      <c r="D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81"/>
      <c r="AC815" s="80"/>
      <c r="AD815" s="3"/>
      <c r="AE815" s="3"/>
      <c r="AF815" s="3"/>
      <c r="AG815" s="3"/>
      <c r="AH815" s="3"/>
      <c r="AI815" s="3"/>
    </row>
    <row r="816" spans="1:35" ht="15.75" customHeight="1">
      <c r="A816" s="3"/>
      <c r="B816" s="79"/>
      <c r="C816" s="80"/>
      <c r="D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81"/>
      <c r="AC816" s="80"/>
      <c r="AD816" s="3"/>
      <c r="AE816" s="3"/>
      <c r="AF816" s="3"/>
      <c r="AG816" s="3"/>
      <c r="AH816" s="3"/>
      <c r="AI816" s="3"/>
    </row>
    <row r="817" spans="1:35" ht="15.75" customHeight="1">
      <c r="A817" s="3"/>
      <c r="B817" s="79"/>
      <c r="C817" s="80"/>
      <c r="D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81"/>
      <c r="AC817" s="80"/>
      <c r="AD817" s="3"/>
      <c r="AE817" s="3"/>
      <c r="AF817" s="3"/>
      <c r="AG817" s="3"/>
      <c r="AH817" s="3"/>
      <c r="AI817" s="3"/>
    </row>
    <row r="818" spans="1:35" ht="15.75" customHeight="1">
      <c r="A818" s="3"/>
      <c r="B818" s="79"/>
      <c r="C818" s="80"/>
      <c r="D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81"/>
      <c r="AC818" s="80"/>
      <c r="AD818" s="3"/>
      <c r="AE818" s="3"/>
      <c r="AF818" s="3"/>
      <c r="AG818" s="3"/>
      <c r="AH818" s="3"/>
      <c r="AI818" s="3"/>
    </row>
    <row r="819" spans="1:35" ht="15.75" customHeight="1">
      <c r="A819" s="3"/>
      <c r="B819" s="79"/>
      <c r="C819" s="80"/>
      <c r="D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81"/>
      <c r="AC819" s="80"/>
      <c r="AD819" s="3"/>
      <c r="AE819" s="3"/>
      <c r="AF819" s="3"/>
      <c r="AG819" s="3"/>
      <c r="AH819" s="3"/>
      <c r="AI819" s="3"/>
    </row>
    <row r="820" spans="1:35" ht="15.75" customHeight="1">
      <c r="A820" s="3"/>
      <c r="B820" s="79"/>
      <c r="C820" s="80"/>
      <c r="D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81"/>
      <c r="AC820" s="80"/>
      <c r="AD820" s="3"/>
      <c r="AE820" s="3"/>
      <c r="AF820" s="3"/>
      <c r="AG820" s="3"/>
      <c r="AH820" s="3"/>
      <c r="AI820" s="3"/>
    </row>
    <row r="821" spans="1:35" ht="15.75" customHeight="1">
      <c r="A821" s="3"/>
      <c r="B821" s="79"/>
      <c r="C821" s="80"/>
      <c r="D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81"/>
      <c r="AC821" s="80"/>
      <c r="AD821" s="3"/>
      <c r="AE821" s="3"/>
      <c r="AF821" s="3"/>
      <c r="AG821" s="3"/>
      <c r="AH821" s="3"/>
      <c r="AI821" s="3"/>
    </row>
    <row r="822" spans="1:35" ht="15.75" customHeight="1">
      <c r="A822" s="3"/>
      <c r="B822" s="79"/>
      <c r="C822" s="80"/>
      <c r="D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81"/>
      <c r="AC822" s="80"/>
      <c r="AD822" s="3"/>
      <c r="AE822" s="3"/>
      <c r="AF822" s="3"/>
      <c r="AG822" s="3"/>
      <c r="AH822" s="3"/>
      <c r="AI822" s="3"/>
    </row>
    <row r="823" spans="1:35" ht="15.75" customHeight="1">
      <c r="A823" s="3"/>
      <c r="B823" s="79"/>
      <c r="C823" s="80"/>
      <c r="D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81"/>
      <c r="AC823" s="80"/>
      <c r="AD823" s="3"/>
      <c r="AE823" s="3"/>
      <c r="AF823" s="3"/>
      <c r="AG823" s="3"/>
      <c r="AH823" s="3"/>
      <c r="AI823" s="3"/>
    </row>
    <row r="824" spans="1:35" ht="15.75" customHeight="1">
      <c r="A824" s="3"/>
      <c r="B824" s="79"/>
      <c r="C824" s="80"/>
      <c r="D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81"/>
      <c r="AC824" s="80"/>
      <c r="AD824" s="3"/>
      <c r="AE824" s="3"/>
      <c r="AF824" s="3"/>
      <c r="AG824" s="3"/>
      <c r="AH824" s="3"/>
      <c r="AI824" s="3"/>
    </row>
    <row r="825" spans="1:35" ht="15.75" customHeight="1">
      <c r="A825" s="3"/>
      <c r="B825" s="79"/>
      <c r="C825" s="80"/>
      <c r="D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81"/>
      <c r="AC825" s="80"/>
      <c r="AD825" s="3"/>
      <c r="AE825" s="3"/>
      <c r="AF825" s="3"/>
      <c r="AG825" s="3"/>
      <c r="AH825" s="3"/>
      <c r="AI825" s="3"/>
    </row>
    <row r="826" spans="1:35" ht="15.75" customHeight="1">
      <c r="A826" s="3"/>
      <c r="B826" s="79"/>
      <c r="C826" s="80"/>
      <c r="D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81"/>
      <c r="AC826" s="80"/>
      <c r="AD826" s="3"/>
      <c r="AE826" s="3"/>
      <c r="AF826" s="3"/>
      <c r="AG826" s="3"/>
      <c r="AH826" s="3"/>
      <c r="AI826" s="3"/>
    </row>
    <row r="827" spans="1:35" ht="15.75" customHeight="1">
      <c r="A827" s="3"/>
      <c r="B827" s="79"/>
      <c r="C827" s="80"/>
      <c r="D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81"/>
      <c r="AC827" s="80"/>
      <c r="AD827" s="3"/>
      <c r="AE827" s="3"/>
      <c r="AF827" s="3"/>
      <c r="AG827" s="3"/>
      <c r="AH827" s="3"/>
      <c r="AI827" s="3"/>
    </row>
    <row r="828" spans="1:35" ht="15.75" customHeight="1">
      <c r="A828" s="3"/>
      <c r="B828" s="79"/>
      <c r="C828" s="80"/>
      <c r="D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81"/>
      <c r="AC828" s="80"/>
      <c r="AD828" s="3"/>
      <c r="AE828" s="3"/>
      <c r="AF828" s="3"/>
      <c r="AG828" s="3"/>
      <c r="AH828" s="3"/>
      <c r="AI828" s="3"/>
    </row>
    <row r="829" spans="1:35" ht="15.75" customHeight="1">
      <c r="A829" s="3"/>
      <c r="B829" s="79"/>
      <c r="C829" s="80"/>
      <c r="D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81"/>
      <c r="AC829" s="80"/>
      <c r="AD829" s="3"/>
      <c r="AE829" s="3"/>
      <c r="AF829" s="3"/>
      <c r="AG829" s="3"/>
      <c r="AH829" s="3"/>
      <c r="AI829" s="3"/>
    </row>
    <row r="830" spans="1:35" ht="15.75" customHeight="1">
      <c r="A830" s="3"/>
      <c r="B830" s="79"/>
      <c r="C830" s="80"/>
      <c r="D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81"/>
      <c r="AC830" s="80"/>
      <c r="AD830" s="3"/>
      <c r="AE830" s="3"/>
      <c r="AF830" s="3"/>
      <c r="AG830" s="3"/>
      <c r="AH830" s="3"/>
      <c r="AI830" s="3"/>
    </row>
    <row r="831" spans="1:35" ht="15.75" customHeight="1">
      <c r="A831" s="3"/>
      <c r="B831" s="79"/>
      <c r="C831" s="80"/>
      <c r="D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81"/>
      <c r="AC831" s="80"/>
      <c r="AD831" s="3"/>
      <c r="AE831" s="3"/>
      <c r="AF831" s="3"/>
      <c r="AG831" s="3"/>
      <c r="AH831" s="3"/>
      <c r="AI831" s="3"/>
    </row>
    <row r="832" spans="1:35" ht="15.75" customHeight="1">
      <c r="A832" s="3"/>
      <c r="B832" s="79"/>
      <c r="C832" s="80"/>
      <c r="D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81"/>
      <c r="AC832" s="80"/>
      <c r="AD832" s="3"/>
      <c r="AE832" s="3"/>
      <c r="AF832" s="3"/>
      <c r="AG832" s="3"/>
      <c r="AH832" s="3"/>
      <c r="AI832" s="3"/>
    </row>
    <row r="833" spans="1:35" ht="15.75" customHeight="1">
      <c r="A833" s="3"/>
      <c r="B833" s="79"/>
      <c r="C833" s="80"/>
      <c r="D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81"/>
      <c r="AC833" s="80"/>
      <c r="AD833" s="3"/>
      <c r="AE833" s="3"/>
      <c r="AF833" s="3"/>
      <c r="AG833" s="3"/>
      <c r="AH833" s="3"/>
      <c r="AI833" s="3"/>
    </row>
    <row r="834" spans="1:35" ht="15.75" customHeight="1">
      <c r="A834" s="3"/>
      <c r="B834" s="79"/>
      <c r="C834" s="80"/>
      <c r="D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81"/>
      <c r="AC834" s="80"/>
      <c r="AD834" s="3"/>
      <c r="AE834" s="3"/>
      <c r="AF834" s="3"/>
      <c r="AG834" s="3"/>
      <c r="AH834" s="3"/>
      <c r="AI834" s="3"/>
    </row>
    <row r="835" spans="1:35" ht="15.75" customHeight="1">
      <c r="A835" s="3"/>
      <c r="B835" s="79"/>
      <c r="C835" s="80"/>
      <c r="D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81"/>
      <c r="AC835" s="80"/>
      <c r="AD835" s="3"/>
      <c r="AE835" s="3"/>
      <c r="AF835" s="3"/>
      <c r="AG835" s="3"/>
      <c r="AH835" s="3"/>
      <c r="AI835" s="3"/>
    </row>
    <row r="836" spans="1:35" ht="15.75" customHeight="1">
      <c r="A836" s="3"/>
      <c r="B836" s="79"/>
      <c r="C836" s="80"/>
      <c r="D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81"/>
      <c r="AC836" s="80"/>
      <c r="AD836" s="3"/>
      <c r="AE836" s="3"/>
      <c r="AF836" s="3"/>
      <c r="AG836" s="3"/>
      <c r="AH836" s="3"/>
      <c r="AI836" s="3"/>
    </row>
    <row r="837" spans="1:35" ht="15.75" customHeight="1">
      <c r="A837" s="3"/>
      <c r="B837" s="79"/>
      <c r="C837" s="80"/>
      <c r="D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81"/>
      <c r="AC837" s="80"/>
      <c r="AD837" s="3"/>
      <c r="AE837" s="3"/>
      <c r="AF837" s="3"/>
      <c r="AG837" s="3"/>
      <c r="AH837" s="3"/>
      <c r="AI837" s="3"/>
    </row>
    <row r="838" spans="1:35" ht="15.75" customHeight="1">
      <c r="A838" s="3"/>
      <c r="B838" s="79"/>
      <c r="C838" s="80"/>
      <c r="D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81"/>
      <c r="AC838" s="80"/>
      <c r="AD838" s="3"/>
      <c r="AE838" s="3"/>
      <c r="AF838" s="3"/>
      <c r="AG838" s="3"/>
      <c r="AH838" s="3"/>
      <c r="AI838" s="3"/>
    </row>
    <row r="839" spans="1:35" ht="15.75" customHeight="1">
      <c r="A839" s="3"/>
      <c r="B839" s="79"/>
      <c r="C839" s="80"/>
      <c r="D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81"/>
      <c r="AC839" s="80"/>
      <c r="AD839" s="3"/>
      <c r="AE839" s="3"/>
      <c r="AF839" s="3"/>
      <c r="AG839" s="3"/>
      <c r="AH839" s="3"/>
      <c r="AI839" s="3"/>
    </row>
    <row r="840" spans="1:35" ht="15.75" customHeight="1">
      <c r="A840" s="3"/>
      <c r="B840" s="79"/>
      <c r="C840" s="80"/>
      <c r="D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81"/>
      <c r="AC840" s="80"/>
      <c r="AD840" s="3"/>
      <c r="AE840" s="3"/>
      <c r="AF840" s="3"/>
      <c r="AG840" s="3"/>
      <c r="AH840" s="3"/>
      <c r="AI840" s="3"/>
    </row>
    <row r="841" spans="1:35" ht="15.75" customHeight="1">
      <c r="A841" s="3"/>
      <c r="B841" s="79"/>
      <c r="C841" s="80"/>
      <c r="D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81"/>
      <c r="AC841" s="80"/>
      <c r="AD841" s="3"/>
      <c r="AE841" s="3"/>
      <c r="AF841" s="3"/>
      <c r="AG841" s="3"/>
      <c r="AH841" s="3"/>
      <c r="AI841" s="3"/>
    </row>
    <row r="842" spans="1:35" ht="15.75" customHeight="1">
      <c r="A842" s="3"/>
      <c r="B842" s="79"/>
      <c r="C842" s="80"/>
      <c r="D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81"/>
      <c r="AC842" s="80"/>
      <c r="AD842" s="3"/>
      <c r="AE842" s="3"/>
      <c r="AF842" s="3"/>
      <c r="AG842" s="3"/>
      <c r="AH842" s="3"/>
      <c r="AI842" s="3"/>
    </row>
    <row r="843" spans="1:35" ht="15.75" customHeight="1">
      <c r="A843" s="3"/>
      <c r="B843" s="79"/>
      <c r="C843" s="80"/>
      <c r="D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81"/>
      <c r="AC843" s="80"/>
      <c r="AD843" s="3"/>
      <c r="AE843" s="3"/>
      <c r="AF843" s="3"/>
      <c r="AG843" s="3"/>
      <c r="AH843" s="3"/>
      <c r="AI843" s="3"/>
    </row>
    <row r="844" spans="1:35" ht="15.75" customHeight="1">
      <c r="A844" s="3"/>
      <c r="B844" s="79"/>
      <c r="C844" s="80"/>
      <c r="D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81"/>
      <c r="AC844" s="80"/>
      <c r="AD844" s="3"/>
      <c r="AE844" s="3"/>
      <c r="AF844" s="3"/>
      <c r="AG844" s="3"/>
      <c r="AH844" s="3"/>
      <c r="AI844" s="3"/>
    </row>
    <row r="845" spans="1:35" ht="15.75" customHeight="1">
      <c r="A845" s="3"/>
      <c r="B845" s="79"/>
      <c r="C845" s="80"/>
      <c r="D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81"/>
      <c r="AC845" s="80"/>
      <c r="AD845" s="3"/>
      <c r="AE845" s="3"/>
      <c r="AF845" s="3"/>
      <c r="AG845" s="3"/>
      <c r="AH845" s="3"/>
      <c r="AI845" s="3"/>
    </row>
    <row r="846" spans="1:35" ht="15.75" customHeight="1">
      <c r="A846" s="3"/>
      <c r="B846" s="79"/>
      <c r="C846" s="80"/>
      <c r="D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81"/>
      <c r="AC846" s="80"/>
      <c r="AD846" s="3"/>
      <c r="AE846" s="3"/>
      <c r="AF846" s="3"/>
      <c r="AG846" s="3"/>
      <c r="AH846" s="3"/>
      <c r="AI846" s="3"/>
    </row>
    <row r="847" spans="1:35" ht="15.75" customHeight="1">
      <c r="A847" s="3"/>
      <c r="B847" s="79"/>
      <c r="C847" s="80"/>
      <c r="D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81"/>
      <c r="AC847" s="80"/>
      <c r="AD847" s="3"/>
      <c r="AE847" s="3"/>
      <c r="AF847" s="3"/>
      <c r="AG847" s="3"/>
      <c r="AH847" s="3"/>
      <c r="AI847" s="3"/>
    </row>
    <row r="848" spans="1:35" ht="15.75" customHeight="1">
      <c r="A848" s="3"/>
      <c r="B848" s="79"/>
      <c r="C848" s="80"/>
      <c r="D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81"/>
      <c r="AC848" s="80"/>
      <c r="AD848" s="3"/>
      <c r="AE848" s="3"/>
      <c r="AF848" s="3"/>
      <c r="AG848" s="3"/>
      <c r="AH848" s="3"/>
      <c r="AI848" s="3"/>
    </row>
    <row r="849" spans="1:35" ht="15.75" customHeight="1">
      <c r="A849" s="3"/>
      <c r="B849" s="79"/>
      <c r="C849" s="80"/>
      <c r="D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81"/>
      <c r="AC849" s="80"/>
      <c r="AD849" s="3"/>
      <c r="AE849" s="3"/>
      <c r="AF849" s="3"/>
      <c r="AG849" s="3"/>
      <c r="AH849" s="3"/>
      <c r="AI849" s="3"/>
    </row>
    <row r="850" spans="1:35" ht="15.75" customHeight="1">
      <c r="A850" s="3"/>
      <c r="B850" s="79"/>
      <c r="C850" s="80"/>
      <c r="D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81"/>
      <c r="AC850" s="80"/>
      <c r="AD850" s="3"/>
      <c r="AE850" s="3"/>
      <c r="AF850" s="3"/>
      <c r="AG850" s="3"/>
      <c r="AH850" s="3"/>
      <c r="AI850" s="3"/>
    </row>
    <row r="851" spans="1:35" ht="15.75" customHeight="1">
      <c r="A851" s="3"/>
      <c r="B851" s="79"/>
      <c r="C851" s="80"/>
      <c r="D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81"/>
      <c r="AC851" s="80"/>
      <c r="AD851" s="3"/>
      <c r="AE851" s="3"/>
      <c r="AF851" s="3"/>
      <c r="AG851" s="3"/>
      <c r="AH851" s="3"/>
      <c r="AI851" s="3"/>
    </row>
    <row r="852" spans="1:35" ht="15.75" customHeight="1">
      <c r="A852" s="3"/>
      <c r="B852" s="79"/>
      <c r="C852" s="80"/>
      <c r="D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81"/>
      <c r="AC852" s="80"/>
      <c r="AD852" s="3"/>
      <c r="AE852" s="3"/>
      <c r="AF852" s="3"/>
      <c r="AG852" s="3"/>
      <c r="AH852" s="3"/>
      <c r="AI852" s="3"/>
    </row>
    <row r="853" spans="1:35" ht="15.75" customHeight="1">
      <c r="A853" s="3"/>
      <c r="B853" s="79"/>
      <c r="C853" s="80"/>
      <c r="D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81"/>
      <c r="AC853" s="80"/>
      <c r="AD853" s="3"/>
      <c r="AE853" s="3"/>
      <c r="AF853" s="3"/>
      <c r="AG853" s="3"/>
      <c r="AH853" s="3"/>
      <c r="AI853" s="3"/>
    </row>
    <row r="854" spans="1:35" ht="15.75" customHeight="1">
      <c r="A854" s="3"/>
      <c r="B854" s="79"/>
      <c r="C854" s="80"/>
      <c r="D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81"/>
      <c r="AC854" s="80"/>
      <c r="AD854" s="3"/>
      <c r="AE854" s="3"/>
      <c r="AF854" s="3"/>
      <c r="AG854" s="3"/>
      <c r="AH854" s="3"/>
      <c r="AI854" s="3"/>
    </row>
    <row r="855" spans="1:35" ht="15.75" customHeight="1">
      <c r="A855" s="3"/>
      <c r="B855" s="79"/>
      <c r="C855" s="80"/>
      <c r="D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81"/>
      <c r="AC855" s="80"/>
      <c r="AD855" s="3"/>
      <c r="AE855" s="3"/>
      <c r="AF855" s="3"/>
      <c r="AG855" s="3"/>
      <c r="AH855" s="3"/>
      <c r="AI855" s="3"/>
    </row>
    <row r="856" spans="1:35" ht="15.75" customHeight="1">
      <c r="A856" s="3"/>
      <c r="B856" s="79"/>
      <c r="C856" s="80"/>
      <c r="D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81"/>
      <c r="AC856" s="80"/>
      <c r="AD856" s="3"/>
      <c r="AE856" s="3"/>
      <c r="AF856" s="3"/>
      <c r="AG856" s="3"/>
      <c r="AH856" s="3"/>
      <c r="AI856" s="3"/>
    </row>
    <row r="857" spans="1:35" ht="15.75" customHeight="1">
      <c r="A857" s="3"/>
      <c r="B857" s="79"/>
      <c r="C857" s="80"/>
      <c r="D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81"/>
      <c r="AC857" s="80"/>
      <c r="AD857" s="3"/>
      <c r="AE857" s="3"/>
      <c r="AF857" s="3"/>
      <c r="AG857" s="3"/>
      <c r="AH857" s="3"/>
      <c r="AI857" s="3"/>
    </row>
    <row r="858" spans="1:35" ht="15.75" customHeight="1">
      <c r="A858" s="3"/>
      <c r="B858" s="79"/>
      <c r="C858" s="80"/>
      <c r="D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81"/>
      <c r="AC858" s="80"/>
      <c r="AD858" s="3"/>
      <c r="AE858" s="3"/>
      <c r="AF858" s="3"/>
      <c r="AG858" s="3"/>
      <c r="AH858" s="3"/>
      <c r="AI858" s="3"/>
    </row>
    <row r="859" spans="1:35" ht="15.75" customHeight="1">
      <c r="A859" s="3"/>
      <c r="B859" s="79"/>
      <c r="C859" s="80"/>
      <c r="D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81"/>
      <c r="AC859" s="80"/>
      <c r="AD859" s="3"/>
      <c r="AE859" s="3"/>
      <c r="AF859" s="3"/>
      <c r="AG859" s="3"/>
      <c r="AH859" s="3"/>
      <c r="AI859" s="3"/>
    </row>
    <row r="860" spans="1:35" ht="15.75" customHeight="1">
      <c r="A860" s="3"/>
      <c r="B860" s="79"/>
      <c r="C860" s="80"/>
      <c r="D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81"/>
      <c r="AC860" s="80"/>
      <c r="AD860" s="3"/>
      <c r="AE860" s="3"/>
      <c r="AF860" s="3"/>
      <c r="AG860" s="3"/>
      <c r="AH860" s="3"/>
      <c r="AI860" s="3"/>
    </row>
    <row r="861" spans="1:35" ht="15.75" customHeight="1">
      <c r="A861" s="3"/>
      <c r="B861" s="79"/>
      <c r="C861" s="80"/>
      <c r="D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81"/>
      <c r="AC861" s="80"/>
      <c r="AD861" s="3"/>
      <c r="AE861" s="3"/>
      <c r="AF861" s="3"/>
      <c r="AG861" s="3"/>
      <c r="AH861" s="3"/>
      <c r="AI861" s="3"/>
    </row>
    <row r="862" spans="1:35" ht="15.75" customHeight="1">
      <c r="A862" s="3"/>
      <c r="B862" s="79"/>
      <c r="C862" s="80"/>
      <c r="D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81"/>
      <c r="AC862" s="80"/>
      <c r="AD862" s="3"/>
      <c r="AE862" s="3"/>
      <c r="AF862" s="3"/>
      <c r="AG862" s="3"/>
      <c r="AH862" s="3"/>
      <c r="AI862" s="3"/>
    </row>
    <row r="863" spans="1:35" ht="15.75" customHeight="1">
      <c r="A863" s="3"/>
      <c r="B863" s="79"/>
      <c r="C863" s="80"/>
      <c r="D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81"/>
      <c r="AC863" s="80"/>
      <c r="AD863" s="3"/>
      <c r="AE863" s="3"/>
      <c r="AF863" s="3"/>
      <c r="AG863" s="3"/>
      <c r="AH863" s="3"/>
      <c r="AI863" s="3"/>
    </row>
    <row r="864" spans="1:35" ht="15.75" customHeight="1">
      <c r="A864" s="3"/>
      <c r="B864" s="79"/>
      <c r="C864" s="80"/>
      <c r="D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81"/>
      <c r="AC864" s="80"/>
      <c r="AD864" s="3"/>
      <c r="AE864" s="3"/>
      <c r="AF864" s="3"/>
      <c r="AG864" s="3"/>
      <c r="AH864" s="3"/>
      <c r="AI864" s="3"/>
    </row>
    <row r="865" spans="1:35" ht="15.75" customHeight="1">
      <c r="A865" s="3"/>
      <c r="B865" s="79"/>
      <c r="C865" s="80"/>
      <c r="D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81"/>
      <c r="AC865" s="80"/>
      <c r="AD865" s="3"/>
      <c r="AE865" s="3"/>
      <c r="AF865" s="3"/>
      <c r="AG865" s="3"/>
      <c r="AH865" s="3"/>
      <c r="AI865" s="3"/>
    </row>
    <row r="866" spans="1:35" ht="15.75" customHeight="1">
      <c r="A866" s="3"/>
      <c r="B866" s="79"/>
      <c r="C866" s="80"/>
      <c r="D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81"/>
      <c r="AC866" s="80"/>
      <c r="AD866" s="3"/>
      <c r="AE866" s="3"/>
      <c r="AF866" s="3"/>
      <c r="AG866" s="3"/>
      <c r="AH866" s="3"/>
      <c r="AI866" s="3"/>
    </row>
    <row r="867" spans="1:35" ht="15.75" customHeight="1">
      <c r="A867" s="3"/>
      <c r="B867" s="79"/>
      <c r="C867" s="80"/>
      <c r="D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81"/>
      <c r="AC867" s="80"/>
      <c r="AD867" s="3"/>
      <c r="AE867" s="3"/>
      <c r="AF867" s="3"/>
      <c r="AG867" s="3"/>
      <c r="AH867" s="3"/>
      <c r="AI867" s="3"/>
    </row>
    <row r="868" spans="1:35" ht="15.75" customHeight="1">
      <c r="A868" s="3"/>
      <c r="B868" s="79"/>
      <c r="C868" s="80"/>
      <c r="D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81"/>
      <c r="AC868" s="80"/>
      <c r="AD868" s="3"/>
      <c r="AE868" s="3"/>
      <c r="AF868" s="3"/>
      <c r="AG868" s="3"/>
      <c r="AH868" s="3"/>
      <c r="AI868" s="3"/>
    </row>
    <row r="869" spans="1:35" ht="15.75" customHeight="1">
      <c r="A869" s="3"/>
      <c r="B869" s="79"/>
      <c r="C869" s="80"/>
      <c r="D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81"/>
      <c r="AC869" s="80"/>
      <c r="AD869" s="3"/>
      <c r="AE869" s="3"/>
      <c r="AF869" s="3"/>
      <c r="AG869" s="3"/>
      <c r="AH869" s="3"/>
      <c r="AI869" s="3"/>
    </row>
    <row r="870" spans="1:35" ht="15.75" customHeight="1">
      <c r="A870" s="3"/>
      <c r="B870" s="79"/>
      <c r="C870" s="80"/>
      <c r="D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81"/>
      <c r="AC870" s="80"/>
      <c r="AD870" s="3"/>
      <c r="AE870" s="3"/>
      <c r="AF870" s="3"/>
      <c r="AG870" s="3"/>
      <c r="AH870" s="3"/>
      <c r="AI870" s="3"/>
    </row>
    <row r="871" spans="1:35" ht="15.75" customHeight="1">
      <c r="A871" s="3"/>
      <c r="B871" s="79"/>
      <c r="C871" s="80"/>
      <c r="D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81"/>
      <c r="AC871" s="80"/>
      <c r="AD871" s="3"/>
      <c r="AE871" s="3"/>
      <c r="AF871" s="3"/>
      <c r="AG871" s="3"/>
      <c r="AH871" s="3"/>
      <c r="AI871" s="3"/>
    </row>
    <row r="872" spans="1:35" ht="15.75" customHeight="1">
      <c r="A872" s="3"/>
      <c r="B872" s="79"/>
      <c r="C872" s="80"/>
      <c r="D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81"/>
      <c r="AC872" s="80"/>
      <c r="AD872" s="3"/>
      <c r="AE872" s="3"/>
      <c r="AF872" s="3"/>
      <c r="AG872" s="3"/>
      <c r="AH872" s="3"/>
      <c r="AI872" s="3"/>
    </row>
    <row r="873" spans="1:35" ht="15.75" customHeight="1">
      <c r="A873" s="3"/>
      <c r="B873" s="79"/>
      <c r="C873" s="80"/>
      <c r="D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81"/>
      <c r="AC873" s="80"/>
      <c r="AD873" s="3"/>
      <c r="AE873" s="3"/>
      <c r="AF873" s="3"/>
      <c r="AG873" s="3"/>
      <c r="AH873" s="3"/>
      <c r="AI873" s="3"/>
    </row>
    <row r="874" spans="1:35" ht="15.75" customHeight="1">
      <c r="A874" s="3"/>
      <c r="B874" s="79"/>
      <c r="C874" s="80"/>
      <c r="D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81"/>
      <c r="AC874" s="80"/>
      <c r="AD874" s="3"/>
      <c r="AE874" s="3"/>
      <c r="AF874" s="3"/>
      <c r="AG874" s="3"/>
      <c r="AH874" s="3"/>
      <c r="AI874" s="3"/>
    </row>
    <row r="875" spans="1:35" ht="15.75" customHeight="1">
      <c r="A875" s="3"/>
      <c r="B875" s="79"/>
      <c r="C875" s="80"/>
      <c r="D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81"/>
      <c r="AC875" s="80"/>
      <c r="AD875" s="3"/>
      <c r="AE875" s="3"/>
      <c r="AF875" s="3"/>
      <c r="AG875" s="3"/>
      <c r="AH875" s="3"/>
      <c r="AI875" s="3"/>
    </row>
    <row r="876" spans="1:35" ht="15.75" customHeight="1">
      <c r="A876" s="3"/>
      <c r="B876" s="79"/>
      <c r="C876" s="80"/>
      <c r="D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81"/>
      <c r="AC876" s="80"/>
      <c r="AD876" s="3"/>
      <c r="AE876" s="3"/>
      <c r="AF876" s="3"/>
      <c r="AG876" s="3"/>
      <c r="AH876" s="3"/>
      <c r="AI876" s="3"/>
    </row>
    <row r="877" spans="1:35" ht="15.75" customHeight="1">
      <c r="A877" s="3"/>
      <c r="B877" s="79"/>
      <c r="C877" s="80"/>
      <c r="D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81"/>
      <c r="AC877" s="80"/>
      <c r="AD877" s="3"/>
      <c r="AE877" s="3"/>
      <c r="AF877" s="3"/>
      <c r="AG877" s="3"/>
      <c r="AH877" s="3"/>
      <c r="AI877" s="3"/>
    </row>
    <row r="878" spans="1:35" ht="15.75" customHeight="1">
      <c r="A878" s="3"/>
      <c r="B878" s="79"/>
      <c r="C878" s="80"/>
      <c r="D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81"/>
      <c r="AC878" s="80"/>
      <c r="AD878" s="3"/>
      <c r="AE878" s="3"/>
      <c r="AF878" s="3"/>
      <c r="AG878" s="3"/>
      <c r="AH878" s="3"/>
      <c r="AI878" s="3"/>
    </row>
    <row r="879" spans="1:35" ht="15.75" customHeight="1">
      <c r="A879" s="3"/>
      <c r="B879" s="79"/>
      <c r="C879" s="80"/>
      <c r="D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81"/>
      <c r="AC879" s="80"/>
      <c r="AD879" s="3"/>
      <c r="AE879" s="3"/>
      <c r="AF879" s="3"/>
      <c r="AG879" s="3"/>
      <c r="AH879" s="3"/>
      <c r="AI879" s="3"/>
    </row>
    <row r="880" spans="1:35" ht="15.75" customHeight="1">
      <c r="A880" s="3"/>
      <c r="B880" s="79"/>
      <c r="C880" s="80"/>
      <c r="D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81"/>
      <c r="AC880" s="80"/>
      <c r="AD880" s="3"/>
      <c r="AE880" s="3"/>
      <c r="AF880" s="3"/>
      <c r="AG880" s="3"/>
      <c r="AH880" s="3"/>
      <c r="AI880" s="3"/>
    </row>
    <row r="881" spans="1:35" ht="15.75" customHeight="1">
      <c r="A881" s="3"/>
      <c r="B881" s="79"/>
      <c r="C881" s="80"/>
      <c r="D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81"/>
      <c r="AC881" s="80"/>
      <c r="AD881" s="3"/>
      <c r="AE881" s="3"/>
      <c r="AF881" s="3"/>
      <c r="AG881" s="3"/>
      <c r="AH881" s="3"/>
      <c r="AI881" s="3"/>
    </row>
    <row r="882" spans="1:35" ht="15.75" customHeight="1">
      <c r="A882" s="3"/>
      <c r="B882" s="79"/>
      <c r="C882" s="80"/>
      <c r="D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81"/>
      <c r="AC882" s="80"/>
      <c r="AD882" s="3"/>
      <c r="AE882" s="3"/>
      <c r="AF882" s="3"/>
      <c r="AG882" s="3"/>
      <c r="AH882" s="3"/>
      <c r="AI882" s="3"/>
    </row>
    <row r="883" spans="1:35" ht="15.75" customHeight="1">
      <c r="A883" s="3"/>
      <c r="B883" s="79"/>
      <c r="C883" s="80"/>
      <c r="D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81"/>
      <c r="AC883" s="80"/>
      <c r="AD883" s="3"/>
      <c r="AE883" s="3"/>
      <c r="AF883" s="3"/>
      <c r="AG883" s="3"/>
      <c r="AH883" s="3"/>
      <c r="AI883" s="3"/>
    </row>
    <row r="884" spans="1:35" ht="15.75" customHeight="1">
      <c r="A884" s="3"/>
      <c r="B884" s="79"/>
      <c r="C884" s="80"/>
      <c r="D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81"/>
      <c r="AC884" s="80"/>
      <c r="AD884" s="3"/>
      <c r="AE884" s="3"/>
      <c r="AF884" s="3"/>
      <c r="AG884" s="3"/>
      <c r="AH884" s="3"/>
      <c r="AI884" s="3"/>
    </row>
    <row r="885" spans="1:35" ht="15.75" customHeight="1">
      <c r="A885" s="3"/>
      <c r="B885" s="79"/>
      <c r="C885" s="80"/>
      <c r="D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81"/>
      <c r="AC885" s="80"/>
      <c r="AD885" s="3"/>
      <c r="AE885" s="3"/>
      <c r="AF885" s="3"/>
      <c r="AG885" s="3"/>
      <c r="AH885" s="3"/>
      <c r="AI885" s="3"/>
    </row>
    <row r="886" spans="1:35" ht="15.75" customHeight="1">
      <c r="A886" s="3"/>
      <c r="B886" s="79"/>
      <c r="C886" s="80"/>
      <c r="D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81"/>
      <c r="AC886" s="80"/>
      <c r="AD886" s="3"/>
      <c r="AE886" s="3"/>
      <c r="AF886" s="3"/>
      <c r="AG886" s="3"/>
      <c r="AH886" s="3"/>
      <c r="AI886" s="3"/>
    </row>
    <row r="887" spans="1:35" ht="15.75" customHeight="1">
      <c r="A887" s="3"/>
      <c r="B887" s="79"/>
      <c r="C887" s="80"/>
      <c r="D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81"/>
      <c r="AC887" s="80"/>
      <c r="AD887" s="3"/>
      <c r="AE887" s="3"/>
      <c r="AF887" s="3"/>
      <c r="AG887" s="3"/>
      <c r="AH887" s="3"/>
      <c r="AI887" s="3"/>
    </row>
    <row r="888" spans="1:35" ht="15.75" customHeight="1">
      <c r="A888" s="3"/>
      <c r="B888" s="79"/>
      <c r="C888" s="80"/>
      <c r="D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81"/>
      <c r="AC888" s="80"/>
      <c r="AD888" s="3"/>
      <c r="AE888" s="3"/>
      <c r="AF888" s="3"/>
      <c r="AG888" s="3"/>
      <c r="AH888" s="3"/>
      <c r="AI888" s="3"/>
    </row>
    <row r="889" spans="1:35" ht="15.75" customHeight="1">
      <c r="A889" s="3"/>
      <c r="B889" s="79"/>
      <c r="C889" s="80"/>
      <c r="D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81"/>
      <c r="AC889" s="80"/>
      <c r="AD889" s="3"/>
      <c r="AE889" s="3"/>
      <c r="AF889" s="3"/>
      <c r="AG889" s="3"/>
      <c r="AH889" s="3"/>
      <c r="AI889" s="3"/>
    </row>
    <row r="890" spans="1:35" ht="15.75" customHeight="1">
      <c r="A890" s="3"/>
      <c r="B890" s="79"/>
      <c r="C890" s="80"/>
      <c r="D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81"/>
      <c r="AC890" s="80"/>
      <c r="AD890" s="3"/>
      <c r="AE890" s="3"/>
      <c r="AF890" s="3"/>
      <c r="AG890" s="3"/>
      <c r="AH890" s="3"/>
      <c r="AI890" s="3"/>
    </row>
    <row r="891" spans="1:35" ht="15.75" customHeight="1">
      <c r="A891" s="3"/>
      <c r="B891" s="79"/>
      <c r="C891" s="80"/>
      <c r="D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81"/>
      <c r="AC891" s="80"/>
      <c r="AD891" s="3"/>
      <c r="AE891" s="3"/>
      <c r="AF891" s="3"/>
      <c r="AG891" s="3"/>
      <c r="AH891" s="3"/>
      <c r="AI891" s="3"/>
    </row>
    <row r="892" spans="1:35" ht="15.75" customHeight="1">
      <c r="A892" s="3"/>
      <c r="B892" s="79"/>
      <c r="C892" s="80"/>
      <c r="D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81"/>
      <c r="AC892" s="80"/>
      <c r="AD892" s="3"/>
      <c r="AE892" s="3"/>
      <c r="AF892" s="3"/>
      <c r="AG892" s="3"/>
      <c r="AH892" s="3"/>
      <c r="AI892" s="3"/>
    </row>
    <row r="893" spans="1:35" ht="15.75" customHeight="1">
      <c r="A893" s="3"/>
      <c r="B893" s="79"/>
      <c r="C893" s="80"/>
      <c r="D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81"/>
      <c r="AC893" s="80"/>
      <c r="AD893" s="3"/>
      <c r="AE893" s="3"/>
      <c r="AF893" s="3"/>
      <c r="AG893" s="3"/>
      <c r="AH893" s="3"/>
      <c r="AI893" s="3"/>
    </row>
    <row r="894" spans="1:35" ht="15.75" customHeight="1">
      <c r="A894" s="3"/>
      <c r="B894" s="79"/>
      <c r="C894" s="80"/>
      <c r="D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81"/>
      <c r="AC894" s="80"/>
      <c r="AD894" s="3"/>
      <c r="AE894" s="3"/>
      <c r="AF894" s="3"/>
      <c r="AG894" s="3"/>
      <c r="AH894" s="3"/>
      <c r="AI894" s="3"/>
    </row>
    <row r="895" spans="1:35" ht="15.75" customHeight="1">
      <c r="A895" s="3"/>
      <c r="B895" s="79"/>
      <c r="C895" s="80"/>
      <c r="D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81"/>
      <c r="AC895" s="80"/>
      <c r="AD895" s="3"/>
      <c r="AE895" s="3"/>
      <c r="AF895" s="3"/>
      <c r="AG895" s="3"/>
      <c r="AH895" s="3"/>
      <c r="AI895" s="3"/>
    </row>
    <row r="896" spans="1:35" ht="15.75" customHeight="1">
      <c r="A896" s="3"/>
      <c r="B896" s="79"/>
      <c r="C896" s="80"/>
      <c r="D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81"/>
      <c r="AC896" s="80"/>
      <c r="AD896" s="3"/>
      <c r="AE896" s="3"/>
      <c r="AF896" s="3"/>
      <c r="AG896" s="3"/>
      <c r="AH896" s="3"/>
      <c r="AI896" s="3"/>
    </row>
    <row r="897" spans="1:35" ht="15.75" customHeight="1">
      <c r="A897" s="3"/>
      <c r="B897" s="79"/>
      <c r="C897" s="80"/>
      <c r="D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81"/>
      <c r="AC897" s="80"/>
      <c r="AD897" s="3"/>
      <c r="AE897" s="3"/>
      <c r="AF897" s="3"/>
      <c r="AG897" s="3"/>
      <c r="AH897" s="3"/>
      <c r="AI897" s="3"/>
    </row>
    <row r="898" spans="1:35" ht="15.75" customHeight="1">
      <c r="A898" s="3"/>
      <c r="B898" s="79"/>
      <c r="C898" s="80"/>
      <c r="D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81"/>
      <c r="AC898" s="80"/>
      <c r="AD898" s="3"/>
      <c r="AE898" s="3"/>
      <c r="AF898" s="3"/>
      <c r="AG898" s="3"/>
      <c r="AH898" s="3"/>
      <c r="AI898" s="3"/>
    </row>
    <row r="899" spans="1:35" ht="15.75" customHeight="1">
      <c r="A899" s="3"/>
      <c r="B899" s="79"/>
      <c r="C899" s="80"/>
      <c r="D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81"/>
      <c r="AC899" s="80"/>
      <c r="AD899" s="3"/>
      <c r="AE899" s="3"/>
      <c r="AF899" s="3"/>
      <c r="AG899" s="3"/>
      <c r="AH899" s="3"/>
      <c r="AI899" s="3"/>
    </row>
    <row r="900" spans="1:35" ht="15.75" customHeight="1">
      <c r="A900" s="3"/>
      <c r="B900" s="79"/>
      <c r="C900" s="80"/>
      <c r="D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81"/>
      <c r="AC900" s="80"/>
      <c r="AD900" s="3"/>
      <c r="AE900" s="3"/>
      <c r="AF900" s="3"/>
      <c r="AG900" s="3"/>
      <c r="AH900" s="3"/>
      <c r="AI900" s="3"/>
    </row>
    <row r="901" spans="1:35" ht="15.75" customHeight="1">
      <c r="A901" s="3"/>
      <c r="B901" s="79"/>
      <c r="C901" s="80"/>
      <c r="D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81"/>
      <c r="AC901" s="80"/>
      <c r="AD901" s="3"/>
      <c r="AE901" s="3"/>
      <c r="AF901" s="3"/>
      <c r="AG901" s="3"/>
      <c r="AH901" s="3"/>
      <c r="AI901" s="3"/>
    </row>
    <row r="902" spans="1:35" ht="15.75" customHeight="1">
      <c r="A902" s="3"/>
      <c r="B902" s="79"/>
      <c r="C902" s="80"/>
      <c r="D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81"/>
      <c r="AC902" s="80"/>
      <c r="AD902" s="3"/>
      <c r="AE902" s="3"/>
      <c r="AF902" s="3"/>
      <c r="AG902" s="3"/>
      <c r="AH902" s="3"/>
      <c r="AI902" s="3"/>
    </row>
    <row r="903" spans="1:35" ht="15.75" customHeight="1">
      <c r="A903" s="3"/>
      <c r="B903" s="79"/>
      <c r="C903" s="80"/>
      <c r="D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81"/>
      <c r="AC903" s="80"/>
      <c r="AD903" s="3"/>
      <c r="AE903" s="3"/>
      <c r="AF903" s="3"/>
      <c r="AG903" s="3"/>
      <c r="AH903" s="3"/>
      <c r="AI903" s="3"/>
    </row>
    <row r="904" spans="1:35" ht="15.75" customHeight="1">
      <c r="A904" s="3"/>
      <c r="B904" s="79"/>
      <c r="C904" s="80"/>
      <c r="D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81"/>
      <c r="AC904" s="80"/>
      <c r="AD904" s="3"/>
      <c r="AE904" s="3"/>
      <c r="AF904" s="3"/>
      <c r="AG904" s="3"/>
      <c r="AH904" s="3"/>
      <c r="AI904" s="3"/>
    </row>
    <row r="905" spans="1:35" ht="15.75" customHeight="1">
      <c r="A905" s="3"/>
      <c r="B905" s="79"/>
      <c r="C905" s="80"/>
      <c r="D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81"/>
      <c r="AC905" s="80"/>
      <c r="AD905" s="3"/>
      <c r="AE905" s="3"/>
      <c r="AF905" s="3"/>
      <c r="AG905" s="3"/>
      <c r="AH905" s="3"/>
      <c r="AI905" s="3"/>
    </row>
    <row r="906" spans="1:35" ht="15.75" customHeight="1">
      <c r="A906" s="3"/>
      <c r="B906" s="79"/>
      <c r="C906" s="80"/>
      <c r="D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81"/>
      <c r="AC906" s="80"/>
      <c r="AD906" s="3"/>
      <c r="AE906" s="3"/>
      <c r="AF906" s="3"/>
      <c r="AG906" s="3"/>
      <c r="AH906" s="3"/>
      <c r="AI906" s="3"/>
    </row>
    <row r="907" spans="1:35" ht="15.75" customHeight="1">
      <c r="A907" s="3"/>
      <c r="B907" s="79"/>
      <c r="C907" s="80"/>
      <c r="D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81"/>
      <c r="AC907" s="80"/>
      <c r="AD907" s="3"/>
      <c r="AE907" s="3"/>
      <c r="AF907" s="3"/>
      <c r="AG907" s="3"/>
      <c r="AH907" s="3"/>
      <c r="AI907" s="3"/>
    </row>
    <row r="908" spans="1:35" ht="15.75" customHeight="1">
      <c r="A908" s="3"/>
      <c r="B908" s="79"/>
      <c r="C908" s="80"/>
      <c r="D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81"/>
      <c r="AC908" s="80"/>
      <c r="AD908" s="3"/>
      <c r="AE908" s="3"/>
      <c r="AF908" s="3"/>
      <c r="AG908" s="3"/>
      <c r="AH908" s="3"/>
      <c r="AI908" s="3"/>
    </row>
    <row r="909" spans="1:35" ht="15.75" customHeight="1">
      <c r="A909" s="3"/>
      <c r="B909" s="79"/>
      <c r="C909" s="80"/>
      <c r="D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81"/>
      <c r="AC909" s="80"/>
      <c r="AD909" s="3"/>
      <c r="AE909" s="3"/>
      <c r="AF909" s="3"/>
      <c r="AG909" s="3"/>
      <c r="AH909" s="3"/>
      <c r="AI909" s="3"/>
    </row>
    <row r="910" spans="1:35" ht="15.75" customHeight="1">
      <c r="A910" s="3"/>
      <c r="B910" s="79"/>
      <c r="C910" s="80"/>
      <c r="D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81"/>
      <c r="AC910" s="80"/>
      <c r="AD910" s="3"/>
      <c r="AE910" s="3"/>
      <c r="AF910" s="3"/>
      <c r="AG910" s="3"/>
      <c r="AH910" s="3"/>
      <c r="AI910" s="3"/>
    </row>
    <row r="911" spans="1:35" ht="15.75" customHeight="1">
      <c r="A911" s="3"/>
      <c r="B911" s="79"/>
      <c r="C911" s="80"/>
      <c r="D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81"/>
      <c r="AC911" s="80"/>
      <c r="AD911" s="3"/>
      <c r="AE911" s="3"/>
      <c r="AF911" s="3"/>
      <c r="AG911" s="3"/>
      <c r="AH911" s="3"/>
      <c r="AI911" s="3"/>
    </row>
    <row r="912" spans="1:35" ht="15.75" customHeight="1">
      <c r="A912" s="3"/>
      <c r="B912" s="79"/>
      <c r="C912" s="80"/>
      <c r="D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81"/>
      <c r="AC912" s="80"/>
      <c r="AD912" s="3"/>
      <c r="AE912" s="3"/>
      <c r="AF912" s="3"/>
      <c r="AG912" s="3"/>
      <c r="AH912" s="3"/>
      <c r="AI912" s="3"/>
    </row>
    <row r="913" spans="1:35" ht="15.75" customHeight="1">
      <c r="A913" s="3"/>
      <c r="B913" s="79"/>
      <c r="C913" s="80"/>
      <c r="D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81"/>
      <c r="AC913" s="80"/>
      <c r="AD913" s="3"/>
      <c r="AE913" s="3"/>
      <c r="AF913" s="3"/>
      <c r="AG913" s="3"/>
      <c r="AH913" s="3"/>
      <c r="AI913" s="3"/>
    </row>
    <row r="914" spans="1:35" ht="15.75" customHeight="1">
      <c r="A914" s="3"/>
      <c r="B914" s="79"/>
      <c r="C914" s="80"/>
      <c r="D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81"/>
      <c r="AC914" s="80"/>
      <c r="AD914" s="3"/>
      <c r="AE914" s="3"/>
      <c r="AF914" s="3"/>
      <c r="AG914" s="3"/>
      <c r="AH914" s="3"/>
      <c r="AI914" s="3"/>
    </row>
    <row r="915" spans="1:35" ht="15.75" customHeight="1">
      <c r="A915" s="3"/>
      <c r="B915" s="79"/>
      <c r="C915" s="80"/>
      <c r="D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81"/>
      <c r="AC915" s="80"/>
      <c r="AD915" s="3"/>
      <c r="AE915" s="3"/>
      <c r="AF915" s="3"/>
      <c r="AG915" s="3"/>
      <c r="AH915" s="3"/>
      <c r="AI915" s="3"/>
    </row>
    <row r="916" spans="1:35" ht="15.75" customHeight="1">
      <c r="A916" s="3"/>
      <c r="B916" s="79"/>
      <c r="C916" s="80"/>
      <c r="D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81"/>
      <c r="AC916" s="80"/>
      <c r="AD916" s="3"/>
      <c r="AE916" s="3"/>
      <c r="AF916" s="3"/>
      <c r="AG916" s="3"/>
      <c r="AH916" s="3"/>
      <c r="AI916" s="3"/>
    </row>
    <row r="917" spans="1:35" ht="15.75" customHeight="1">
      <c r="A917" s="3"/>
      <c r="B917" s="79"/>
      <c r="C917" s="80"/>
      <c r="D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81"/>
      <c r="AC917" s="80"/>
      <c r="AD917" s="3"/>
      <c r="AE917" s="3"/>
      <c r="AF917" s="3"/>
      <c r="AG917" s="3"/>
      <c r="AH917" s="3"/>
      <c r="AI917" s="3"/>
    </row>
    <row r="918" spans="1:35" ht="15.75" customHeight="1">
      <c r="A918" s="3"/>
      <c r="B918" s="79"/>
      <c r="C918" s="80"/>
      <c r="D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81"/>
      <c r="AC918" s="80"/>
      <c r="AD918" s="3"/>
      <c r="AE918" s="3"/>
      <c r="AF918" s="3"/>
      <c r="AG918" s="3"/>
      <c r="AH918" s="3"/>
      <c r="AI918" s="3"/>
    </row>
    <row r="919" spans="1:35" ht="15.75" customHeight="1">
      <c r="A919" s="3"/>
      <c r="B919" s="79"/>
      <c r="C919" s="80"/>
      <c r="D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81"/>
      <c r="AC919" s="80"/>
      <c r="AD919" s="3"/>
      <c r="AE919" s="3"/>
      <c r="AF919" s="3"/>
      <c r="AG919" s="3"/>
      <c r="AH919" s="3"/>
      <c r="AI919" s="3"/>
    </row>
    <row r="920" spans="1:35" ht="15.75" customHeight="1">
      <c r="A920" s="3"/>
      <c r="B920" s="79"/>
      <c r="C920" s="80"/>
      <c r="D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81"/>
      <c r="AC920" s="80"/>
      <c r="AD920" s="3"/>
      <c r="AE920" s="3"/>
      <c r="AF920" s="3"/>
      <c r="AG920" s="3"/>
      <c r="AH920" s="3"/>
      <c r="AI920" s="3"/>
    </row>
    <row r="921" spans="1:35" ht="15.75" customHeight="1">
      <c r="A921" s="3"/>
      <c r="B921" s="79"/>
      <c r="C921" s="80"/>
      <c r="D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81"/>
      <c r="AC921" s="80"/>
      <c r="AD921" s="3"/>
      <c r="AE921" s="3"/>
      <c r="AF921" s="3"/>
      <c r="AG921" s="3"/>
      <c r="AH921" s="3"/>
      <c r="AI921" s="3"/>
    </row>
    <row r="922" spans="1:35" ht="15.75" customHeight="1">
      <c r="A922" s="3"/>
      <c r="B922" s="79"/>
      <c r="C922" s="80"/>
      <c r="D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81"/>
      <c r="AC922" s="80"/>
      <c r="AD922" s="3"/>
      <c r="AE922" s="3"/>
      <c r="AF922" s="3"/>
      <c r="AG922" s="3"/>
      <c r="AH922" s="3"/>
      <c r="AI922" s="3"/>
    </row>
    <row r="923" spans="1:35" ht="15.75" customHeight="1">
      <c r="A923" s="3"/>
      <c r="B923" s="79"/>
      <c r="C923" s="80"/>
      <c r="D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81"/>
      <c r="AC923" s="80"/>
      <c r="AD923" s="3"/>
      <c r="AE923" s="3"/>
      <c r="AF923" s="3"/>
      <c r="AG923" s="3"/>
      <c r="AH923" s="3"/>
      <c r="AI923" s="3"/>
    </row>
    <row r="924" spans="1:35" ht="15.75" customHeight="1">
      <c r="A924" s="3"/>
      <c r="B924" s="79"/>
      <c r="C924" s="80"/>
      <c r="D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81"/>
      <c r="AC924" s="80"/>
      <c r="AD924" s="3"/>
      <c r="AE924" s="3"/>
      <c r="AF924" s="3"/>
      <c r="AG924" s="3"/>
      <c r="AH924" s="3"/>
      <c r="AI924" s="3"/>
    </row>
    <row r="925" spans="1:35" ht="15.75" customHeight="1">
      <c r="A925" s="3"/>
      <c r="B925" s="79"/>
      <c r="C925" s="80"/>
      <c r="D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81"/>
      <c r="AC925" s="80"/>
      <c r="AD925" s="3"/>
      <c r="AE925" s="3"/>
      <c r="AF925" s="3"/>
      <c r="AG925" s="3"/>
      <c r="AH925" s="3"/>
      <c r="AI925" s="3"/>
    </row>
    <row r="926" spans="1:35" ht="15.75" customHeight="1">
      <c r="A926" s="3"/>
      <c r="B926" s="79"/>
      <c r="C926" s="80"/>
      <c r="D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81"/>
      <c r="AC926" s="80"/>
      <c r="AD926" s="3"/>
      <c r="AE926" s="3"/>
      <c r="AF926" s="3"/>
      <c r="AG926" s="3"/>
      <c r="AH926" s="3"/>
      <c r="AI926" s="3"/>
    </row>
    <row r="927" spans="1:35" ht="15.75" customHeight="1">
      <c r="A927" s="3"/>
      <c r="B927" s="79"/>
      <c r="C927" s="80"/>
      <c r="D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81"/>
      <c r="AC927" s="80"/>
      <c r="AD927" s="3"/>
      <c r="AE927" s="3"/>
      <c r="AF927" s="3"/>
      <c r="AG927" s="3"/>
      <c r="AH927" s="3"/>
      <c r="AI927" s="3"/>
    </row>
    <row r="928" spans="1:35" ht="15.75" customHeight="1">
      <c r="A928" s="3"/>
      <c r="B928" s="79"/>
      <c r="C928" s="80"/>
      <c r="D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81"/>
      <c r="AC928" s="80"/>
      <c r="AD928" s="3"/>
      <c r="AE928" s="3"/>
      <c r="AF928" s="3"/>
      <c r="AG928" s="3"/>
      <c r="AH928" s="3"/>
      <c r="AI928" s="3"/>
    </row>
    <row r="929" spans="1:35" ht="15.75" customHeight="1">
      <c r="A929" s="3"/>
      <c r="B929" s="79"/>
      <c r="C929" s="80"/>
      <c r="D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81"/>
      <c r="AC929" s="80"/>
      <c r="AD929" s="3"/>
      <c r="AE929" s="3"/>
      <c r="AF929" s="3"/>
      <c r="AG929" s="3"/>
      <c r="AH929" s="3"/>
      <c r="AI929" s="3"/>
    </row>
    <row r="930" spans="1:35" ht="15.75" customHeight="1">
      <c r="A930" s="3"/>
      <c r="B930" s="79"/>
      <c r="C930" s="80"/>
      <c r="D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81"/>
      <c r="AC930" s="80"/>
      <c r="AD930" s="3"/>
      <c r="AE930" s="3"/>
      <c r="AF930" s="3"/>
      <c r="AG930" s="3"/>
      <c r="AH930" s="3"/>
      <c r="AI930" s="3"/>
    </row>
    <row r="931" spans="1:35" ht="15.75" customHeight="1">
      <c r="A931" s="3"/>
      <c r="B931" s="79"/>
      <c r="C931" s="80"/>
      <c r="D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81"/>
      <c r="AC931" s="80"/>
      <c r="AD931" s="3"/>
      <c r="AE931" s="3"/>
      <c r="AF931" s="3"/>
      <c r="AG931" s="3"/>
      <c r="AH931" s="3"/>
      <c r="AI931" s="3"/>
    </row>
    <row r="932" spans="1:35" ht="15.75" customHeight="1">
      <c r="A932" s="3"/>
      <c r="B932" s="79"/>
      <c r="C932" s="80"/>
      <c r="D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81"/>
      <c r="AC932" s="80"/>
      <c r="AD932" s="3"/>
      <c r="AE932" s="3"/>
      <c r="AF932" s="3"/>
      <c r="AG932" s="3"/>
      <c r="AH932" s="3"/>
      <c r="AI932" s="3"/>
    </row>
    <row r="933" spans="1:35" ht="15.75" customHeight="1">
      <c r="A933" s="3"/>
      <c r="B933" s="79"/>
      <c r="C933" s="80"/>
      <c r="D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81"/>
      <c r="AC933" s="80"/>
      <c r="AD933" s="3"/>
      <c r="AE933" s="3"/>
      <c r="AF933" s="3"/>
      <c r="AG933" s="3"/>
      <c r="AH933" s="3"/>
      <c r="AI933" s="3"/>
    </row>
    <row r="934" spans="1:35" ht="15.75" customHeight="1">
      <c r="A934" s="3"/>
      <c r="B934" s="79"/>
      <c r="C934" s="80"/>
      <c r="D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81"/>
      <c r="AC934" s="80"/>
      <c r="AD934" s="3"/>
      <c r="AE934" s="3"/>
      <c r="AF934" s="3"/>
      <c r="AG934" s="3"/>
      <c r="AH934" s="3"/>
      <c r="AI934" s="3"/>
    </row>
    <row r="935" spans="1:35" ht="15.75" customHeight="1">
      <c r="A935" s="3"/>
      <c r="B935" s="79"/>
      <c r="C935" s="80"/>
      <c r="D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81"/>
      <c r="AC935" s="80"/>
      <c r="AD935" s="3"/>
      <c r="AE935" s="3"/>
      <c r="AF935" s="3"/>
      <c r="AG935" s="3"/>
      <c r="AH935" s="3"/>
      <c r="AI935" s="3"/>
    </row>
    <row r="936" spans="1:35" ht="15.75" customHeight="1">
      <c r="A936" s="3"/>
      <c r="B936" s="79"/>
      <c r="C936" s="80"/>
      <c r="D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81"/>
      <c r="AC936" s="80"/>
      <c r="AD936" s="3"/>
      <c r="AE936" s="3"/>
      <c r="AF936" s="3"/>
      <c r="AG936" s="3"/>
      <c r="AH936" s="3"/>
      <c r="AI936" s="3"/>
    </row>
    <row r="937" spans="1:35" ht="15.75" customHeight="1">
      <c r="A937" s="3"/>
      <c r="B937" s="79"/>
      <c r="C937" s="80"/>
      <c r="D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81"/>
      <c r="AC937" s="80"/>
      <c r="AD937" s="3"/>
      <c r="AE937" s="3"/>
      <c r="AF937" s="3"/>
      <c r="AG937" s="3"/>
      <c r="AH937" s="3"/>
      <c r="AI937" s="3"/>
    </row>
    <row r="938" spans="1:35" ht="15.75" customHeight="1">
      <c r="A938" s="3"/>
      <c r="B938" s="79"/>
      <c r="C938" s="80"/>
      <c r="D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81"/>
      <c r="AC938" s="80"/>
      <c r="AD938" s="3"/>
      <c r="AE938" s="3"/>
      <c r="AF938" s="3"/>
      <c r="AG938" s="3"/>
      <c r="AH938" s="3"/>
      <c r="AI938" s="3"/>
    </row>
    <row r="939" spans="1:35" ht="15.75" customHeight="1">
      <c r="A939" s="3"/>
      <c r="B939" s="79"/>
      <c r="C939" s="80"/>
      <c r="D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81"/>
      <c r="AC939" s="80"/>
      <c r="AD939" s="3"/>
      <c r="AE939" s="3"/>
      <c r="AF939" s="3"/>
      <c r="AG939" s="3"/>
      <c r="AH939" s="3"/>
      <c r="AI939" s="3"/>
    </row>
    <row r="940" spans="1:35" ht="15.75" customHeight="1">
      <c r="A940" s="3"/>
      <c r="B940" s="79"/>
      <c r="C940" s="80"/>
      <c r="D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81"/>
      <c r="AC940" s="80"/>
      <c r="AD940" s="3"/>
      <c r="AE940" s="3"/>
      <c r="AF940" s="3"/>
      <c r="AG940" s="3"/>
      <c r="AH940" s="3"/>
      <c r="AI940" s="3"/>
    </row>
    <row r="941" spans="1:35" ht="15.75" customHeight="1">
      <c r="A941" s="3"/>
      <c r="B941" s="79"/>
      <c r="C941" s="80"/>
      <c r="D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81"/>
      <c r="AC941" s="80"/>
      <c r="AD941" s="3"/>
      <c r="AE941" s="3"/>
      <c r="AF941" s="3"/>
      <c r="AG941" s="3"/>
      <c r="AH941" s="3"/>
      <c r="AI941" s="3"/>
    </row>
    <row r="942" spans="1:35" ht="15.75" customHeight="1">
      <c r="A942" s="3"/>
      <c r="B942" s="79"/>
      <c r="C942" s="80"/>
      <c r="D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81"/>
      <c r="AC942" s="80"/>
      <c r="AD942" s="3"/>
      <c r="AE942" s="3"/>
      <c r="AF942" s="3"/>
      <c r="AG942" s="3"/>
      <c r="AH942" s="3"/>
      <c r="AI942" s="3"/>
    </row>
    <row r="943" spans="1:35" ht="15.75" customHeight="1">
      <c r="A943" s="3"/>
      <c r="B943" s="79"/>
      <c r="C943" s="80"/>
      <c r="D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81"/>
      <c r="AC943" s="80"/>
      <c r="AD943" s="3"/>
      <c r="AE943" s="3"/>
      <c r="AF943" s="3"/>
      <c r="AG943" s="3"/>
      <c r="AH943" s="3"/>
      <c r="AI943" s="3"/>
    </row>
    <row r="944" spans="1:35" ht="15.75" customHeight="1">
      <c r="A944" s="3"/>
      <c r="B944" s="79"/>
      <c r="C944" s="80"/>
      <c r="D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81"/>
      <c r="AC944" s="80"/>
      <c r="AD944" s="3"/>
      <c r="AE944" s="3"/>
      <c r="AF944" s="3"/>
      <c r="AG944" s="3"/>
      <c r="AH944" s="3"/>
      <c r="AI944" s="3"/>
    </row>
    <row r="945" spans="1:35" ht="15.75" customHeight="1">
      <c r="A945" s="3"/>
      <c r="B945" s="79"/>
      <c r="C945" s="80"/>
      <c r="D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81"/>
      <c r="AC945" s="80"/>
      <c r="AD945" s="3"/>
      <c r="AE945" s="3"/>
      <c r="AF945" s="3"/>
      <c r="AG945" s="3"/>
      <c r="AH945" s="3"/>
      <c r="AI945" s="3"/>
    </row>
    <row r="946" spans="1:35" ht="15.75" customHeight="1">
      <c r="A946" s="3"/>
      <c r="B946" s="79"/>
      <c r="C946" s="80"/>
      <c r="D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81"/>
      <c r="AC946" s="80"/>
      <c r="AD946" s="3"/>
      <c r="AE946" s="3"/>
      <c r="AF946" s="3"/>
      <c r="AG946" s="3"/>
      <c r="AH946" s="3"/>
      <c r="AI946" s="3"/>
    </row>
    <row r="947" spans="1:35" ht="15.75" customHeight="1">
      <c r="A947" s="3"/>
      <c r="B947" s="79"/>
      <c r="C947" s="80"/>
      <c r="D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81"/>
      <c r="AC947" s="80"/>
      <c r="AD947" s="3"/>
      <c r="AE947" s="3"/>
      <c r="AF947" s="3"/>
      <c r="AG947" s="3"/>
      <c r="AH947" s="3"/>
      <c r="AI947" s="3"/>
    </row>
    <row r="948" spans="1:35" ht="15.75" customHeight="1">
      <c r="A948" s="3"/>
      <c r="B948" s="79"/>
      <c r="C948" s="80"/>
      <c r="D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81"/>
      <c r="AC948" s="80"/>
      <c r="AD948" s="3"/>
      <c r="AE948" s="3"/>
      <c r="AF948" s="3"/>
      <c r="AG948" s="3"/>
      <c r="AH948" s="3"/>
      <c r="AI948" s="3"/>
    </row>
    <row r="949" spans="1:35" ht="15.75" customHeight="1">
      <c r="A949" s="3"/>
      <c r="B949" s="79"/>
      <c r="C949" s="80"/>
      <c r="D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81"/>
      <c r="AC949" s="80"/>
      <c r="AD949" s="3"/>
      <c r="AE949" s="3"/>
      <c r="AF949" s="3"/>
      <c r="AG949" s="3"/>
      <c r="AH949" s="3"/>
      <c r="AI949" s="3"/>
    </row>
    <row r="950" spans="1:35" ht="15.75" customHeight="1">
      <c r="A950" s="3"/>
      <c r="B950" s="79"/>
      <c r="C950" s="80"/>
      <c r="D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81"/>
      <c r="AC950" s="80"/>
      <c r="AD950" s="3"/>
      <c r="AE950" s="3"/>
      <c r="AF950" s="3"/>
      <c r="AG950" s="3"/>
      <c r="AH950" s="3"/>
      <c r="AI950" s="3"/>
    </row>
    <row r="951" spans="1:35" ht="15.75" customHeight="1">
      <c r="A951" s="3"/>
      <c r="B951" s="79"/>
      <c r="C951" s="80"/>
      <c r="D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81"/>
      <c r="AC951" s="80"/>
      <c r="AD951" s="3"/>
      <c r="AE951" s="3"/>
      <c r="AF951" s="3"/>
      <c r="AG951" s="3"/>
      <c r="AH951" s="3"/>
      <c r="AI951" s="3"/>
    </row>
    <row r="952" spans="1:35" ht="15.75" customHeight="1">
      <c r="A952" s="3"/>
      <c r="B952" s="79"/>
      <c r="C952" s="80"/>
      <c r="D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81"/>
      <c r="AC952" s="80"/>
      <c r="AD952" s="3"/>
      <c r="AE952" s="3"/>
      <c r="AF952" s="3"/>
      <c r="AG952" s="3"/>
      <c r="AH952" s="3"/>
      <c r="AI952" s="3"/>
    </row>
    <row r="953" spans="1:35" ht="15.75" customHeight="1">
      <c r="A953" s="3"/>
      <c r="B953" s="79"/>
      <c r="C953" s="80"/>
      <c r="D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81"/>
      <c r="AC953" s="80"/>
      <c r="AD953" s="3"/>
      <c r="AE953" s="3"/>
      <c r="AF953" s="3"/>
      <c r="AG953" s="3"/>
      <c r="AH953" s="3"/>
      <c r="AI953" s="3"/>
    </row>
    <row r="954" spans="1:35" ht="15.75" customHeight="1">
      <c r="A954" s="3"/>
      <c r="B954" s="79"/>
      <c r="C954" s="80"/>
      <c r="D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81"/>
      <c r="AC954" s="80"/>
      <c r="AD954" s="3"/>
      <c r="AE954" s="3"/>
      <c r="AF954" s="3"/>
      <c r="AG954" s="3"/>
      <c r="AH954" s="3"/>
      <c r="AI954" s="3"/>
    </row>
    <row r="955" spans="1:35" ht="15.75" customHeight="1">
      <c r="A955" s="3"/>
      <c r="B955" s="79"/>
      <c r="C955" s="80"/>
      <c r="D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81"/>
      <c r="AC955" s="80"/>
      <c r="AD955" s="3"/>
      <c r="AE955" s="3"/>
      <c r="AF955" s="3"/>
      <c r="AG955" s="3"/>
      <c r="AH955" s="3"/>
      <c r="AI955" s="3"/>
    </row>
    <row r="956" spans="1:35" ht="15.75" customHeight="1">
      <c r="A956" s="3"/>
      <c r="B956" s="79"/>
      <c r="C956" s="80"/>
      <c r="D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81"/>
      <c r="AC956" s="80"/>
      <c r="AD956" s="3"/>
      <c r="AE956" s="3"/>
      <c r="AF956" s="3"/>
      <c r="AG956" s="3"/>
      <c r="AH956" s="3"/>
      <c r="AI956" s="3"/>
    </row>
    <row r="957" spans="1:35" ht="15.75" customHeight="1">
      <c r="A957" s="3"/>
      <c r="B957" s="79"/>
      <c r="C957" s="80"/>
      <c r="D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81"/>
      <c r="AC957" s="80"/>
      <c r="AD957" s="3"/>
      <c r="AE957" s="3"/>
      <c r="AF957" s="3"/>
      <c r="AG957" s="3"/>
      <c r="AH957" s="3"/>
      <c r="AI957" s="3"/>
    </row>
    <row r="958" spans="1:35" ht="15.75" customHeight="1">
      <c r="A958" s="3"/>
      <c r="B958" s="79"/>
      <c r="C958" s="80"/>
      <c r="D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81"/>
      <c r="AC958" s="80"/>
      <c r="AD958" s="3"/>
      <c r="AE958" s="3"/>
      <c r="AF958" s="3"/>
      <c r="AG958" s="3"/>
      <c r="AH958" s="3"/>
      <c r="AI958" s="3"/>
    </row>
    <row r="959" spans="1:35" ht="15.75" customHeight="1">
      <c r="A959" s="3"/>
      <c r="B959" s="79"/>
      <c r="C959" s="80"/>
      <c r="D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81"/>
      <c r="AC959" s="80"/>
      <c r="AD959" s="3"/>
      <c r="AE959" s="3"/>
      <c r="AF959" s="3"/>
      <c r="AG959" s="3"/>
      <c r="AH959" s="3"/>
      <c r="AI959" s="3"/>
    </row>
    <row r="960" spans="1:35" ht="15.75" customHeight="1">
      <c r="A960" s="3"/>
      <c r="B960" s="79"/>
      <c r="C960" s="80"/>
      <c r="D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81"/>
      <c r="AC960" s="80"/>
      <c r="AD960" s="3"/>
      <c r="AE960" s="3"/>
      <c r="AF960" s="3"/>
      <c r="AG960" s="3"/>
      <c r="AH960" s="3"/>
      <c r="AI960" s="3"/>
    </row>
    <row r="961" spans="1:35" ht="15.75" customHeight="1">
      <c r="A961" s="3"/>
      <c r="B961" s="79"/>
      <c r="C961" s="80"/>
      <c r="D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81"/>
      <c r="AC961" s="80"/>
      <c r="AD961" s="3"/>
      <c r="AE961" s="3"/>
      <c r="AF961" s="3"/>
      <c r="AG961" s="3"/>
      <c r="AH961" s="3"/>
      <c r="AI961" s="3"/>
    </row>
    <row r="962" spans="1:35" ht="15.75" customHeight="1">
      <c r="A962" s="3"/>
      <c r="B962" s="79"/>
      <c r="C962" s="80"/>
      <c r="D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81"/>
      <c r="AC962" s="80"/>
      <c r="AD962" s="3"/>
      <c r="AE962" s="3"/>
      <c r="AF962" s="3"/>
      <c r="AG962" s="3"/>
      <c r="AH962" s="3"/>
      <c r="AI962" s="3"/>
    </row>
    <row r="963" spans="1:35" ht="15.75" customHeight="1">
      <c r="A963" s="3"/>
      <c r="B963" s="79"/>
      <c r="C963" s="80"/>
      <c r="D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81"/>
      <c r="AC963" s="80"/>
      <c r="AD963" s="3"/>
      <c r="AE963" s="3"/>
      <c r="AF963" s="3"/>
      <c r="AG963" s="3"/>
      <c r="AH963" s="3"/>
      <c r="AI963" s="3"/>
    </row>
    <row r="964" spans="1:35" ht="15.75" customHeight="1">
      <c r="A964" s="3"/>
      <c r="B964" s="79"/>
      <c r="C964" s="80"/>
      <c r="D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81"/>
      <c r="AC964" s="80"/>
      <c r="AD964" s="3"/>
      <c r="AE964" s="3"/>
      <c r="AF964" s="3"/>
      <c r="AG964" s="3"/>
      <c r="AH964" s="3"/>
      <c r="AI964" s="3"/>
    </row>
    <row r="965" spans="1:35" ht="15.75" customHeight="1">
      <c r="A965" s="3"/>
      <c r="B965" s="79"/>
      <c r="C965" s="80"/>
      <c r="D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81"/>
      <c r="AC965" s="80"/>
      <c r="AD965" s="3"/>
      <c r="AE965" s="3"/>
      <c r="AF965" s="3"/>
      <c r="AG965" s="3"/>
      <c r="AH965" s="3"/>
      <c r="AI965" s="3"/>
    </row>
    <row r="966" spans="1:35" ht="15.75" customHeight="1">
      <c r="A966" s="3"/>
      <c r="B966" s="79"/>
      <c r="C966" s="80"/>
      <c r="D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81"/>
      <c r="AC966" s="80"/>
      <c r="AD966" s="3"/>
      <c r="AE966" s="3"/>
      <c r="AF966" s="3"/>
      <c r="AG966" s="3"/>
      <c r="AH966" s="3"/>
      <c r="AI966" s="3"/>
    </row>
    <row r="967" spans="1:35" ht="15.75" customHeight="1">
      <c r="A967" s="3"/>
      <c r="B967" s="79"/>
      <c r="C967" s="80"/>
      <c r="D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81"/>
      <c r="AC967" s="80"/>
      <c r="AD967" s="3"/>
      <c r="AE967" s="3"/>
      <c r="AF967" s="3"/>
      <c r="AG967" s="3"/>
      <c r="AH967" s="3"/>
      <c r="AI967" s="3"/>
    </row>
    <row r="968" spans="1:35" ht="15.75" customHeight="1">
      <c r="A968" s="3"/>
      <c r="B968" s="79"/>
      <c r="C968" s="80"/>
      <c r="D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81"/>
      <c r="AC968" s="80"/>
      <c r="AD968" s="3"/>
      <c r="AE968" s="3"/>
      <c r="AF968" s="3"/>
      <c r="AG968" s="3"/>
      <c r="AH968" s="3"/>
      <c r="AI968" s="3"/>
    </row>
    <row r="969" spans="1:35" ht="15.75" customHeight="1">
      <c r="A969" s="3"/>
      <c r="B969" s="79"/>
      <c r="C969" s="80"/>
      <c r="D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81"/>
      <c r="AC969" s="80"/>
      <c r="AD969" s="3"/>
      <c r="AE969" s="3"/>
      <c r="AF969" s="3"/>
      <c r="AG969" s="3"/>
      <c r="AH969" s="3"/>
      <c r="AI969" s="3"/>
    </row>
    <row r="970" spans="1:35" ht="15.75" customHeight="1">
      <c r="A970" s="3"/>
      <c r="B970" s="79"/>
      <c r="C970" s="80"/>
      <c r="D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81"/>
      <c r="AC970" s="80"/>
      <c r="AD970" s="3"/>
      <c r="AE970" s="3"/>
      <c r="AF970" s="3"/>
      <c r="AG970" s="3"/>
      <c r="AH970" s="3"/>
      <c r="AI970" s="3"/>
    </row>
    <row r="971" spans="1:35" ht="15.75" customHeight="1">
      <c r="A971" s="3"/>
      <c r="B971" s="79"/>
      <c r="C971" s="80"/>
      <c r="D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81"/>
      <c r="AC971" s="80"/>
      <c r="AD971" s="3"/>
      <c r="AE971" s="3"/>
      <c r="AF971" s="3"/>
      <c r="AG971" s="3"/>
      <c r="AH971" s="3"/>
      <c r="AI971" s="3"/>
    </row>
    <row r="972" spans="1:35" ht="15.75" customHeight="1">
      <c r="A972" s="3"/>
      <c r="B972" s="79"/>
      <c r="C972" s="80"/>
      <c r="D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81"/>
      <c r="AC972" s="80"/>
      <c r="AD972" s="3"/>
      <c r="AE972" s="3"/>
      <c r="AF972" s="3"/>
      <c r="AG972" s="3"/>
      <c r="AH972" s="3"/>
      <c r="AI972" s="3"/>
    </row>
    <row r="973" spans="1:35" ht="15.75" customHeight="1">
      <c r="A973" s="3"/>
      <c r="B973" s="79"/>
      <c r="C973" s="80"/>
      <c r="D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81"/>
      <c r="AC973" s="80"/>
      <c r="AD973" s="3"/>
      <c r="AE973" s="3"/>
      <c r="AF973" s="3"/>
      <c r="AG973" s="3"/>
      <c r="AH973" s="3"/>
      <c r="AI973" s="3"/>
    </row>
    <row r="974" spans="1:35" ht="15.75" customHeight="1">
      <c r="A974" s="3"/>
      <c r="B974" s="79"/>
      <c r="C974" s="80"/>
      <c r="D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81"/>
      <c r="AC974" s="80"/>
      <c r="AD974" s="3"/>
      <c r="AE974" s="3"/>
      <c r="AF974" s="3"/>
      <c r="AG974" s="3"/>
      <c r="AH974" s="3"/>
      <c r="AI974" s="3"/>
    </row>
    <row r="975" spans="1:35" ht="15.75" customHeight="1">
      <c r="A975" s="3"/>
      <c r="B975" s="79"/>
      <c r="C975" s="80"/>
      <c r="D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81"/>
      <c r="AC975" s="80"/>
      <c r="AD975" s="3"/>
      <c r="AE975" s="3"/>
      <c r="AF975" s="3"/>
      <c r="AG975" s="3"/>
      <c r="AH975" s="3"/>
      <c r="AI975" s="3"/>
    </row>
    <row r="976" spans="1:35" ht="15.75" customHeight="1">
      <c r="A976" s="3"/>
      <c r="B976" s="79"/>
      <c r="C976" s="80"/>
      <c r="D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81"/>
      <c r="AC976" s="80"/>
      <c r="AD976" s="3"/>
      <c r="AE976" s="3"/>
      <c r="AF976" s="3"/>
      <c r="AG976" s="3"/>
      <c r="AH976" s="3"/>
      <c r="AI976" s="3"/>
    </row>
    <row r="977" spans="1:35" ht="15.75" customHeight="1">
      <c r="A977" s="3"/>
      <c r="B977" s="79"/>
      <c r="C977" s="80"/>
      <c r="D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81"/>
      <c r="AC977" s="80"/>
      <c r="AD977" s="3"/>
      <c r="AE977" s="3"/>
      <c r="AF977" s="3"/>
      <c r="AG977" s="3"/>
      <c r="AH977" s="3"/>
      <c r="AI977" s="3"/>
    </row>
    <row r="978" spans="1:35" ht="15.75" customHeight="1">
      <c r="A978" s="3"/>
      <c r="B978" s="79"/>
      <c r="C978" s="80"/>
      <c r="D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81"/>
      <c r="AC978" s="80"/>
      <c r="AD978" s="3"/>
      <c r="AE978" s="3"/>
      <c r="AF978" s="3"/>
      <c r="AG978" s="3"/>
      <c r="AH978" s="3"/>
      <c r="AI978" s="3"/>
    </row>
    <row r="979" spans="1:35" ht="15.75" customHeight="1">
      <c r="A979" s="3"/>
      <c r="B979" s="79"/>
      <c r="C979" s="80"/>
      <c r="D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81"/>
      <c r="AC979" s="80"/>
      <c r="AD979" s="3"/>
      <c r="AE979" s="3"/>
      <c r="AF979" s="3"/>
      <c r="AG979" s="3"/>
      <c r="AH979" s="3"/>
      <c r="AI979" s="3"/>
    </row>
    <row r="980" spans="1:35" ht="15.75" customHeight="1">
      <c r="A980" s="3"/>
      <c r="B980" s="79"/>
      <c r="C980" s="80"/>
      <c r="D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81"/>
      <c r="AC980" s="80"/>
      <c r="AD980" s="3"/>
      <c r="AE980" s="3"/>
      <c r="AF980" s="3"/>
      <c r="AG980" s="3"/>
      <c r="AH980" s="3"/>
      <c r="AI980" s="3"/>
    </row>
    <row r="981" spans="1:35" ht="15.75" customHeight="1">
      <c r="A981" s="3"/>
      <c r="B981" s="79"/>
      <c r="C981" s="80"/>
      <c r="D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81"/>
      <c r="AC981" s="80"/>
      <c r="AD981" s="3"/>
      <c r="AE981" s="3"/>
      <c r="AF981" s="3"/>
      <c r="AG981" s="3"/>
      <c r="AH981" s="3"/>
      <c r="AI981" s="3"/>
    </row>
    <row r="982" spans="1:35" ht="15.75" customHeight="1">
      <c r="A982" s="3"/>
      <c r="B982" s="79"/>
      <c r="C982" s="80"/>
      <c r="D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81"/>
      <c r="AC982" s="80"/>
      <c r="AD982" s="3"/>
      <c r="AE982" s="3"/>
      <c r="AF982" s="3"/>
      <c r="AG982" s="3"/>
      <c r="AH982" s="3"/>
      <c r="AI982" s="3"/>
    </row>
    <row r="983" spans="1:35" ht="15.75" customHeight="1">
      <c r="A983" s="3"/>
      <c r="B983" s="79"/>
      <c r="C983" s="80"/>
      <c r="D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81"/>
      <c r="AC983" s="80"/>
      <c r="AD983" s="3"/>
      <c r="AE983" s="3"/>
      <c r="AF983" s="3"/>
      <c r="AG983" s="3"/>
      <c r="AH983" s="3"/>
      <c r="AI983" s="3"/>
    </row>
    <row r="984" spans="1:35" ht="15.75" customHeight="1">
      <c r="A984" s="3"/>
      <c r="B984" s="79"/>
      <c r="C984" s="80"/>
      <c r="D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81"/>
      <c r="AC984" s="80"/>
      <c r="AD984" s="3"/>
      <c r="AE984" s="3"/>
      <c r="AF984" s="3"/>
      <c r="AG984" s="3"/>
      <c r="AH984" s="3"/>
      <c r="AI984" s="3"/>
    </row>
    <row r="985" spans="1:35" ht="15.75" customHeight="1">
      <c r="A985" s="3"/>
      <c r="B985" s="79"/>
      <c r="C985" s="80"/>
      <c r="D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81"/>
      <c r="AC985" s="80"/>
      <c r="AD985" s="3"/>
      <c r="AE985" s="3"/>
      <c r="AF985" s="3"/>
      <c r="AG985" s="3"/>
      <c r="AH985" s="3"/>
      <c r="AI985" s="3"/>
    </row>
    <row r="986" spans="1:35" ht="15.75" customHeight="1">
      <c r="A986" s="3"/>
      <c r="B986" s="79"/>
      <c r="C986" s="80"/>
      <c r="D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81"/>
      <c r="AC986" s="80"/>
      <c r="AD986" s="3"/>
      <c r="AE986" s="3"/>
      <c r="AF986" s="3"/>
      <c r="AG986" s="3"/>
      <c r="AH986" s="3"/>
      <c r="AI986" s="3"/>
    </row>
    <row r="987" spans="1:35" ht="15.75" customHeight="1">
      <c r="A987" s="3"/>
      <c r="B987" s="79"/>
      <c r="C987" s="80"/>
      <c r="D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81"/>
      <c r="AC987" s="80"/>
      <c r="AD987" s="3"/>
      <c r="AE987" s="3"/>
      <c r="AF987" s="3"/>
      <c r="AG987" s="3"/>
      <c r="AH987" s="3"/>
      <c r="AI987" s="3"/>
    </row>
    <row r="988" spans="1:35" ht="15.75" customHeight="1">
      <c r="A988" s="3"/>
      <c r="B988" s="79"/>
      <c r="C988" s="80"/>
      <c r="D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81"/>
      <c r="AC988" s="80"/>
      <c r="AD988" s="3"/>
      <c r="AE988" s="3"/>
      <c r="AF988" s="3"/>
      <c r="AG988" s="3"/>
      <c r="AH988" s="3"/>
      <c r="AI988" s="3"/>
    </row>
    <row r="989" spans="1:35" ht="15.75" customHeight="1">
      <c r="A989" s="3"/>
      <c r="B989" s="79"/>
      <c r="C989" s="80"/>
      <c r="D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81"/>
      <c r="AC989" s="80"/>
      <c r="AD989" s="3"/>
      <c r="AE989" s="3"/>
      <c r="AF989" s="3"/>
      <c r="AG989" s="3"/>
      <c r="AH989" s="3"/>
      <c r="AI989" s="3"/>
    </row>
    <row r="990" spans="1:35" ht="15.75" customHeight="1">
      <c r="A990" s="3"/>
      <c r="B990" s="79"/>
      <c r="C990" s="80"/>
      <c r="D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81"/>
      <c r="AC990" s="80"/>
      <c r="AD990" s="3"/>
      <c r="AE990" s="3"/>
      <c r="AF990" s="3"/>
      <c r="AG990" s="3"/>
      <c r="AH990" s="3"/>
      <c r="AI990" s="3"/>
    </row>
    <row r="991" spans="1:35" ht="15.75" customHeight="1">
      <c r="A991" s="3"/>
      <c r="B991" s="79"/>
      <c r="C991" s="80"/>
      <c r="D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81"/>
      <c r="AC991" s="80"/>
      <c r="AD991" s="3"/>
      <c r="AE991" s="3"/>
      <c r="AF991" s="3"/>
      <c r="AG991" s="3"/>
      <c r="AH991" s="3"/>
      <c r="AI991" s="3"/>
    </row>
    <row r="992" spans="1:35" ht="15.75" customHeight="1">
      <c r="A992" s="3"/>
      <c r="B992" s="79"/>
      <c r="C992" s="80"/>
      <c r="D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81"/>
      <c r="AC992" s="80"/>
      <c r="AD992" s="3"/>
      <c r="AE992" s="3"/>
      <c r="AF992" s="3"/>
      <c r="AG992" s="3"/>
      <c r="AH992" s="3"/>
      <c r="AI992" s="3"/>
    </row>
    <row r="993" spans="1:35" ht="15.75" customHeight="1">
      <c r="A993" s="3"/>
      <c r="B993" s="79"/>
      <c r="C993" s="80"/>
      <c r="D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81"/>
      <c r="AC993" s="80"/>
      <c r="AD993" s="3"/>
      <c r="AE993" s="3"/>
      <c r="AF993" s="3"/>
      <c r="AG993" s="3"/>
      <c r="AH993" s="3"/>
      <c r="AI993" s="3"/>
    </row>
    <row r="994" spans="1:35" ht="15.75" customHeight="1">
      <c r="A994" s="3"/>
      <c r="B994" s="79"/>
      <c r="C994" s="80"/>
      <c r="D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81"/>
      <c r="AC994" s="80"/>
      <c r="AD994" s="3"/>
      <c r="AE994" s="3"/>
      <c r="AF994" s="3"/>
      <c r="AG994" s="3"/>
      <c r="AH994" s="3"/>
      <c r="AI994" s="3"/>
    </row>
    <row r="995" spans="1:35" ht="15.75" customHeight="1">
      <c r="A995" s="3"/>
      <c r="B995" s="79"/>
      <c r="C995" s="80"/>
      <c r="D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81"/>
      <c r="AC995" s="80"/>
      <c r="AD995" s="3"/>
      <c r="AE995" s="3"/>
      <c r="AF995" s="3"/>
      <c r="AG995" s="3"/>
      <c r="AH995" s="3"/>
      <c r="AI995" s="3"/>
    </row>
    <row r="996" spans="1:35" ht="15.75" customHeight="1">
      <c r="A996" s="3"/>
      <c r="B996" s="79"/>
      <c r="C996" s="80"/>
      <c r="D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81"/>
      <c r="AC996" s="80"/>
      <c r="AD996" s="3"/>
      <c r="AE996" s="3"/>
      <c r="AF996" s="3"/>
      <c r="AG996" s="3"/>
      <c r="AH996" s="3"/>
      <c r="AI996" s="3"/>
    </row>
    <row r="997" spans="1:35" ht="15.75" customHeight="1">
      <c r="A997" s="3"/>
      <c r="B997" s="79"/>
      <c r="C997" s="80"/>
      <c r="D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81"/>
      <c r="AC997" s="80"/>
      <c r="AD997" s="3"/>
      <c r="AE997" s="3"/>
      <c r="AF997" s="3"/>
      <c r="AG997" s="3"/>
      <c r="AH997" s="3"/>
      <c r="AI997" s="3"/>
    </row>
    <row r="998" spans="1:35" ht="15.75" customHeight="1">
      <c r="A998" s="3"/>
      <c r="B998" s="79"/>
      <c r="C998" s="80"/>
      <c r="D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81"/>
      <c r="AC998" s="80"/>
      <c r="AD998" s="3"/>
      <c r="AE998" s="3"/>
      <c r="AF998" s="3"/>
      <c r="AG998" s="3"/>
      <c r="AH998" s="3"/>
      <c r="AI998" s="3"/>
    </row>
    <row r="999" spans="1:35" ht="15.75" customHeight="1">
      <c r="A999" s="3"/>
      <c r="B999" s="79"/>
      <c r="C999" s="80"/>
      <c r="D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81"/>
      <c r="AC999" s="80"/>
      <c r="AD999" s="3"/>
      <c r="AE999" s="3"/>
      <c r="AF999" s="3"/>
      <c r="AG999" s="3"/>
      <c r="AH999" s="3"/>
      <c r="AI999" s="3"/>
    </row>
    <row r="1000" spans="1:35" ht="15.75" customHeight="1">
      <c r="A1000" s="3"/>
      <c r="B1000" s="79"/>
      <c r="C1000" s="80"/>
      <c r="D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81"/>
      <c r="AC1000" s="80"/>
      <c r="AD1000" s="3"/>
      <c r="AE1000" s="3"/>
      <c r="AF1000" s="3"/>
      <c r="AG1000" s="3"/>
      <c r="AH1000" s="3"/>
      <c r="AI1000" s="3"/>
    </row>
    <row r="1001" spans="1:35" ht="15.75" customHeight="1">
      <c r="A1001" s="3"/>
      <c r="B1001" s="79"/>
      <c r="C1001" s="80"/>
      <c r="D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81"/>
      <c r="AC1001" s="80"/>
      <c r="AD1001" s="3"/>
      <c r="AE1001" s="3"/>
      <c r="AF1001" s="3"/>
      <c r="AG1001" s="3"/>
      <c r="AH1001" s="3"/>
      <c r="AI1001" s="3"/>
    </row>
    <row r="1002" spans="1:35" ht="15.75" customHeight="1">
      <c r="A1002" s="3"/>
      <c r="B1002" s="79"/>
      <c r="C1002" s="80"/>
      <c r="D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81"/>
      <c r="AC1002" s="80"/>
      <c r="AD1002" s="3"/>
      <c r="AE1002" s="3"/>
      <c r="AF1002" s="3"/>
      <c r="AG1002" s="3"/>
      <c r="AH1002" s="3"/>
      <c r="AI1002" s="3"/>
    </row>
  </sheetData>
  <mergeCells count="3">
    <mergeCell ref="G2:I2"/>
    <mergeCell ref="J2:L2"/>
    <mergeCell ref="A135:E135"/>
  </mergeCells>
  <conditionalFormatting sqref="C21:CT21">
    <cfRule type="cellIs" dxfId="0" priority="1" operator="greaterThan">
      <formula>1</formula>
    </cfRule>
  </conditionalFormatting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000"/>
  <sheetViews>
    <sheetView workbookViewId="0"/>
  </sheetViews>
  <sheetFormatPr defaultColWidth="14.44140625" defaultRowHeight="15" customHeight="1"/>
  <cols>
    <col min="1" max="2" width="30" customWidth="1"/>
    <col min="3" max="4" width="13.6640625" customWidth="1"/>
    <col min="5" max="6" width="8.6640625" customWidth="1"/>
    <col min="7" max="7" width="13.6640625" customWidth="1"/>
    <col min="8" max="30" width="8.6640625" customWidth="1"/>
  </cols>
  <sheetData>
    <row r="1" spans="1:10" ht="14.25" customHeight="1"/>
    <row r="2" spans="1:10" ht="14.25" customHeight="1">
      <c r="C2" s="1" t="e">
        <f t="shared" ref="C2:J2" si="0">#REF!</f>
        <v>#REF!</v>
      </c>
      <c r="D2" s="1" t="e">
        <f t="shared" si="0"/>
        <v>#REF!</v>
      </c>
      <c r="E2" s="1" t="e">
        <f t="shared" si="0"/>
        <v>#REF!</v>
      </c>
      <c r="F2" s="1" t="e">
        <f t="shared" si="0"/>
        <v>#REF!</v>
      </c>
      <c r="G2" s="1" t="e">
        <f t="shared" si="0"/>
        <v>#REF!</v>
      </c>
      <c r="H2" s="1" t="e">
        <f t="shared" si="0"/>
        <v>#REF!</v>
      </c>
      <c r="I2" s="1" t="e">
        <f t="shared" si="0"/>
        <v>#REF!</v>
      </c>
      <c r="J2" s="1" t="e">
        <f t="shared" si="0"/>
        <v>#REF!</v>
      </c>
    </row>
    <row r="3" spans="1:10" ht="14.25" customHeight="1">
      <c r="A3" s="1" t="s">
        <v>188</v>
      </c>
      <c r="B3" s="1" t="s">
        <v>48</v>
      </c>
      <c r="C3" s="1" t="e">
        <f t="shared" ref="C3:D3" si="1">#REF!</f>
        <v>#REF!</v>
      </c>
      <c r="D3" s="1" t="e">
        <f t="shared" si="1"/>
        <v>#REF!</v>
      </c>
      <c r="F3" s="1" t="e">
        <f>#REF!-#REF!</f>
        <v>#REF!</v>
      </c>
      <c r="G3" s="1" t="e">
        <f t="shared" ref="G3:J3" si="2">#REF!</f>
        <v>#REF!</v>
      </c>
      <c r="H3" s="1" t="e">
        <f t="shared" si="2"/>
        <v>#REF!</v>
      </c>
      <c r="I3" s="1" t="e">
        <f t="shared" si="2"/>
        <v>#REF!</v>
      </c>
      <c r="J3" s="1" t="e">
        <f t="shared" si="2"/>
        <v>#REF!</v>
      </c>
    </row>
    <row r="4" spans="1:10" ht="14.25" customHeight="1">
      <c r="A4" s="1" t="s">
        <v>189</v>
      </c>
      <c r="B4" s="1" t="s">
        <v>48</v>
      </c>
      <c r="C4" s="80" t="e">
        <f>#REF!</f>
        <v>#REF!</v>
      </c>
      <c r="D4" s="80" t="e">
        <f t="shared" ref="D4:E4" si="3">C4</f>
        <v>#REF!</v>
      </c>
      <c r="E4" s="80" t="e">
        <f t="shared" si="3"/>
        <v>#REF!</v>
      </c>
      <c r="F4" s="80" t="e">
        <f t="shared" ref="F4:J4" si="4">#REF!</f>
        <v>#REF!</v>
      </c>
      <c r="G4" s="80" t="e">
        <f t="shared" si="4"/>
        <v>#REF!</v>
      </c>
      <c r="H4" s="80" t="e">
        <f t="shared" si="4"/>
        <v>#REF!</v>
      </c>
      <c r="I4" s="80" t="e">
        <f t="shared" si="4"/>
        <v>#REF!</v>
      </c>
      <c r="J4" s="80" t="e">
        <f t="shared" si="4"/>
        <v>#REF!</v>
      </c>
    </row>
    <row r="5" spans="1:10" ht="14.25" customHeight="1">
      <c r="A5" s="1" t="s">
        <v>190</v>
      </c>
      <c r="B5" s="1" t="s">
        <v>95</v>
      </c>
      <c r="C5" s="62">
        <v>0</v>
      </c>
      <c r="D5" s="107"/>
      <c r="E5" s="107"/>
      <c r="F5" s="107"/>
      <c r="G5" s="107"/>
      <c r="H5" s="107"/>
      <c r="I5" s="107"/>
      <c r="J5" s="107"/>
    </row>
    <row r="6" spans="1:10" ht="14.25" customHeight="1">
      <c r="A6" s="1" t="s">
        <v>191</v>
      </c>
      <c r="B6" s="1" t="s">
        <v>95</v>
      </c>
      <c r="C6" s="62">
        <v>585.5</v>
      </c>
      <c r="D6" s="107"/>
      <c r="E6" s="107"/>
      <c r="F6" s="107"/>
      <c r="G6" s="107"/>
      <c r="H6" s="107"/>
      <c r="I6" s="107"/>
      <c r="J6" s="107"/>
    </row>
    <row r="7" spans="1:10" ht="14.25" customHeight="1">
      <c r="A7" s="1" t="s">
        <v>192</v>
      </c>
      <c r="B7" s="1" t="s">
        <v>48</v>
      </c>
      <c r="C7" s="72">
        <f t="shared" ref="C7:J7" si="5">C6-C5</f>
        <v>585.5</v>
      </c>
      <c r="D7" s="72">
        <f t="shared" si="5"/>
        <v>0</v>
      </c>
      <c r="E7" s="72">
        <f t="shared" si="5"/>
        <v>0</v>
      </c>
      <c r="F7" s="72">
        <f t="shared" si="5"/>
        <v>0</v>
      </c>
      <c r="G7" s="72">
        <f t="shared" si="5"/>
        <v>0</v>
      </c>
      <c r="H7" s="72">
        <f t="shared" si="5"/>
        <v>0</v>
      </c>
      <c r="I7" s="72">
        <f t="shared" si="5"/>
        <v>0</v>
      </c>
      <c r="J7" s="72">
        <f t="shared" si="5"/>
        <v>0</v>
      </c>
    </row>
    <row r="8" spans="1:10" ht="14.25" customHeight="1">
      <c r="A8" s="1" t="s">
        <v>193</v>
      </c>
      <c r="B8" s="1" t="s">
        <v>194</v>
      </c>
      <c r="C8" s="1" t="e">
        <f t="shared" ref="C8:J8" si="6">C3*C4/C7</f>
        <v>#REF!</v>
      </c>
      <c r="D8" s="1" t="e">
        <f t="shared" si="6"/>
        <v>#REF!</v>
      </c>
      <c r="E8" s="1" t="e">
        <f t="shared" si="6"/>
        <v>#REF!</v>
      </c>
      <c r="F8" s="1" t="e">
        <f t="shared" si="6"/>
        <v>#REF!</v>
      </c>
      <c r="G8" s="1" t="e">
        <f t="shared" si="6"/>
        <v>#REF!</v>
      </c>
      <c r="H8" s="1" t="e">
        <f t="shared" si="6"/>
        <v>#REF!</v>
      </c>
      <c r="I8" s="1" t="e">
        <f t="shared" si="6"/>
        <v>#REF!</v>
      </c>
      <c r="J8" s="1" t="e">
        <f t="shared" si="6"/>
        <v>#REF!</v>
      </c>
    </row>
    <row r="9" spans="1:10" ht="14.25" customHeight="1">
      <c r="A9" s="1" t="s">
        <v>195</v>
      </c>
      <c r="B9" s="1" t="s">
        <v>194</v>
      </c>
      <c r="C9" s="1" t="e">
        <f>C8*0.95</f>
        <v>#REF!</v>
      </c>
    </row>
    <row r="10" spans="1:10" ht="14.25" customHeight="1">
      <c r="A10" s="1" t="s">
        <v>196</v>
      </c>
      <c r="C10" s="1">
        <v>0.8</v>
      </c>
    </row>
    <row r="11" spans="1:10" ht="14.25" customHeight="1">
      <c r="A11" s="1" t="s">
        <v>197</v>
      </c>
      <c r="C11" s="1" t="e">
        <f>C10*C9</f>
        <v>#REF!</v>
      </c>
    </row>
    <row r="12" spans="1:10" ht="14.25" customHeight="1">
      <c r="A12" s="1" t="s">
        <v>198</v>
      </c>
      <c r="B12" s="1" t="s">
        <v>194</v>
      </c>
      <c r="C12" s="1" t="e">
        <f t="shared" ref="C12:E12" si="7">C8*0.4</f>
        <v>#REF!</v>
      </c>
      <c r="D12" s="1" t="e">
        <f t="shared" si="7"/>
        <v>#REF!</v>
      </c>
      <c r="E12" s="1" t="e">
        <f t="shared" si="7"/>
        <v>#REF!</v>
      </c>
      <c r="F12" s="1" t="e">
        <f t="shared" ref="F12:J12" si="8">F8*0.2</f>
        <v>#REF!</v>
      </c>
      <c r="G12" s="1" t="e">
        <f t="shared" si="8"/>
        <v>#REF!</v>
      </c>
      <c r="H12" s="1" t="e">
        <f t="shared" si="8"/>
        <v>#REF!</v>
      </c>
      <c r="I12" s="1" t="e">
        <f t="shared" si="8"/>
        <v>#REF!</v>
      </c>
      <c r="J12" s="1" t="e">
        <f t="shared" si="8"/>
        <v>#REF!</v>
      </c>
    </row>
    <row r="13" spans="1:10" ht="14.25" customHeight="1"/>
    <row r="14" spans="1:10" ht="14.25" customHeight="1">
      <c r="A14" s="1" t="s">
        <v>199</v>
      </c>
      <c r="C14" s="1" t="s">
        <v>200</v>
      </c>
    </row>
    <row r="15" spans="1:10" ht="14.25" customHeight="1"/>
    <row r="16" spans="1:10" ht="14.25" customHeight="1">
      <c r="A16" s="1" t="s">
        <v>201</v>
      </c>
      <c r="B16" s="1" t="s">
        <v>81</v>
      </c>
      <c r="C16" s="1">
        <v>2.5</v>
      </c>
    </row>
    <row r="17" spans="1:5" ht="14.25" customHeight="1">
      <c r="A17" s="1" t="s">
        <v>202</v>
      </c>
      <c r="B17" s="1" t="s">
        <v>160</v>
      </c>
      <c r="C17" s="1">
        <v>0.2</v>
      </c>
    </row>
    <row r="18" spans="1:5" ht="14.25" customHeight="1">
      <c r="A18" s="1" t="s">
        <v>203</v>
      </c>
      <c r="B18" s="1" t="s">
        <v>194</v>
      </c>
      <c r="C18" s="1">
        <f>C16/C17</f>
        <v>12.5</v>
      </c>
      <c r="E18" s="1" t="e">
        <f>C18*700/C11</f>
        <v>#REF!</v>
      </c>
    </row>
    <row r="19" spans="1:5" ht="14.25" customHeight="1">
      <c r="A19" s="1" t="s">
        <v>204</v>
      </c>
      <c r="B19" s="1" t="s">
        <v>48</v>
      </c>
      <c r="C19" s="1" t="e">
        <f>C9/C18</f>
        <v>#REF!</v>
      </c>
      <c r="E19" s="1" t="e">
        <f>700-E18</f>
        <v>#REF!</v>
      </c>
    </row>
    <row r="20" spans="1:5" ht="14.25" customHeight="1">
      <c r="A20" s="1" t="s">
        <v>127</v>
      </c>
      <c r="B20" s="1" t="s">
        <v>48</v>
      </c>
      <c r="C20" s="1" t="e">
        <f>C19*C7</f>
        <v>#REF!</v>
      </c>
    </row>
    <row r="21" spans="1:5" ht="14.25" customHeight="1">
      <c r="A21" s="1" t="s">
        <v>205</v>
      </c>
      <c r="B21" s="1" t="s">
        <v>48</v>
      </c>
      <c r="C21" s="1">
        <f>C7</f>
        <v>585.5</v>
      </c>
    </row>
    <row r="22" spans="1:5" ht="14.25" customHeight="1">
      <c r="A22" s="1" t="s">
        <v>206</v>
      </c>
      <c r="B22" s="1" t="s">
        <v>48</v>
      </c>
      <c r="C22" s="108" t="e">
        <f>90*C20/500</f>
        <v>#REF!</v>
      </c>
      <c r="E22" s="108"/>
    </row>
    <row r="23" spans="1:5" ht="14.25" customHeight="1">
      <c r="A23" s="1" t="s">
        <v>207</v>
      </c>
      <c r="B23" s="1" t="s">
        <v>48</v>
      </c>
      <c r="C23" s="108" t="e">
        <f>C20-C21-C22</f>
        <v>#REF!</v>
      </c>
      <c r="E23" s="108"/>
    </row>
    <row r="24" spans="1:5" ht="14.25" customHeight="1">
      <c r="C24" s="1" t="e">
        <f>SUM(C22:C23)</f>
        <v>#REF!</v>
      </c>
    </row>
    <row r="25" spans="1:5" ht="14.25" customHeight="1"/>
    <row r="26" spans="1:5" ht="14.25" customHeight="1">
      <c r="A26" s="1" t="s">
        <v>208</v>
      </c>
    </row>
    <row r="27" spans="1:5" ht="14.25" customHeight="1">
      <c r="A27" s="1" t="s">
        <v>209</v>
      </c>
      <c r="B27" s="1" t="s">
        <v>194</v>
      </c>
    </row>
    <row r="28" spans="1:5" ht="14.25" customHeight="1"/>
    <row r="29" spans="1:5" ht="14.25" customHeight="1"/>
    <row r="30" spans="1:5" ht="14.25" customHeight="1">
      <c r="A30" s="1" t="s">
        <v>210</v>
      </c>
      <c r="B30" s="1" t="s">
        <v>194</v>
      </c>
    </row>
    <row r="31" spans="1:5" ht="14.25" customHeight="1">
      <c r="A31" s="1" t="s">
        <v>184</v>
      </c>
    </row>
    <row r="32" spans="1:5" ht="14.25" customHeight="1"/>
    <row r="33" spans="1:30" ht="14.25" customHeight="1">
      <c r="A33" s="1" t="s">
        <v>211</v>
      </c>
      <c r="C33" s="64" t="e">
        <f t="shared" ref="C33:H33" si="9">C30*C7/(C27*C3)</f>
        <v>#REF!</v>
      </c>
      <c r="D33" s="64" t="e">
        <f t="shared" si="9"/>
        <v>#REF!</v>
      </c>
      <c r="E33" s="64" t="e">
        <f t="shared" si="9"/>
        <v>#DIV/0!</v>
      </c>
      <c r="F33" s="64" t="e">
        <f t="shared" si="9"/>
        <v>#REF!</v>
      </c>
      <c r="G33" s="64" t="e">
        <f t="shared" si="9"/>
        <v>#REF!</v>
      </c>
      <c r="H33" s="64" t="e">
        <f t="shared" si="9"/>
        <v>#REF!</v>
      </c>
    </row>
    <row r="34" spans="1:30" ht="14.25" customHeight="1"/>
    <row r="35" spans="1:30" ht="14.25" customHeight="1"/>
    <row r="36" spans="1:30" ht="14.25" customHeight="1"/>
    <row r="37" spans="1:30" ht="14.25" customHeight="1"/>
    <row r="38" spans="1:30" ht="15.75" customHeight="1">
      <c r="A38" s="109" t="s">
        <v>212</v>
      </c>
      <c r="B38" s="4"/>
      <c r="C38" s="73"/>
      <c r="D38" s="39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  <c r="AB38" s="40"/>
      <c r="AC38" s="39"/>
      <c r="AD38" s="73"/>
    </row>
    <row r="39" spans="1:30" ht="15.75" customHeight="1">
      <c r="A39" s="3" t="s">
        <v>213</v>
      </c>
      <c r="B39" s="79" t="s">
        <v>48</v>
      </c>
      <c r="C39" s="80">
        <f t="shared" ref="C39:E39" si="10">C7</f>
        <v>585.5</v>
      </c>
      <c r="D39" s="80">
        <f t="shared" si="10"/>
        <v>0</v>
      </c>
      <c r="E39" s="80">
        <f t="shared" si="10"/>
        <v>0</v>
      </c>
      <c r="F39" s="80">
        <v>120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81"/>
      <c r="AC39" s="80"/>
      <c r="AD39" s="3"/>
    </row>
    <row r="40" spans="1:30" ht="15.75" customHeight="1">
      <c r="A40" s="3" t="s">
        <v>214</v>
      </c>
      <c r="B40" s="79" t="s">
        <v>215</v>
      </c>
      <c r="C40" s="80" t="e">
        <f t="shared" ref="C40:F40" si="11">C4</f>
        <v>#REF!</v>
      </c>
      <c r="D40" s="80" t="e">
        <f t="shared" si="11"/>
        <v>#REF!</v>
      </c>
      <c r="E40" s="80" t="e">
        <f t="shared" si="11"/>
        <v>#REF!</v>
      </c>
      <c r="F40" s="80" t="e">
        <f t="shared" si="11"/>
        <v>#REF!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81"/>
      <c r="AC40" s="80"/>
      <c r="AD40" s="3"/>
    </row>
    <row r="41" spans="1:30" ht="15.75" customHeight="1">
      <c r="A41" s="3" t="s">
        <v>216</v>
      </c>
      <c r="B41" s="79" t="s">
        <v>107</v>
      </c>
      <c r="C41" s="80">
        <v>500</v>
      </c>
      <c r="D41" s="80">
        <v>500</v>
      </c>
      <c r="E41" s="80">
        <v>500</v>
      </c>
      <c r="F41" s="80">
        <v>500</v>
      </c>
      <c r="G41" s="80"/>
      <c r="H41" s="80"/>
      <c r="I41" s="80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81"/>
      <c r="AC41" s="80"/>
      <c r="AD41" s="3"/>
    </row>
    <row r="42" spans="1:30" ht="15.75" customHeight="1">
      <c r="A42" s="3" t="s">
        <v>217</v>
      </c>
      <c r="B42" s="79" t="s">
        <v>107</v>
      </c>
      <c r="C42" s="80">
        <v>90</v>
      </c>
      <c r="D42" s="80">
        <v>90</v>
      </c>
      <c r="E42" s="80">
        <v>90</v>
      </c>
      <c r="F42" s="80">
        <v>90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81"/>
      <c r="AC42" s="80"/>
      <c r="AD42" s="3"/>
    </row>
    <row r="43" spans="1:30" ht="15.75" customHeight="1">
      <c r="A43" s="3" t="s">
        <v>218</v>
      </c>
      <c r="B43" s="79" t="s">
        <v>48</v>
      </c>
      <c r="C43" s="101">
        <f t="shared" ref="C43:F43" si="12">C42*C39/(C41-C42)</f>
        <v>128.52439024390245</v>
      </c>
      <c r="D43" s="101">
        <f t="shared" si="12"/>
        <v>0</v>
      </c>
      <c r="E43" s="101">
        <f t="shared" si="12"/>
        <v>0</v>
      </c>
      <c r="F43" s="101">
        <f t="shared" si="12"/>
        <v>26.341463414634145</v>
      </c>
      <c r="G43" s="101"/>
      <c r="H43" s="101"/>
      <c r="I43" s="101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81"/>
      <c r="AC43" s="80"/>
      <c r="AD43" s="3"/>
    </row>
    <row r="44" spans="1:30" ht="15.75" customHeight="1">
      <c r="A44" s="3" t="s">
        <v>219</v>
      </c>
      <c r="B44" s="79" t="s">
        <v>48</v>
      </c>
      <c r="C44" s="80">
        <f t="shared" ref="C44:F44" si="13">SUM(C43,C39)</f>
        <v>714.02439024390242</v>
      </c>
      <c r="D44" s="80">
        <f t="shared" si="13"/>
        <v>0</v>
      </c>
      <c r="E44" s="80">
        <f t="shared" si="13"/>
        <v>0</v>
      </c>
      <c r="F44" s="80">
        <f t="shared" si="13"/>
        <v>146.34146341463415</v>
      </c>
      <c r="G44" s="80"/>
      <c r="H44" s="80"/>
      <c r="I44" s="80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81"/>
      <c r="AC44" s="80"/>
      <c r="AD44" s="3"/>
    </row>
    <row r="45" spans="1:30" ht="15.75" customHeight="1">
      <c r="A45" s="3" t="s">
        <v>220</v>
      </c>
      <c r="B45" s="79"/>
      <c r="C45" s="80">
        <f>C39/C44</f>
        <v>0.82000000000000006</v>
      </c>
      <c r="D45" s="80"/>
      <c r="E45" s="80"/>
      <c r="F45" s="80"/>
      <c r="G45" s="80"/>
      <c r="H45" s="80"/>
      <c r="I45" s="80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81"/>
      <c r="AC45" s="80"/>
      <c r="AD45" s="3"/>
    </row>
    <row r="46" spans="1:30" ht="15.75" customHeight="1">
      <c r="A46" s="3" t="s">
        <v>221</v>
      </c>
      <c r="B46" s="79" t="s">
        <v>215</v>
      </c>
      <c r="C46" s="80" t="e">
        <f t="shared" ref="C46:F46" si="14">C39/C44*C40</f>
        <v>#REF!</v>
      </c>
      <c r="D46" s="80" t="e">
        <f t="shared" si="14"/>
        <v>#DIV/0!</v>
      </c>
      <c r="E46" s="80" t="e">
        <f t="shared" si="14"/>
        <v>#DIV/0!</v>
      </c>
      <c r="F46" s="80" t="e">
        <f t="shared" si="14"/>
        <v>#REF!</v>
      </c>
      <c r="G46" s="80"/>
      <c r="H46" s="80"/>
      <c r="I46" s="80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81"/>
      <c r="AC46" s="80"/>
      <c r="AD46" s="3"/>
    </row>
    <row r="47" spans="1:30" ht="14.25" customHeight="1"/>
    <row r="48" spans="1:30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Lipid_Params </vt:lpstr>
      <vt:lpstr>Prediction_formatter</vt:lpstr>
      <vt:lpstr>Formulations</vt:lpstr>
      <vt:lpstr>filtration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Leo</dc:creator>
  <cp:keywords/>
  <dc:description/>
  <cp:lastModifiedBy>Leonardo Cheng</cp:lastModifiedBy>
  <cp:revision/>
  <dcterms:created xsi:type="dcterms:W3CDTF">2023-06-09T18:47:52Z</dcterms:created>
  <dcterms:modified xsi:type="dcterms:W3CDTF">2025-07-03T19:39:14Z</dcterms:modified>
  <cp:category/>
  <cp:contentStatus/>
</cp:coreProperties>
</file>